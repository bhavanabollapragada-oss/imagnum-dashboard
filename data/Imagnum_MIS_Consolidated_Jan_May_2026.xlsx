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spiceroutefinanc-my.sharepoint.com/personal/bhavana_srfcapital_studio/Documents/MIS Dashboard - iMagnum/imagnum-dashboard/data/"/>
    </mc:Choice>
  </mc:AlternateContent>
  <xr:revisionPtr revIDLastSave="4" documentId="13_ncr:1_{49CB1452-696D-44AB-8291-D9F32668C7FF}" xr6:coauthVersionLast="47" xr6:coauthVersionMax="47" xr10:uidLastSave="{BA56ACD8-7663-45E1-A45F-D8CB9E776E87}"/>
  <bookViews>
    <workbookView xWindow="-110" yWindow="-110" windowWidth="19420" windowHeight="10300" firstSheet="1" activeTab="1" xr2:uid="{00000000-000D-0000-FFFF-FFFF00000000}"/>
  </bookViews>
  <sheets>
    <sheet name="MIS-Actuals" sheetId="28" r:id="rId1"/>
    <sheet name="MIS Actuals Jan-Jun" sheetId="34" r:id="rId2"/>
    <sheet name="Jul'26" sheetId="35" r:id="rId3"/>
    <sheet name="Jun'26" sheetId="15" r:id="rId4"/>
    <sheet name="May-April" sheetId="13" r:id="rId5"/>
    <sheet name="April-March" sheetId="10" r:id="rId6"/>
    <sheet name="March-Feb" sheetId="12" r:id="rId7"/>
    <sheet name="Jan" sheetId="11" r:id="rId8"/>
    <sheet name="Holding Detailed Exp summary" sheetId="16" r:id="rId9"/>
    <sheet name="Subs Detailed Exp Summary" sheetId="17" r:id="rId10"/>
    <sheet name="Budgeted" sheetId="27" r:id="rId11"/>
    <sheet name="Proforma-May" sheetId="30" r:id="rId12"/>
    <sheet name="Proforma-June" sheetId="31" r:id="rId13"/>
    <sheet name="Proforma- July" sheetId="32" r:id="rId14"/>
    <sheet name="P&amp;L - Bud." sheetId="20" r:id="rId15"/>
    <sheet name="US Bud-Exp" sheetId="18" r:id="rId16"/>
    <sheet name="Ind Bud-Exp" sheetId="19" r:id="rId17"/>
    <sheet name="Bud vs Act - May &amp; Jun" sheetId="33" r:id="rId18"/>
    <sheet name="Sheet16" sheetId="29" r:id="rId19"/>
    <sheet name="May-Actual" sheetId="21" r:id="rId20"/>
    <sheet name="May-Forecast" sheetId="22" r:id="rId21"/>
    <sheet name="May-Variance" sheetId="23" r:id="rId22"/>
    <sheet name="June-Fore." sheetId="24" r:id="rId23"/>
    <sheet name="June-Actual" sheetId="25" r:id="rId24"/>
    <sheet name="June-Variance" sheetId="26" r:id="rId25"/>
  </sheets>
  <definedNames>
    <definedName name="\" localSheetId="5">#REF!</definedName>
    <definedName name="\" localSheetId="7">#REF!</definedName>
    <definedName name="\" localSheetId="6">#REF!</definedName>
    <definedName name="\">#REF!</definedName>
    <definedName name="\0" localSheetId="5">#REF!</definedName>
    <definedName name="\0" localSheetId="7">#REF!</definedName>
    <definedName name="\0" localSheetId="6">#REF!</definedName>
    <definedName name="\0">#REF!</definedName>
    <definedName name="\A" localSheetId="5">#REF!</definedName>
    <definedName name="\A" localSheetId="7">#REF!</definedName>
    <definedName name="\A" localSheetId="6">#REF!</definedName>
    <definedName name="\A">#REF!</definedName>
    <definedName name="\B" localSheetId="5">#REF!</definedName>
    <definedName name="\B" localSheetId="7">#REF!</definedName>
    <definedName name="\B" localSheetId="6">#REF!</definedName>
    <definedName name="\B">#REF!</definedName>
    <definedName name="\E" localSheetId="5">#REF!</definedName>
    <definedName name="\E" localSheetId="7">#REF!</definedName>
    <definedName name="\E" localSheetId="6">#REF!</definedName>
    <definedName name="\E">#REF!</definedName>
    <definedName name="\G" localSheetId="5">#REF!</definedName>
    <definedName name="\G" localSheetId="7">#REF!</definedName>
    <definedName name="\G" localSheetId="6">#REF!</definedName>
    <definedName name="\G">#REF!</definedName>
    <definedName name="\L" localSheetId="5">#REF!</definedName>
    <definedName name="\L" localSheetId="7">#REF!</definedName>
    <definedName name="\L" localSheetId="6">#REF!</definedName>
    <definedName name="\L">#REF!</definedName>
    <definedName name="\q" localSheetId="5">#REF!</definedName>
    <definedName name="\q" localSheetId="7">#REF!</definedName>
    <definedName name="\q" localSheetId="6">#REF!</definedName>
    <definedName name="\q">#REF!</definedName>
    <definedName name="\S" localSheetId="5">#REF!</definedName>
    <definedName name="\S" localSheetId="7">#REF!</definedName>
    <definedName name="\S" localSheetId="6">#REF!</definedName>
    <definedName name="\S">#REF!</definedName>
    <definedName name="\T" localSheetId="5">#REF!</definedName>
    <definedName name="\T" localSheetId="7">#REF!</definedName>
    <definedName name="\T" localSheetId="6">#REF!</definedName>
    <definedName name="\T">#REF!</definedName>
    <definedName name="\U" localSheetId="5">#REF!</definedName>
    <definedName name="\U" localSheetId="7">#REF!</definedName>
    <definedName name="\U" localSheetId="6">#REF!</definedName>
    <definedName name="\U">#REF!</definedName>
    <definedName name="________DAT7" localSheetId="5">#REF!</definedName>
    <definedName name="________DAT7" localSheetId="7">#REF!</definedName>
    <definedName name="________DAT7" localSheetId="6">#REF!</definedName>
    <definedName name="________DAT7">#REF!</definedName>
    <definedName name="________DAT8" localSheetId="5">#REF!</definedName>
    <definedName name="________DAT8" localSheetId="7">#REF!</definedName>
    <definedName name="________DAT8" localSheetId="6">#REF!</definedName>
    <definedName name="________DAT8">#REF!</definedName>
    <definedName name="________DAT9" localSheetId="5">#REF!</definedName>
    <definedName name="________DAT9" localSheetId="7">#REF!</definedName>
    <definedName name="________DAT9" localSheetId="6">#REF!</definedName>
    <definedName name="________DAT9">#REF!</definedName>
    <definedName name="_______DAT13" localSheetId="5">#REF!</definedName>
    <definedName name="_______DAT13" localSheetId="7">#REF!</definedName>
    <definedName name="_______DAT13" localSheetId="6">#REF!</definedName>
    <definedName name="_______DAT13">#REF!</definedName>
    <definedName name="_______DAT2" localSheetId="5">#REF!</definedName>
    <definedName name="_______DAT2" localSheetId="7">#REF!</definedName>
    <definedName name="_______DAT2" localSheetId="6">#REF!</definedName>
    <definedName name="_______DAT2">#REF!</definedName>
    <definedName name="_______DAT3" localSheetId="5">#REF!</definedName>
    <definedName name="_______DAT3" localSheetId="7">#REF!</definedName>
    <definedName name="_______DAT3" localSheetId="6">#REF!</definedName>
    <definedName name="_______DAT3">#REF!</definedName>
    <definedName name="_______DAT4" localSheetId="5">#REF!</definedName>
    <definedName name="_______DAT4" localSheetId="7">#REF!</definedName>
    <definedName name="_______DAT4" localSheetId="6">#REF!</definedName>
    <definedName name="_______DAT4">#REF!</definedName>
    <definedName name="_______DAT5" localSheetId="5">#REF!</definedName>
    <definedName name="_______DAT5" localSheetId="7">#REF!</definedName>
    <definedName name="_______DAT5" localSheetId="6">#REF!</definedName>
    <definedName name="_______DAT5">#REF!</definedName>
    <definedName name="_______DAT6" localSheetId="5">#REF!</definedName>
    <definedName name="_______DAT6" localSheetId="7">#REF!</definedName>
    <definedName name="_______DAT6" localSheetId="6">#REF!</definedName>
    <definedName name="_______DAT6">#REF!</definedName>
    <definedName name="_______DAT7" localSheetId="5">#REF!</definedName>
    <definedName name="_______DAT7" localSheetId="7">#REF!</definedName>
    <definedName name="_______DAT7" localSheetId="6">#REF!</definedName>
    <definedName name="_______DAT7">#REF!</definedName>
    <definedName name="_______DAT8" localSheetId="5">#REF!</definedName>
    <definedName name="_______DAT8" localSheetId="7">#REF!</definedName>
    <definedName name="_______DAT8" localSheetId="6">#REF!</definedName>
    <definedName name="_______DAT8">#REF!</definedName>
    <definedName name="_______DAT9" localSheetId="5">#REF!</definedName>
    <definedName name="_______DAT9" localSheetId="7">#REF!</definedName>
    <definedName name="_______DAT9" localSheetId="6">#REF!</definedName>
    <definedName name="_______DAT9">#REF!</definedName>
    <definedName name="_______New1" localSheetId="5">#REF!</definedName>
    <definedName name="_______New1" localSheetId="7">#REF!</definedName>
    <definedName name="_______New1" localSheetId="6">#REF!</definedName>
    <definedName name="_______New1">#REF!</definedName>
    <definedName name="______DAT13" localSheetId="5">#REF!</definedName>
    <definedName name="______DAT13" localSheetId="7">#REF!</definedName>
    <definedName name="______DAT13" localSheetId="6">#REF!</definedName>
    <definedName name="______DAT13">#REF!</definedName>
    <definedName name="______DAT2" localSheetId="5">#REF!</definedName>
    <definedName name="______DAT2" localSheetId="7">#REF!</definedName>
    <definedName name="______DAT2" localSheetId="6">#REF!</definedName>
    <definedName name="______DAT2">#REF!</definedName>
    <definedName name="______DAT3" localSheetId="5">#REF!</definedName>
    <definedName name="______DAT3" localSheetId="7">#REF!</definedName>
    <definedName name="______DAT3" localSheetId="6">#REF!</definedName>
    <definedName name="______DAT3">#REF!</definedName>
    <definedName name="______DAT4" localSheetId="5">#REF!</definedName>
    <definedName name="______DAT4" localSheetId="7">#REF!</definedName>
    <definedName name="______DAT4" localSheetId="6">#REF!</definedName>
    <definedName name="______DAT4">#REF!</definedName>
    <definedName name="______DAT5" localSheetId="5">#REF!</definedName>
    <definedName name="______DAT5" localSheetId="7">#REF!</definedName>
    <definedName name="______DAT5" localSheetId="6">#REF!</definedName>
    <definedName name="______DAT5">#REF!</definedName>
    <definedName name="______DAT6" localSheetId="5">#REF!</definedName>
    <definedName name="______DAT6" localSheetId="7">#REF!</definedName>
    <definedName name="______DAT6" localSheetId="6">#REF!</definedName>
    <definedName name="______DAT6">#REF!</definedName>
    <definedName name="______DAT7" localSheetId="5">#REF!</definedName>
    <definedName name="______DAT7" localSheetId="7">#REF!</definedName>
    <definedName name="______DAT7" localSheetId="6">#REF!</definedName>
    <definedName name="______DAT7">#REF!</definedName>
    <definedName name="______DAT8" localSheetId="5">#REF!</definedName>
    <definedName name="______DAT8" localSheetId="7">#REF!</definedName>
    <definedName name="______DAT8" localSheetId="6">#REF!</definedName>
    <definedName name="______DAT8">#REF!</definedName>
    <definedName name="______DAT9" localSheetId="5">#REF!</definedName>
    <definedName name="______DAT9" localSheetId="7">#REF!</definedName>
    <definedName name="______DAT9" localSheetId="6">#REF!</definedName>
    <definedName name="______DAT9">#REF!</definedName>
    <definedName name="______New1" localSheetId="5">#REF!</definedName>
    <definedName name="______New1" localSheetId="7">#REF!</definedName>
    <definedName name="______New1" localSheetId="6">#REF!</definedName>
    <definedName name="______New1">#REF!</definedName>
    <definedName name="_____DAT1" localSheetId="5">#REF!</definedName>
    <definedName name="_____DAT1" localSheetId="7">#REF!</definedName>
    <definedName name="_____DAT1" localSheetId="6">#REF!</definedName>
    <definedName name="_____DAT1">#REF!</definedName>
    <definedName name="_____DAT13" localSheetId="5">#REF!</definedName>
    <definedName name="_____DAT13" localSheetId="7">#REF!</definedName>
    <definedName name="_____DAT13" localSheetId="6">#REF!</definedName>
    <definedName name="_____DAT13">#REF!</definedName>
    <definedName name="_____DAT2" localSheetId="5">#REF!</definedName>
    <definedName name="_____DAT2" localSheetId="7">#REF!</definedName>
    <definedName name="_____DAT2" localSheetId="6">#REF!</definedName>
    <definedName name="_____DAT2">#REF!</definedName>
    <definedName name="_____DAT3" localSheetId="5">#REF!</definedName>
    <definedName name="_____DAT3" localSheetId="7">#REF!</definedName>
    <definedName name="_____DAT3" localSheetId="6">#REF!</definedName>
    <definedName name="_____DAT3">#REF!</definedName>
    <definedName name="_____DAT4" localSheetId="5">#REF!</definedName>
    <definedName name="_____DAT4" localSheetId="7">#REF!</definedName>
    <definedName name="_____DAT4" localSheetId="6">#REF!</definedName>
    <definedName name="_____DAT4">#REF!</definedName>
    <definedName name="_____DAT5" localSheetId="5">#REF!</definedName>
    <definedName name="_____DAT5" localSheetId="7">#REF!</definedName>
    <definedName name="_____DAT5" localSheetId="6">#REF!</definedName>
    <definedName name="_____DAT5">#REF!</definedName>
    <definedName name="_____DAT6" localSheetId="5">#REF!</definedName>
    <definedName name="_____DAT6" localSheetId="7">#REF!</definedName>
    <definedName name="_____DAT6" localSheetId="6">#REF!</definedName>
    <definedName name="_____DAT6">#REF!</definedName>
    <definedName name="_____DAT7" localSheetId="5">#REF!</definedName>
    <definedName name="_____DAT7" localSheetId="7">#REF!</definedName>
    <definedName name="_____DAT7" localSheetId="6">#REF!</definedName>
    <definedName name="_____DAT7">#REF!</definedName>
    <definedName name="_____DAT8" localSheetId="5">#REF!</definedName>
    <definedName name="_____DAT8" localSheetId="7">#REF!</definedName>
    <definedName name="_____DAT8" localSheetId="6">#REF!</definedName>
    <definedName name="_____DAT8">#REF!</definedName>
    <definedName name="_____DAT9" localSheetId="5">#REF!</definedName>
    <definedName name="_____DAT9" localSheetId="7">#REF!</definedName>
    <definedName name="_____DAT9" localSheetId="6">#REF!</definedName>
    <definedName name="_____DAT9">#REF!</definedName>
    <definedName name="_____New1" localSheetId="5">#REF!</definedName>
    <definedName name="_____New1" localSheetId="7">#REF!</definedName>
    <definedName name="_____New1" localSheetId="6">#REF!</definedName>
    <definedName name="_____New1">#REF!</definedName>
    <definedName name="____DAT1" localSheetId="5">#REF!</definedName>
    <definedName name="____DAT1" localSheetId="7">#REF!</definedName>
    <definedName name="____DAT1" localSheetId="6">#REF!</definedName>
    <definedName name="____DAT1">#REF!</definedName>
    <definedName name="____DAT13" localSheetId="5">#REF!</definedName>
    <definedName name="____DAT13" localSheetId="7">#REF!</definedName>
    <definedName name="____DAT13" localSheetId="6">#REF!</definedName>
    <definedName name="____DAT13">#REF!</definedName>
    <definedName name="____DAT2" localSheetId="5">#REF!</definedName>
    <definedName name="____DAT2" localSheetId="7">#REF!</definedName>
    <definedName name="____DAT2" localSheetId="6">#REF!</definedName>
    <definedName name="____DAT2">#REF!</definedName>
    <definedName name="____DAT3" localSheetId="5">#REF!</definedName>
    <definedName name="____DAT3" localSheetId="7">#REF!</definedName>
    <definedName name="____DAT3" localSheetId="6">#REF!</definedName>
    <definedName name="____DAT3">#REF!</definedName>
    <definedName name="____DAT4" localSheetId="5">#REF!</definedName>
    <definedName name="____DAT4" localSheetId="7">#REF!</definedName>
    <definedName name="____DAT4" localSheetId="6">#REF!</definedName>
    <definedName name="____DAT4">#REF!</definedName>
    <definedName name="____DAT5" localSheetId="5">#REF!</definedName>
    <definedName name="____DAT5" localSheetId="7">#REF!</definedName>
    <definedName name="____DAT5" localSheetId="6">#REF!</definedName>
    <definedName name="____DAT5">#REF!</definedName>
    <definedName name="____DAT6" localSheetId="5">#REF!</definedName>
    <definedName name="____DAT6" localSheetId="7">#REF!</definedName>
    <definedName name="____DAT6" localSheetId="6">#REF!</definedName>
    <definedName name="____DAT6">#REF!</definedName>
    <definedName name="____DAT7" localSheetId="5">#REF!</definedName>
    <definedName name="____DAT7" localSheetId="7">#REF!</definedName>
    <definedName name="____DAT7" localSheetId="6">#REF!</definedName>
    <definedName name="____DAT7">#REF!</definedName>
    <definedName name="____DAT8" localSheetId="5">#REF!</definedName>
    <definedName name="____DAT8" localSheetId="7">#REF!</definedName>
    <definedName name="____DAT8" localSheetId="6">#REF!</definedName>
    <definedName name="____DAT8">#REF!</definedName>
    <definedName name="____DAT9" localSheetId="5">#REF!</definedName>
    <definedName name="____DAT9" localSheetId="7">#REF!</definedName>
    <definedName name="____DAT9" localSheetId="6">#REF!</definedName>
    <definedName name="____DAT9">#REF!</definedName>
    <definedName name="____New1" localSheetId="5">#REF!</definedName>
    <definedName name="____New1" localSheetId="7">#REF!</definedName>
    <definedName name="____New1" localSheetId="6">#REF!</definedName>
    <definedName name="____New1">#REF!</definedName>
    <definedName name="___col1" localSheetId="5">#REF!</definedName>
    <definedName name="___col1" localSheetId="7">#REF!</definedName>
    <definedName name="___col1" localSheetId="6">#REF!</definedName>
    <definedName name="___col1">#REF!</definedName>
    <definedName name="___col10" localSheetId="5">#REF!</definedName>
    <definedName name="___col10" localSheetId="7">#REF!</definedName>
    <definedName name="___col10" localSheetId="6">#REF!</definedName>
    <definedName name="___col10">#REF!</definedName>
    <definedName name="___col11" localSheetId="5">#REF!</definedName>
    <definedName name="___col11" localSheetId="7">#REF!</definedName>
    <definedName name="___col11" localSheetId="6">#REF!</definedName>
    <definedName name="___col11">#REF!</definedName>
    <definedName name="___col12" localSheetId="5">#REF!</definedName>
    <definedName name="___col12" localSheetId="7">#REF!</definedName>
    <definedName name="___col12" localSheetId="6">#REF!</definedName>
    <definedName name="___col12">#REF!</definedName>
    <definedName name="___col13" localSheetId="5">#REF!</definedName>
    <definedName name="___col13" localSheetId="7">#REF!</definedName>
    <definedName name="___col13" localSheetId="6">#REF!</definedName>
    <definedName name="___col13">#REF!</definedName>
    <definedName name="___col2" localSheetId="5">#REF!</definedName>
    <definedName name="___col2" localSheetId="7">#REF!</definedName>
    <definedName name="___col2" localSheetId="6">#REF!</definedName>
    <definedName name="___col2">#REF!</definedName>
    <definedName name="___col3" localSheetId="5">#REF!</definedName>
    <definedName name="___col3" localSheetId="7">#REF!</definedName>
    <definedName name="___col3" localSheetId="6">#REF!</definedName>
    <definedName name="___col3">#REF!</definedName>
    <definedName name="___col4" localSheetId="5">#REF!</definedName>
    <definedName name="___col4" localSheetId="7">#REF!</definedName>
    <definedName name="___col4" localSheetId="6">#REF!</definedName>
    <definedName name="___col4">#REF!</definedName>
    <definedName name="___col5" localSheetId="5">#REF!</definedName>
    <definedName name="___col5" localSheetId="7">#REF!</definedName>
    <definedName name="___col5" localSheetId="6">#REF!</definedName>
    <definedName name="___col5">#REF!</definedName>
    <definedName name="___col6" localSheetId="5">#REF!</definedName>
    <definedName name="___col6" localSheetId="7">#REF!</definedName>
    <definedName name="___col6" localSheetId="6">#REF!</definedName>
    <definedName name="___col6">#REF!</definedName>
    <definedName name="___col7" localSheetId="5">#REF!</definedName>
    <definedName name="___col7" localSheetId="7">#REF!</definedName>
    <definedName name="___col7" localSheetId="6">#REF!</definedName>
    <definedName name="___col7">#REF!</definedName>
    <definedName name="___col8" localSheetId="5">#REF!</definedName>
    <definedName name="___col8" localSheetId="7">#REF!</definedName>
    <definedName name="___col8" localSheetId="6">#REF!</definedName>
    <definedName name="___col8">#REF!</definedName>
    <definedName name="___col9" localSheetId="5">#REF!</definedName>
    <definedName name="___col9" localSheetId="7">#REF!</definedName>
    <definedName name="___col9" localSheetId="6">#REF!</definedName>
    <definedName name="___col9">#REF!</definedName>
    <definedName name="___DAT1" localSheetId="5">#REF!</definedName>
    <definedName name="___DAT1" localSheetId="7">#REF!</definedName>
    <definedName name="___DAT1" localSheetId="6">#REF!</definedName>
    <definedName name="___DAT1">#REF!</definedName>
    <definedName name="___DAT11" localSheetId="5">#REF!</definedName>
    <definedName name="___DAT11" localSheetId="7">#REF!</definedName>
    <definedName name="___DAT11" localSheetId="6">#REF!</definedName>
    <definedName name="___DAT11">#REF!</definedName>
    <definedName name="___DAT12" localSheetId="5">#REF!</definedName>
    <definedName name="___DAT12" localSheetId="7">#REF!</definedName>
    <definedName name="___DAT12" localSheetId="6">#REF!</definedName>
    <definedName name="___DAT12">#REF!</definedName>
    <definedName name="___DAT13" localSheetId="5">#REF!</definedName>
    <definedName name="___DAT13" localSheetId="7">#REF!</definedName>
    <definedName name="___DAT13" localSheetId="6">#REF!</definedName>
    <definedName name="___DAT13">#REF!</definedName>
    <definedName name="___DAT14" localSheetId="5">#REF!</definedName>
    <definedName name="___DAT14" localSheetId="7">#REF!</definedName>
    <definedName name="___DAT14" localSheetId="6">#REF!</definedName>
    <definedName name="___DAT14">#REF!</definedName>
    <definedName name="___DAT2" localSheetId="5">#REF!</definedName>
    <definedName name="___DAT2" localSheetId="7">#REF!</definedName>
    <definedName name="___DAT2" localSheetId="6">#REF!</definedName>
    <definedName name="___DAT2">#REF!</definedName>
    <definedName name="___DAT3" localSheetId="5">#REF!</definedName>
    <definedName name="___DAT3" localSheetId="7">#REF!</definedName>
    <definedName name="___DAT3" localSheetId="6">#REF!</definedName>
    <definedName name="___DAT3">#REF!</definedName>
    <definedName name="___DAT4" localSheetId="5">#REF!</definedName>
    <definedName name="___DAT4" localSheetId="7">#REF!</definedName>
    <definedName name="___DAT4" localSheetId="6">#REF!</definedName>
    <definedName name="___DAT4">#REF!</definedName>
    <definedName name="___DAT5" localSheetId="5">#REF!</definedName>
    <definedName name="___DAT5" localSheetId="7">#REF!</definedName>
    <definedName name="___DAT5" localSheetId="6">#REF!</definedName>
    <definedName name="___DAT5">#REF!</definedName>
    <definedName name="___DAT6" localSheetId="5">#REF!</definedName>
    <definedName name="___DAT6" localSheetId="7">#REF!</definedName>
    <definedName name="___DAT6" localSheetId="6">#REF!</definedName>
    <definedName name="___DAT6">#REF!</definedName>
    <definedName name="___DAT7" localSheetId="5">#REF!</definedName>
    <definedName name="___DAT7" localSheetId="7">#REF!</definedName>
    <definedName name="___DAT7" localSheetId="6">#REF!</definedName>
    <definedName name="___DAT7">#REF!</definedName>
    <definedName name="___DAT8" localSheetId="5">#REF!</definedName>
    <definedName name="___DAT8" localSheetId="7">#REF!</definedName>
    <definedName name="___DAT8" localSheetId="6">#REF!</definedName>
    <definedName name="___DAT8">#REF!</definedName>
    <definedName name="___DAT9" localSheetId="5">#REF!</definedName>
    <definedName name="___DAT9" localSheetId="7">#REF!</definedName>
    <definedName name="___DAT9" localSheetId="6">#REF!</definedName>
    <definedName name="___DAT9">#REF!</definedName>
    <definedName name="___MAR9091" localSheetId="5">#REF!</definedName>
    <definedName name="___MAR9091" localSheetId="7">#REF!</definedName>
    <definedName name="___MAR9091" localSheetId="6">#REF!</definedName>
    <definedName name="___MAR9091">#REF!</definedName>
    <definedName name="___New1" localSheetId="5">#REF!</definedName>
    <definedName name="___New1" localSheetId="7">#REF!</definedName>
    <definedName name="___New1" localSheetId="6">#REF!</definedName>
    <definedName name="___New1">#REF!</definedName>
    <definedName name="___PG1" localSheetId="5">#REF!</definedName>
    <definedName name="___PG1" localSheetId="7">#REF!</definedName>
    <definedName name="___PG1" localSheetId="6">#REF!</definedName>
    <definedName name="___PG1">#REF!</definedName>
    <definedName name="___TB2004" localSheetId="5">#REF!</definedName>
    <definedName name="___TB2004" localSheetId="7">#REF!</definedName>
    <definedName name="___TB2004" localSheetId="6">#REF!</definedName>
    <definedName name="___TB2004">#REF!</definedName>
    <definedName name="___YE45" localSheetId="5">#REF!</definedName>
    <definedName name="___YE45" localSheetId="7">#REF!</definedName>
    <definedName name="___YE45" localSheetId="6">#REF!</definedName>
    <definedName name="___YE45">#REF!</definedName>
    <definedName name="__123Graph_A" localSheetId="5" hidden="1">#REF!</definedName>
    <definedName name="__123Graph_A" localSheetId="7" hidden="1">#REF!</definedName>
    <definedName name="__123Graph_A" localSheetId="6" hidden="1">#REF!</definedName>
    <definedName name="__123Graph_A" hidden="1">#REF!</definedName>
    <definedName name="__123Graph_B" localSheetId="5" hidden="1">#REF!</definedName>
    <definedName name="__123Graph_B" localSheetId="7" hidden="1">#REF!</definedName>
    <definedName name="__123Graph_B" localSheetId="6" hidden="1">#REF!</definedName>
    <definedName name="__123Graph_B" hidden="1">#REF!</definedName>
    <definedName name="__123Graph_D" localSheetId="5" hidden="1">#REF!</definedName>
    <definedName name="__123Graph_D" localSheetId="7" hidden="1">#REF!</definedName>
    <definedName name="__123Graph_D" localSheetId="6" hidden="1">#REF!</definedName>
    <definedName name="__123Graph_D" hidden="1">#REF!</definedName>
    <definedName name="__123Graph_X" localSheetId="5" hidden="1">#REF!</definedName>
    <definedName name="__123Graph_X" localSheetId="7" hidden="1">#REF!</definedName>
    <definedName name="__123Graph_X" localSheetId="6" hidden="1">#REF!</definedName>
    <definedName name="__123Graph_X" hidden="1">#REF!</definedName>
    <definedName name="__col1" localSheetId="5">#REF!</definedName>
    <definedName name="__col1" localSheetId="7">#REF!</definedName>
    <definedName name="__col1" localSheetId="6">#REF!</definedName>
    <definedName name="__col1">#REF!</definedName>
    <definedName name="__col10" localSheetId="5">#REF!</definedName>
    <definedName name="__col10" localSheetId="7">#REF!</definedName>
    <definedName name="__col10" localSheetId="6">#REF!</definedName>
    <definedName name="__col10">#REF!</definedName>
    <definedName name="__col11" localSheetId="5">#REF!</definedName>
    <definedName name="__col11" localSheetId="7">#REF!</definedName>
    <definedName name="__col11" localSheetId="6">#REF!</definedName>
    <definedName name="__col11">#REF!</definedName>
    <definedName name="__col12" localSheetId="5">#REF!</definedName>
    <definedName name="__col12" localSheetId="7">#REF!</definedName>
    <definedName name="__col12" localSheetId="6">#REF!</definedName>
    <definedName name="__col12">#REF!</definedName>
    <definedName name="__col13" localSheetId="5">#REF!</definedName>
    <definedName name="__col13" localSheetId="7">#REF!</definedName>
    <definedName name="__col13" localSheetId="6">#REF!</definedName>
    <definedName name="__col13">#REF!</definedName>
    <definedName name="__col2" localSheetId="5">#REF!</definedName>
    <definedName name="__col2" localSheetId="7">#REF!</definedName>
    <definedName name="__col2" localSheetId="6">#REF!</definedName>
    <definedName name="__col2">#REF!</definedName>
    <definedName name="__col3" localSheetId="5">#REF!</definedName>
    <definedName name="__col3" localSheetId="7">#REF!</definedName>
    <definedName name="__col3" localSheetId="6">#REF!</definedName>
    <definedName name="__col3">#REF!</definedName>
    <definedName name="__col4" localSheetId="5">#REF!</definedName>
    <definedName name="__col4" localSheetId="7">#REF!</definedName>
    <definedName name="__col4" localSheetId="6">#REF!</definedName>
    <definedName name="__col4">#REF!</definedName>
    <definedName name="__col5" localSheetId="5">#REF!</definedName>
    <definedName name="__col5" localSheetId="7">#REF!</definedName>
    <definedName name="__col5" localSheetId="6">#REF!</definedName>
    <definedName name="__col5">#REF!</definedName>
    <definedName name="__col6" localSheetId="5">#REF!</definedName>
    <definedName name="__col6" localSheetId="7">#REF!</definedName>
    <definedName name="__col6" localSheetId="6">#REF!</definedName>
    <definedName name="__col6">#REF!</definedName>
    <definedName name="__col7" localSheetId="5">#REF!</definedName>
    <definedName name="__col7" localSheetId="7">#REF!</definedName>
    <definedName name="__col7" localSheetId="6">#REF!</definedName>
    <definedName name="__col7">#REF!</definedName>
    <definedName name="__col8" localSheetId="5">#REF!</definedName>
    <definedName name="__col8" localSheetId="7">#REF!</definedName>
    <definedName name="__col8" localSheetId="6">#REF!</definedName>
    <definedName name="__col8">#REF!</definedName>
    <definedName name="__col9" localSheetId="5">#REF!</definedName>
    <definedName name="__col9" localSheetId="7">#REF!</definedName>
    <definedName name="__col9" localSheetId="6">#REF!</definedName>
    <definedName name="__col9">#REF!</definedName>
    <definedName name="__DAT" localSheetId="5">#REF!</definedName>
    <definedName name="__DAT" localSheetId="7">#REF!</definedName>
    <definedName name="__DAT" localSheetId="6">#REF!</definedName>
    <definedName name="__DAT">#REF!</definedName>
    <definedName name="__DAT1" localSheetId="5">#REF!</definedName>
    <definedName name="__DAT1" localSheetId="7">#REF!</definedName>
    <definedName name="__DAT1" localSheetId="6">#REF!</definedName>
    <definedName name="__DAT1">#REF!</definedName>
    <definedName name="__DAT10" localSheetId="5">#REF!</definedName>
    <definedName name="__DAT10" localSheetId="7">#REF!</definedName>
    <definedName name="__DAT10" localSheetId="6">#REF!</definedName>
    <definedName name="__DAT10">#REF!</definedName>
    <definedName name="__DAT11" localSheetId="5">#REF!</definedName>
    <definedName name="__DAT11" localSheetId="7">#REF!</definedName>
    <definedName name="__DAT11" localSheetId="6">#REF!</definedName>
    <definedName name="__DAT11">#REF!</definedName>
    <definedName name="__DAT12" localSheetId="5">#REF!</definedName>
    <definedName name="__DAT12" localSheetId="7">#REF!</definedName>
    <definedName name="__DAT12" localSheetId="6">#REF!</definedName>
    <definedName name="__DAT12">#REF!</definedName>
    <definedName name="__DAT13" localSheetId="5">#REF!</definedName>
    <definedName name="__DAT13" localSheetId="7">#REF!</definedName>
    <definedName name="__DAT13" localSheetId="6">#REF!</definedName>
    <definedName name="__DAT13">#REF!</definedName>
    <definedName name="__DAT14" localSheetId="5">#REF!</definedName>
    <definedName name="__DAT14" localSheetId="7">#REF!</definedName>
    <definedName name="__DAT14" localSheetId="6">#REF!</definedName>
    <definedName name="__DAT14">#REF!</definedName>
    <definedName name="__DAT15" localSheetId="5">#REF!</definedName>
    <definedName name="__DAT15" localSheetId="7">#REF!</definedName>
    <definedName name="__DAT15" localSheetId="6">#REF!</definedName>
    <definedName name="__DAT15">#REF!</definedName>
    <definedName name="__DAT16" localSheetId="5">#REF!</definedName>
    <definedName name="__DAT16" localSheetId="7">#REF!</definedName>
    <definedName name="__DAT16" localSheetId="6">#REF!</definedName>
    <definedName name="__DAT16">#REF!</definedName>
    <definedName name="__DAT17" localSheetId="5">#REF!</definedName>
    <definedName name="__DAT17" localSheetId="7">#REF!</definedName>
    <definedName name="__DAT17" localSheetId="6">#REF!</definedName>
    <definedName name="__DAT17">#REF!</definedName>
    <definedName name="__DAT2" localSheetId="5">#REF!</definedName>
    <definedName name="__DAT2" localSheetId="7">#REF!</definedName>
    <definedName name="__DAT2" localSheetId="6">#REF!</definedName>
    <definedName name="__DAT2">#REF!</definedName>
    <definedName name="__DAT3" localSheetId="5">#REF!</definedName>
    <definedName name="__DAT3" localSheetId="7">#REF!</definedName>
    <definedName name="__DAT3" localSheetId="6">#REF!</definedName>
    <definedName name="__DAT3">#REF!</definedName>
    <definedName name="__DAT4" localSheetId="5">#REF!</definedName>
    <definedName name="__DAT4" localSheetId="7">#REF!</definedName>
    <definedName name="__DAT4" localSheetId="6">#REF!</definedName>
    <definedName name="__DAT4">#REF!</definedName>
    <definedName name="__DAT5" localSheetId="5">#REF!</definedName>
    <definedName name="__DAT5" localSheetId="7">#REF!</definedName>
    <definedName name="__DAT5" localSheetId="6">#REF!</definedName>
    <definedName name="__DAT5">#REF!</definedName>
    <definedName name="__DAT6" localSheetId="5">#REF!</definedName>
    <definedName name="__DAT6" localSheetId="7">#REF!</definedName>
    <definedName name="__DAT6" localSheetId="6">#REF!</definedName>
    <definedName name="__DAT6">#REF!</definedName>
    <definedName name="__DAT7" localSheetId="5">#REF!</definedName>
    <definedName name="__DAT7" localSheetId="7">#REF!</definedName>
    <definedName name="__DAT7" localSheetId="6">#REF!</definedName>
    <definedName name="__DAT7">#REF!</definedName>
    <definedName name="__DAT8" localSheetId="5">#REF!</definedName>
    <definedName name="__DAT8" localSheetId="7">#REF!</definedName>
    <definedName name="__DAT8" localSheetId="6">#REF!</definedName>
    <definedName name="__DAT8">#REF!</definedName>
    <definedName name="__DAT9" localSheetId="5">#REF!</definedName>
    <definedName name="__DAT9" localSheetId="7">#REF!</definedName>
    <definedName name="__DAT9" localSheetId="6">#REF!</definedName>
    <definedName name="__DAT9">#REF!</definedName>
    <definedName name="__FDS_HYPERLINK_TOGGLE_STATE__">"ON"</definedName>
    <definedName name="__IntlFixup">TRUE</definedName>
    <definedName name="__MAR9091" localSheetId="5">#REF!</definedName>
    <definedName name="__MAR9091" localSheetId="7">#REF!</definedName>
    <definedName name="__MAR9091" localSheetId="6">#REF!</definedName>
    <definedName name="__MAR9091">#REF!</definedName>
    <definedName name="__New1" localSheetId="5">#REF!</definedName>
    <definedName name="__New1" localSheetId="7">#REF!</definedName>
    <definedName name="__New1" localSheetId="6">#REF!</definedName>
    <definedName name="__New1">#REF!</definedName>
    <definedName name="__P1" localSheetId="5">#REF!</definedName>
    <definedName name="__P1" localSheetId="7">#REF!</definedName>
    <definedName name="__P1" localSheetId="6">#REF!</definedName>
    <definedName name="__P1">#REF!</definedName>
    <definedName name="__PG1" localSheetId="5">#REF!</definedName>
    <definedName name="__PG1" localSheetId="7">#REF!</definedName>
    <definedName name="__PG1" localSheetId="6">#REF!</definedName>
    <definedName name="__PG1">#REF!</definedName>
    <definedName name="__PG6" localSheetId="5">#REF!</definedName>
    <definedName name="__PG6" localSheetId="7">#REF!</definedName>
    <definedName name="__PG6" localSheetId="6">#REF!</definedName>
    <definedName name="__PG6">#REF!</definedName>
    <definedName name="__sep97" localSheetId="5">#REF!</definedName>
    <definedName name="__sep97" localSheetId="7">#REF!</definedName>
    <definedName name="__sep97" localSheetId="6">#REF!</definedName>
    <definedName name="__sep97">#REF!</definedName>
    <definedName name="__sht1" localSheetId="5">#REF!</definedName>
    <definedName name="__sht1" localSheetId="7">#REF!</definedName>
    <definedName name="__sht1" localSheetId="6">#REF!</definedName>
    <definedName name="__sht1">#REF!</definedName>
    <definedName name="__TAX1" localSheetId="5">#REF!</definedName>
    <definedName name="__TAX1" localSheetId="7">#REF!</definedName>
    <definedName name="__TAX1" localSheetId="6">#REF!</definedName>
    <definedName name="__TAX1">#REF!</definedName>
    <definedName name="__TB2004" localSheetId="5">#REF!</definedName>
    <definedName name="__TB2004" localSheetId="7">#REF!</definedName>
    <definedName name="__TB2004" localSheetId="6">#REF!</definedName>
    <definedName name="__TB2004">#REF!</definedName>
    <definedName name="__YE45" localSheetId="5">#REF!</definedName>
    <definedName name="__YE45" localSheetId="7">#REF!</definedName>
    <definedName name="__YE45" localSheetId="6">#REF!</definedName>
    <definedName name="__YE45">#REF!</definedName>
    <definedName name="_1" localSheetId="5">#REF!</definedName>
    <definedName name="_1" localSheetId="7">#REF!</definedName>
    <definedName name="_1" localSheetId="6">#REF!</definedName>
    <definedName name="_1">#REF!</definedName>
    <definedName name="_10" localSheetId="5">#REF!</definedName>
    <definedName name="_10" localSheetId="7">#REF!</definedName>
    <definedName name="_10" localSheetId="6">#REF!</definedName>
    <definedName name="_10">#REF!</definedName>
    <definedName name="_10_9_BT_DECEMB" localSheetId="5">#REF!</definedName>
    <definedName name="_10_9_BT_DECEMB" localSheetId="7">#REF!</definedName>
    <definedName name="_10_9_BT_DECEMB" localSheetId="6">#REF!</definedName>
    <definedName name="_10_9_BT_DECEMB">#REF!</definedName>
    <definedName name="_10_9_BT_FEBRUA" localSheetId="5">#REF!</definedName>
    <definedName name="_10_9_BT_FEBRUA" localSheetId="7">#REF!</definedName>
    <definedName name="_10_9_BT_FEBRUA" localSheetId="6">#REF!</definedName>
    <definedName name="_10_9_BT_FEBRUA">#REF!</definedName>
    <definedName name="_10_9_BT_NOVEMB" localSheetId="5">#REF!</definedName>
    <definedName name="_10_9_BT_NOVEMB" localSheetId="7">#REF!</definedName>
    <definedName name="_10_9_BT_NOVEMB" localSheetId="6">#REF!</definedName>
    <definedName name="_10_9_BT_NOVEMB">#REF!</definedName>
    <definedName name="_10_9_BT_SEPTEM" localSheetId="5">#REF!</definedName>
    <definedName name="_10_9_BT_SEPTEM" localSheetId="7">#REF!</definedName>
    <definedName name="_10_9_BT_SEPTEM" localSheetId="6">#REF!</definedName>
    <definedName name="_10_9_BT_SEPTEM">#REF!</definedName>
    <definedName name="_10_9_BTU_ANNUA" localSheetId="5">#REF!</definedName>
    <definedName name="_10_9_BTU_ANNUA" localSheetId="7">#REF!</definedName>
    <definedName name="_10_9_BTU_ANNUA" localSheetId="6">#REF!</definedName>
    <definedName name="_10_9_BTU_ANNUA">#REF!</definedName>
    <definedName name="_10_9_BTU_APRIL" localSheetId="5">#REF!</definedName>
    <definedName name="_10_9_BTU_APRIL" localSheetId="7">#REF!</definedName>
    <definedName name="_10_9_BTU_APRIL" localSheetId="6">#REF!</definedName>
    <definedName name="_10_9_BTU_APRIL">#REF!</definedName>
    <definedName name="_10_9_BTU_AUGUS" localSheetId="5">#REF!</definedName>
    <definedName name="_10_9_BTU_AUGUS" localSheetId="7">#REF!</definedName>
    <definedName name="_10_9_BTU_AUGUS" localSheetId="6">#REF!</definedName>
    <definedName name="_10_9_BTU_AUGUS">#REF!</definedName>
    <definedName name="_10_9_BTU_JANUA" localSheetId="5">#REF!</definedName>
    <definedName name="_10_9_BTU_JANUA" localSheetId="7">#REF!</definedName>
    <definedName name="_10_9_BTU_JANUA" localSheetId="6">#REF!</definedName>
    <definedName name="_10_9_BTU_JANUA">#REF!</definedName>
    <definedName name="_10_9_BTU_JULY" localSheetId="5">#REF!</definedName>
    <definedName name="_10_9_BTU_JULY" localSheetId="7">#REF!</definedName>
    <definedName name="_10_9_BTU_JULY" localSheetId="6">#REF!</definedName>
    <definedName name="_10_9_BTU_JULY">#REF!</definedName>
    <definedName name="_10_9_BTU_JUNE" localSheetId="5">#REF!</definedName>
    <definedName name="_10_9_BTU_JUNE" localSheetId="7">#REF!</definedName>
    <definedName name="_10_9_BTU_JUNE" localSheetId="6">#REF!</definedName>
    <definedName name="_10_9_BTU_JUNE">#REF!</definedName>
    <definedName name="_10_9_BTU_MARCH" localSheetId="5">#REF!</definedName>
    <definedName name="_10_9_BTU_MARCH" localSheetId="7">#REF!</definedName>
    <definedName name="_10_9_BTU_MARCH" localSheetId="6">#REF!</definedName>
    <definedName name="_10_9_BTU_MARCH">#REF!</definedName>
    <definedName name="_10_9_BTU_MAY" localSheetId="5">#REF!</definedName>
    <definedName name="_10_9_BTU_MAY" localSheetId="7">#REF!</definedName>
    <definedName name="_10_9_BTU_MAY" localSheetId="6">#REF!</definedName>
    <definedName name="_10_9_BTU_MAY">#REF!</definedName>
    <definedName name="_10_9_BTU_OCTOB" localSheetId="5">#REF!</definedName>
    <definedName name="_10_9_BTU_OCTOB" localSheetId="7">#REF!</definedName>
    <definedName name="_10_9_BTU_OCTOB" localSheetId="6">#REF!</definedName>
    <definedName name="_10_9_BTU_OCTOB">#REF!</definedName>
    <definedName name="_3" localSheetId="5">#REF!</definedName>
    <definedName name="_3" localSheetId="7">#REF!</definedName>
    <definedName name="_3" localSheetId="6">#REF!</definedName>
    <definedName name="_3">#REF!</definedName>
    <definedName name="_31_Mar_10" localSheetId="5">#REF!</definedName>
    <definedName name="_31_Mar_10" localSheetId="7">#REF!</definedName>
    <definedName name="_31_Mar_10" localSheetId="6">#REF!</definedName>
    <definedName name="_31_Mar_10">#REF!</definedName>
    <definedName name="_31_Mar_18" localSheetId="5">#REF!</definedName>
    <definedName name="_31_Mar_18" localSheetId="7">#REF!</definedName>
    <definedName name="_31_Mar_18" localSheetId="6">#REF!</definedName>
    <definedName name="_31_Mar_18">#REF!</definedName>
    <definedName name="_4" localSheetId="5">#REF!</definedName>
    <definedName name="_4" localSheetId="7">#REF!</definedName>
    <definedName name="_4" localSheetId="6">#REF!</definedName>
    <definedName name="_4">#REF!</definedName>
    <definedName name="_5" localSheetId="5">#REF!</definedName>
    <definedName name="_5" localSheetId="7">#REF!</definedName>
    <definedName name="_5" localSheetId="6">#REF!</definedName>
    <definedName name="_5">#REF!</definedName>
    <definedName name="_6" localSheetId="5">#REF!</definedName>
    <definedName name="_6" localSheetId="7">#REF!</definedName>
    <definedName name="_6" localSheetId="6">#REF!</definedName>
    <definedName name="_6">#REF!</definedName>
    <definedName name="_7" localSheetId="5">#REF!</definedName>
    <definedName name="_7" localSheetId="7">#REF!</definedName>
    <definedName name="_7" localSheetId="6">#REF!</definedName>
    <definedName name="_7">#REF!</definedName>
    <definedName name="_8" localSheetId="5">#REF!</definedName>
    <definedName name="_8" localSheetId="7">#REF!</definedName>
    <definedName name="_8" localSheetId="6">#REF!</definedName>
    <definedName name="_8">#REF!</definedName>
    <definedName name="_9" localSheetId="5">#REF!</definedName>
    <definedName name="_9" localSheetId="7">#REF!</definedName>
    <definedName name="_9" localSheetId="6">#REF!</definedName>
    <definedName name="_9">#REF!</definedName>
    <definedName name="_BSH1" localSheetId="5">#REF!</definedName>
    <definedName name="_BSH1" localSheetId="7">#REF!</definedName>
    <definedName name="_BSH1" localSheetId="6">#REF!</definedName>
    <definedName name="_BSH1">#REF!</definedName>
    <definedName name="_BSH2" localSheetId="5">#REF!</definedName>
    <definedName name="_BSH2" localSheetId="7">#REF!</definedName>
    <definedName name="_BSH2" localSheetId="6">#REF!</definedName>
    <definedName name="_BSH2">#REF!</definedName>
    <definedName name="_BSH3" localSheetId="5">#REF!</definedName>
    <definedName name="_BSH3" localSheetId="7">#REF!</definedName>
    <definedName name="_BSH3" localSheetId="6">#REF!</definedName>
    <definedName name="_BSH3">#REF!</definedName>
    <definedName name="_col1" localSheetId="5">#REF!</definedName>
    <definedName name="_col1" localSheetId="7">#REF!</definedName>
    <definedName name="_col1" localSheetId="6">#REF!</definedName>
    <definedName name="_col1">#REF!</definedName>
    <definedName name="_col10" localSheetId="5">#REF!</definedName>
    <definedName name="_col10" localSheetId="7">#REF!</definedName>
    <definedName name="_col10" localSheetId="6">#REF!</definedName>
    <definedName name="_col10">#REF!</definedName>
    <definedName name="_col11" localSheetId="5">#REF!</definedName>
    <definedName name="_col11" localSheetId="7">#REF!</definedName>
    <definedName name="_col11" localSheetId="6">#REF!</definedName>
    <definedName name="_col11">#REF!</definedName>
    <definedName name="_col12" localSheetId="5">#REF!</definedName>
    <definedName name="_col12" localSheetId="7">#REF!</definedName>
    <definedName name="_col12" localSheetId="6">#REF!</definedName>
    <definedName name="_col12">#REF!</definedName>
    <definedName name="_col13" localSheetId="5">#REF!</definedName>
    <definedName name="_col13" localSheetId="7">#REF!</definedName>
    <definedName name="_col13" localSheetId="6">#REF!</definedName>
    <definedName name="_col13">#REF!</definedName>
    <definedName name="_col2" localSheetId="5">#REF!</definedName>
    <definedName name="_col2" localSheetId="7">#REF!</definedName>
    <definedName name="_col2" localSheetId="6">#REF!</definedName>
    <definedName name="_col2">#REF!</definedName>
    <definedName name="_col3" localSheetId="5">#REF!</definedName>
    <definedName name="_col3" localSheetId="7">#REF!</definedName>
    <definedName name="_col3" localSheetId="6">#REF!</definedName>
    <definedName name="_col3">#REF!</definedName>
    <definedName name="_col4" localSheetId="5">#REF!</definedName>
    <definedName name="_col4" localSheetId="7">#REF!</definedName>
    <definedName name="_col4" localSheetId="6">#REF!</definedName>
    <definedName name="_col4">#REF!</definedName>
    <definedName name="_col5" localSheetId="5">#REF!</definedName>
    <definedName name="_col5" localSheetId="7">#REF!</definedName>
    <definedName name="_col5" localSheetId="6">#REF!</definedName>
    <definedName name="_col5">#REF!</definedName>
    <definedName name="_col6" localSheetId="5">#REF!</definedName>
    <definedName name="_col6" localSheetId="7">#REF!</definedName>
    <definedName name="_col6" localSheetId="6">#REF!</definedName>
    <definedName name="_col6">#REF!</definedName>
    <definedName name="_col7" localSheetId="5">#REF!</definedName>
    <definedName name="_col7" localSheetId="7">#REF!</definedName>
    <definedName name="_col7" localSheetId="6">#REF!</definedName>
    <definedName name="_col7">#REF!</definedName>
    <definedName name="_col8" localSheetId="5">#REF!</definedName>
    <definedName name="_col8" localSheetId="7">#REF!</definedName>
    <definedName name="_col8" localSheetId="6">#REF!</definedName>
    <definedName name="_col8">#REF!</definedName>
    <definedName name="_col9" localSheetId="5">#REF!</definedName>
    <definedName name="_col9" localSheetId="7">#REF!</definedName>
    <definedName name="_col9" localSheetId="6">#REF!</definedName>
    <definedName name="_col9">#REF!</definedName>
    <definedName name="_cpg1" localSheetId="5">#REF!</definedName>
    <definedName name="_cpg1" localSheetId="7">#REF!</definedName>
    <definedName name="_cpg1" localSheetId="6">#REF!</definedName>
    <definedName name="_cpg1">#REF!</definedName>
    <definedName name="_CPG2" localSheetId="5">#REF!</definedName>
    <definedName name="_CPG2" localSheetId="7">#REF!</definedName>
    <definedName name="_CPG2" localSheetId="6">#REF!</definedName>
    <definedName name="_CPG2">#REF!</definedName>
    <definedName name="_DAT1" localSheetId="5">#REF!</definedName>
    <definedName name="_DAT1" localSheetId="7">#REF!</definedName>
    <definedName name="_DAT1" localSheetId="6">#REF!</definedName>
    <definedName name="_DAT1">#REF!</definedName>
    <definedName name="_DAT10" localSheetId="5">#REF!</definedName>
    <definedName name="_DAT10" localSheetId="7">#REF!</definedName>
    <definedName name="_DAT10" localSheetId="6">#REF!</definedName>
    <definedName name="_DAT10">#REF!</definedName>
    <definedName name="_DAT11" localSheetId="5">#REF!</definedName>
    <definedName name="_DAT11" localSheetId="7">#REF!</definedName>
    <definedName name="_DAT11" localSheetId="6">#REF!</definedName>
    <definedName name="_DAT11">#REF!</definedName>
    <definedName name="_DAT12" localSheetId="5">#REF!</definedName>
    <definedName name="_DAT12" localSheetId="7">#REF!</definedName>
    <definedName name="_DAT12" localSheetId="6">#REF!</definedName>
    <definedName name="_DAT12">#REF!</definedName>
    <definedName name="_DAT13" localSheetId="5">#REF!</definedName>
    <definedName name="_DAT13" localSheetId="7">#REF!</definedName>
    <definedName name="_DAT13" localSheetId="6">#REF!</definedName>
    <definedName name="_DAT13">#REF!</definedName>
    <definedName name="_DAT14" localSheetId="5">#REF!</definedName>
    <definedName name="_DAT14" localSheetId="7">#REF!</definedName>
    <definedName name="_DAT14" localSheetId="6">#REF!</definedName>
    <definedName name="_DAT14">#REF!</definedName>
    <definedName name="_DAT15" localSheetId="5">#REF!</definedName>
    <definedName name="_DAT15" localSheetId="7">#REF!</definedName>
    <definedName name="_DAT15" localSheetId="6">#REF!</definedName>
    <definedName name="_DAT15">#REF!</definedName>
    <definedName name="_DAT16" localSheetId="5">#REF!</definedName>
    <definedName name="_DAT16" localSheetId="7">#REF!</definedName>
    <definedName name="_DAT16" localSheetId="6">#REF!</definedName>
    <definedName name="_DAT16">#REF!</definedName>
    <definedName name="_DAT17" localSheetId="5">#REF!</definedName>
    <definedName name="_DAT17" localSheetId="7">#REF!</definedName>
    <definedName name="_DAT17" localSheetId="6">#REF!</definedName>
    <definedName name="_DAT17">#REF!</definedName>
    <definedName name="_DAT2" localSheetId="5">#REF!</definedName>
    <definedName name="_DAT2" localSheetId="7">#REF!</definedName>
    <definedName name="_DAT2" localSheetId="6">#REF!</definedName>
    <definedName name="_DAT2">#REF!</definedName>
    <definedName name="_DAT3" localSheetId="5">#REF!</definedName>
    <definedName name="_DAT3" localSheetId="7">#REF!</definedName>
    <definedName name="_DAT3" localSheetId="6">#REF!</definedName>
    <definedName name="_DAT3">#REF!</definedName>
    <definedName name="_DAT4" localSheetId="5">#REF!</definedName>
    <definedName name="_DAT4" localSheetId="7">#REF!</definedName>
    <definedName name="_DAT4" localSheetId="6">#REF!</definedName>
    <definedName name="_DAT4">#REF!</definedName>
    <definedName name="_DAT5" localSheetId="5">#REF!</definedName>
    <definedName name="_DAT5" localSheetId="7">#REF!</definedName>
    <definedName name="_DAT5" localSheetId="6">#REF!</definedName>
    <definedName name="_DAT5">#REF!</definedName>
    <definedName name="_DAT6" localSheetId="5">#REF!</definedName>
    <definedName name="_DAT6" localSheetId="7">#REF!</definedName>
    <definedName name="_DAT6" localSheetId="6">#REF!</definedName>
    <definedName name="_DAT6">#REF!</definedName>
    <definedName name="_DAT7" localSheetId="5">#REF!</definedName>
    <definedName name="_DAT7" localSheetId="7">#REF!</definedName>
    <definedName name="_DAT7" localSheetId="6">#REF!</definedName>
    <definedName name="_DAT7">#REF!</definedName>
    <definedName name="_DAT8" localSheetId="5">#REF!</definedName>
    <definedName name="_DAT8" localSheetId="7">#REF!</definedName>
    <definedName name="_DAT8" localSheetId="6">#REF!</definedName>
    <definedName name="_DAT8">#REF!</definedName>
    <definedName name="_DAT9" localSheetId="5">#REF!</definedName>
    <definedName name="_DAT9" localSheetId="7">#REF!</definedName>
    <definedName name="_DAT9" localSheetId="6">#REF!</definedName>
    <definedName name="_DAT9">#REF!</definedName>
    <definedName name="_Fill" localSheetId="5" hidden="1">#REF!</definedName>
    <definedName name="_Fill" localSheetId="7" hidden="1">#REF!</definedName>
    <definedName name="_Fill" localSheetId="6" hidden="1">#REF!</definedName>
    <definedName name="_Fill" hidden="1">#REF!</definedName>
    <definedName name="_xlnm._FilterDatabase" localSheetId="8" hidden="1">'Holding Detailed Exp summary'!#REF!</definedName>
    <definedName name="_xlnm._FilterDatabase" localSheetId="16" hidden="1">'Ind Bud-Exp'!$A$1:$A$489</definedName>
    <definedName name="_xlnm._FilterDatabase" localSheetId="23" hidden="1">'June-Actual'!$A$4:$U$31</definedName>
    <definedName name="_xlnm._FilterDatabase" localSheetId="22" hidden="1">'June-Fore.'!$A$5:$U$33</definedName>
    <definedName name="_xlnm._FilterDatabase" localSheetId="24" hidden="1">'June-Variance'!$A$4:$E$31</definedName>
    <definedName name="_xlnm._FilterDatabase" localSheetId="19" hidden="1">'May-Actual'!$A$4:$U$30</definedName>
    <definedName name="_xlnm._FilterDatabase" localSheetId="4" hidden="1">'May-April'!$A$6:$K$152</definedName>
    <definedName name="_xlnm._FilterDatabase" localSheetId="20" hidden="1">'May-Forecast'!$A$4:$U$4</definedName>
    <definedName name="_xlnm._FilterDatabase" localSheetId="21" hidden="1">'May-Variance'!$A$3:$E$28</definedName>
    <definedName name="_xlnm._FilterDatabase" localSheetId="13" hidden="1">'Proforma- July'!#REF!</definedName>
    <definedName name="_xlnm._FilterDatabase" localSheetId="12" hidden="1">'Proforma-June'!#REF!</definedName>
    <definedName name="_xlnm._FilterDatabase" localSheetId="11" hidden="1">'Proforma-May'!#REF!</definedName>
    <definedName name="_xlnm._FilterDatabase" localSheetId="9" hidden="1">'Subs Detailed Exp Summary'!$A$1:$X$193</definedName>
    <definedName name="_Key1" localSheetId="5" hidden="1">#REF!</definedName>
    <definedName name="_Key1" localSheetId="7" hidden="1">#REF!</definedName>
    <definedName name="_Key1" localSheetId="6" hidden="1">#REF!</definedName>
    <definedName name="_Key1" hidden="1">#REF!</definedName>
    <definedName name="_MAR9091" localSheetId="5">#REF!</definedName>
    <definedName name="_MAR9091" localSheetId="7">#REF!</definedName>
    <definedName name="_MAR9091" localSheetId="6">#REF!</definedName>
    <definedName name="_MAR9091">#REF!</definedName>
    <definedName name="_mar98" localSheetId="5">#REF!</definedName>
    <definedName name="_mar98" localSheetId="7">#REF!</definedName>
    <definedName name="_mar98" localSheetId="6">#REF!</definedName>
    <definedName name="_mar98">#REF!</definedName>
    <definedName name="_mar99" localSheetId="5">#REF!</definedName>
    <definedName name="_mar99" localSheetId="7">#REF!</definedName>
    <definedName name="_mar99" localSheetId="6">#REF!</definedName>
    <definedName name="_mar99">#REF!</definedName>
    <definedName name="_msy1" localSheetId="5">#REF!</definedName>
    <definedName name="_msy1" localSheetId="7">#REF!</definedName>
    <definedName name="_msy1" localSheetId="6">#REF!</definedName>
    <definedName name="_msy1">#REF!</definedName>
    <definedName name="_msy2" localSheetId="5">#REF!</definedName>
    <definedName name="_msy2" localSheetId="7">#REF!</definedName>
    <definedName name="_msy2" localSheetId="6">#REF!</definedName>
    <definedName name="_msy2">#REF!</definedName>
    <definedName name="_msy3" localSheetId="5">#REF!</definedName>
    <definedName name="_msy3" localSheetId="7">#REF!</definedName>
    <definedName name="_msy3" localSheetId="6">#REF!</definedName>
    <definedName name="_msy3">#REF!</definedName>
    <definedName name="_msy4" localSheetId="5">#REF!</definedName>
    <definedName name="_msy4" localSheetId="7">#REF!</definedName>
    <definedName name="_msy4" localSheetId="6">#REF!</definedName>
    <definedName name="_msy4">#REF!</definedName>
    <definedName name="_nav2000" localSheetId="5">#REF!</definedName>
    <definedName name="_nav2000" localSheetId="7">#REF!</definedName>
    <definedName name="_nav2000" localSheetId="6">#REF!</definedName>
    <definedName name="_nav2000">#REF!</definedName>
    <definedName name="_net99" localSheetId="5">#REF!</definedName>
    <definedName name="_net99" localSheetId="7">#REF!</definedName>
    <definedName name="_net99" localSheetId="6">#REF!</definedName>
    <definedName name="_net99">#REF!</definedName>
    <definedName name="_New1" localSheetId="5">#REF!</definedName>
    <definedName name="_New1" localSheetId="7">#REF!</definedName>
    <definedName name="_New1" localSheetId="6">#REF!</definedName>
    <definedName name="_New1">#REF!</definedName>
    <definedName name="_nov99" localSheetId="5">#REF!</definedName>
    <definedName name="_nov99" localSheetId="7">#REF!</definedName>
    <definedName name="_nov99" localSheetId="6">#REF!</definedName>
    <definedName name="_nov99">#REF!</definedName>
    <definedName name="_Order1">255</definedName>
    <definedName name="_Order2">0</definedName>
    <definedName name="_P1" localSheetId="5">#REF!</definedName>
    <definedName name="_P1" localSheetId="7">#REF!</definedName>
    <definedName name="_P1" localSheetId="6">#REF!</definedName>
    <definedName name="_P1">#REF!</definedName>
    <definedName name="_Parse_Out" localSheetId="5" hidden="1">#REF!</definedName>
    <definedName name="_Parse_Out" localSheetId="7" hidden="1">#REF!</definedName>
    <definedName name="_Parse_Out" localSheetId="6" hidden="1">#REF!</definedName>
    <definedName name="_Parse_Out" hidden="1">#REF!</definedName>
    <definedName name="_pg1" localSheetId="5">#REF!</definedName>
    <definedName name="_pg1" localSheetId="7">#REF!</definedName>
    <definedName name="_pg1" localSheetId="6">#REF!</definedName>
    <definedName name="_pg1">#REF!</definedName>
    <definedName name="_pg2" localSheetId="5">#REF!</definedName>
    <definedName name="_pg2" localSheetId="7">#REF!</definedName>
    <definedName name="_pg2" localSheetId="6">#REF!</definedName>
    <definedName name="_pg2">#REF!</definedName>
    <definedName name="_PG6" localSheetId="5">#REF!</definedName>
    <definedName name="_PG6" localSheetId="7">#REF!</definedName>
    <definedName name="_PG6" localSheetId="6">#REF!</definedName>
    <definedName name="_PG6">#REF!</definedName>
    <definedName name="_rev1" localSheetId="5">#REF!</definedName>
    <definedName name="_rev1" localSheetId="7">#REF!</definedName>
    <definedName name="_rev1" localSheetId="6">#REF!</definedName>
    <definedName name="_rev1">#REF!</definedName>
    <definedName name="_rev10" localSheetId="5">#REF!</definedName>
    <definedName name="_rev10" localSheetId="7">#REF!</definedName>
    <definedName name="_rev10" localSheetId="6">#REF!</definedName>
    <definedName name="_rev10">#REF!</definedName>
    <definedName name="_rev11" localSheetId="5">#REF!</definedName>
    <definedName name="_rev11" localSheetId="7">#REF!</definedName>
    <definedName name="_rev11" localSheetId="6">#REF!</definedName>
    <definedName name="_rev11">#REF!</definedName>
    <definedName name="_rev12" localSheetId="5">#REF!</definedName>
    <definedName name="_rev12" localSheetId="7">#REF!</definedName>
    <definedName name="_rev12" localSheetId="6">#REF!</definedName>
    <definedName name="_rev12">#REF!</definedName>
    <definedName name="_rev13" localSheetId="5">#REF!</definedName>
    <definedName name="_rev13" localSheetId="7">#REF!</definedName>
    <definedName name="_rev13" localSheetId="6">#REF!</definedName>
    <definedName name="_rev13">#REF!</definedName>
    <definedName name="_rev14" localSheetId="5">#REF!</definedName>
    <definedName name="_rev14" localSheetId="7">#REF!</definedName>
    <definedName name="_rev14" localSheetId="6">#REF!</definedName>
    <definedName name="_rev14">#REF!</definedName>
    <definedName name="_rev15" localSheetId="5">#REF!</definedName>
    <definedName name="_rev15" localSheetId="7">#REF!</definedName>
    <definedName name="_rev15" localSheetId="6">#REF!</definedName>
    <definedName name="_rev15">#REF!</definedName>
    <definedName name="_rev16" localSheetId="5">#REF!</definedName>
    <definedName name="_rev16" localSheetId="7">#REF!</definedName>
    <definedName name="_rev16" localSheetId="6">#REF!</definedName>
    <definedName name="_rev16">#REF!</definedName>
    <definedName name="_rev17" localSheetId="5">#REF!</definedName>
    <definedName name="_rev17" localSheetId="7">#REF!</definedName>
    <definedName name="_rev17" localSheetId="6">#REF!</definedName>
    <definedName name="_rev17">#REF!</definedName>
    <definedName name="_rev18" localSheetId="5">#REF!</definedName>
    <definedName name="_rev18" localSheetId="7">#REF!</definedName>
    <definedName name="_rev18" localSheetId="6">#REF!</definedName>
    <definedName name="_rev18">#REF!</definedName>
    <definedName name="_rev19" localSheetId="5">#REF!</definedName>
    <definedName name="_rev19" localSheetId="7">#REF!</definedName>
    <definedName name="_rev19" localSheetId="6">#REF!</definedName>
    <definedName name="_rev19">#REF!</definedName>
    <definedName name="_rev2" localSheetId="5">#REF!</definedName>
    <definedName name="_rev2" localSheetId="7">#REF!</definedName>
    <definedName name="_rev2" localSheetId="6">#REF!</definedName>
    <definedName name="_rev2">#REF!</definedName>
    <definedName name="_rev20" localSheetId="5">#REF!</definedName>
    <definedName name="_rev20" localSheetId="7">#REF!</definedName>
    <definedName name="_rev20" localSheetId="6">#REF!</definedName>
    <definedName name="_rev20">#REF!</definedName>
    <definedName name="_rev3" localSheetId="5">#REF!</definedName>
    <definedName name="_rev3" localSheetId="7">#REF!</definedName>
    <definedName name="_rev3" localSheetId="6">#REF!</definedName>
    <definedName name="_rev3">#REF!</definedName>
    <definedName name="_rev4" localSheetId="5">#REF!</definedName>
    <definedName name="_rev4" localSheetId="7">#REF!</definedName>
    <definedName name="_rev4" localSheetId="6">#REF!</definedName>
    <definedName name="_rev4">#REF!</definedName>
    <definedName name="_rev5" localSheetId="5">#REF!</definedName>
    <definedName name="_rev5" localSheetId="7">#REF!</definedName>
    <definedName name="_rev5" localSheetId="6">#REF!</definedName>
    <definedName name="_rev5">#REF!</definedName>
    <definedName name="_rev6" localSheetId="5">#REF!</definedName>
    <definedName name="_rev6" localSheetId="7">#REF!</definedName>
    <definedName name="_rev6" localSheetId="6">#REF!</definedName>
    <definedName name="_rev6">#REF!</definedName>
    <definedName name="_rev7" localSheetId="5">#REF!</definedName>
    <definedName name="_rev7" localSheetId="7">#REF!</definedName>
    <definedName name="_rev7" localSheetId="6">#REF!</definedName>
    <definedName name="_rev7">#REF!</definedName>
    <definedName name="_rev8" localSheetId="5">#REF!</definedName>
    <definedName name="_rev8" localSheetId="7">#REF!</definedName>
    <definedName name="_rev8" localSheetId="6">#REF!</definedName>
    <definedName name="_rev8">#REF!</definedName>
    <definedName name="_rev9" localSheetId="5">#REF!</definedName>
    <definedName name="_rev9" localSheetId="7">#REF!</definedName>
    <definedName name="_rev9" localSheetId="6">#REF!</definedName>
    <definedName name="_rev9">#REF!</definedName>
    <definedName name="_sch13" localSheetId="5">#REF!</definedName>
    <definedName name="_sch13" localSheetId="7">#REF!</definedName>
    <definedName name="_sch13" localSheetId="6">#REF!</definedName>
    <definedName name="_sch13">#REF!</definedName>
    <definedName name="_sch14" localSheetId="5">#REF!</definedName>
    <definedName name="_sch14" localSheetId="7">#REF!</definedName>
    <definedName name="_sch14" localSheetId="6">#REF!</definedName>
    <definedName name="_sch14">#REF!</definedName>
    <definedName name="_sch15" localSheetId="5">#REF!</definedName>
    <definedName name="_sch15" localSheetId="7">#REF!</definedName>
    <definedName name="_sch15" localSheetId="6">#REF!</definedName>
    <definedName name="_sch15">#REF!</definedName>
    <definedName name="_sch16" localSheetId="5">#REF!</definedName>
    <definedName name="_sch16" localSheetId="7">#REF!</definedName>
    <definedName name="_sch16" localSheetId="6">#REF!</definedName>
    <definedName name="_sch16">#REF!</definedName>
    <definedName name="_sep97" localSheetId="5">#REF!</definedName>
    <definedName name="_sep97" localSheetId="7">#REF!</definedName>
    <definedName name="_sep97" localSheetId="6">#REF!</definedName>
    <definedName name="_sep97">#REF!</definedName>
    <definedName name="_sht1" localSheetId="5">#REF!</definedName>
    <definedName name="_sht1" localSheetId="7">#REF!</definedName>
    <definedName name="_sht1" localSheetId="6">#REF!</definedName>
    <definedName name="_sht1">#REF!</definedName>
    <definedName name="_Sort" localSheetId="5" hidden="1">#REF!</definedName>
    <definedName name="_Sort" localSheetId="7" hidden="1">#REF!</definedName>
    <definedName name="_Sort" localSheetId="6" hidden="1">#REF!</definedName>
    <definedName name="_Sort" hidden="1">#REF!</definedName>
    <definedName name="_TAB1" localSheetId="5">#REF!</definedName>
    <definedName name="_TAB1" localSheetId="7">#REF!</definedName>
    <definedName name="_TAB1" localSheetId="6">#REF!</definedName>
    <definedName name="_TAB1">#REF!</definedName>
    <definedName name="_Table2_In1" localSheetId="5" hidden="1">#REF!</definedName>
    <definedName name="_Table2_In1" localSheetId="7" hidden="1">#REF!</definedName>
    <definedName name="_Table2_In1" localSheetId="6" hidden="1">#REF!</definedName>
    <definedName name="_Table2_In1" hidden="1">#REF!</definedName>
    <definedName name="_Table2_In2" localSheetId="5" hidden="1">#REF!</definedName>
    <definedName name="_Table2_In2" localSheetId="7" hidden="1">#REF!</definedName>
    <definedName name="_Table2_In2" localSheetId="6" hidden="1">#REF!</definedName>
    <definedName name="_Table2_In2" hidden="1">#REF!</definedName>
    <definedName name="_Table2_Out" localSheetId="5" hidden="1">#REF!</definedName>
    <definedName name="_Table2_Out" localSheetId="7" hidden="1">#REF!</definedName>
    <definedName name="_Table2_Out" localSheetId="6" hidden="1">#REF!</definedName>
    <definedName name="_Table2_Out" hidden="1">#REF!</definedName>
    <definedName name="_Table3_In2" localSheetId="5" hidden="1">#REF!</definedName>
    <definedName name="_Table3_In2" localSheetId="7" hidden="1">#REF!</definedName>
    <definedName name="_Table3_In2" localSheetId="6" hidden="1">#REF!</definedName>
    <definedName name="_Table3_In2" hidden="1">#REF!</definedName>
    <definedName name="_TAX1" localSheetId="5">#REF!</definedName>
    <definedName name="_TAX1" localSheetId="7">#REF!</definedName>
    <definedName name="_TAX1" localSheetId="6">#REF!</definedName>
    <definedName name="_TAX1">#REF!</definedName>
    <definedName name="_TB2004" localSheetId="5">#REF!</definedName>
    <definedName name="_TB2004" localSheetId="7">#REF!</definedName>
    <definedName name="_TB2004" localSheetId="6">#REF!</definedName>
    <definedName name="_TB2004">#REF!</definedName>
    <definedName name="_TR1" localSheetId="5">#REF!</definedName>
    <definedName name="_TR1" localSheetId="7">#REF!</definedName>
    <definedName name="_TR1" localSheetId="6">#REF!</definedName>
    <definedName name="_TR1">#REF!</definedName>
    <definedName name="_TR3">#N/A</definedName>
    <definedName name="_TRA2" localSheetId="5">#REF!</definedName>
    <definedName name="_TRA2" localSheetId="7">#REF!</definedName>
    <definedName name="_TRA2" localSheetId="6">#REF!</definedName>
    <definedName name="_TRA2">#REF!</definedName>
    <definedName name="_YE45" localSheetId="5">#REF!</definedName>
    <definedName name="_YE45" localSheetId="7">#REF!</definedName>
    <definedName name="_YE45" localSheetId="6">#REF!</definedName>
    <definedName name="_YE45">#REF!</definedName>
    <definedName name="a" localSheetId="5">#REF!</definedName>
    <definedName name="a" localSheetId="7">#REF!</definedName>
    <definedName name="a" localSheetId="6">#REF!</definedName>
    <definedName name="a">#REF!</definedName>
    <definedName name="a654645454545" localSheetId="5">#REF!</definedName>
    <definedName name="a654645454545" localSheetId="7">#REF!</definedName>
    <definedName name="a654645454545" localSheetId="6">#REF!</definedName>
    <definedName name="a654645454545">#REF!</definedName>
    <definedName name="aa" localSheetId="5">#REF!</definedName>
    <definedName name="aa" localSheetId="7">#REF!</definedName>
    <definedName name="aa" localSheetId="6">#REF!</definedName>
    <definedName name="aa">#REF!</definedName>
    <definedName name="acc" localSheetId="5">#REF!</definedName>
    <definedName name="acc" localSheetId="7">#REF!</definedName>
    <definedName name="acc" localSheetId="6">#REF!</definedName>
    <definedName name="acc">#REF!</definedName>
    <definedName name="Access" localSheetId="5">#REF!</definedName>
    <definedName name="Access" localSheetId="7">#REF!</definedName>
    <definedName name="Access" localSheetId="6">#REF!</definedName>
    <definedName name="Access">#REF!</definedName>
    <definedName name="AccessDatabase">"H:\Comps Table\Comp Sheet V4.1 (25th May 2000).mdb"</definedName>
    <definedName name="Account_Balance" localSheetId="5">#REF!</definedName>
    <definedName name="Account_Balance" localSheetId="7">#REF!</definedName>
    <definedName name="Account_Balance" localSheetId="6">#REF!</definedName>
    <definedName name="Account_Balance">#REF!</definedName>
    <definedName name="ACK" localSheetId="5">#REF!</definedName>
    <definedName name="ACK" localSheetId="7">#REF!</definedName>
    <definedName name="ACK" localSheetId="6">#REF!</definedName>
    <definedName name="ACK">#REF!</definedName>
    <definedName name="Active_currency" localSheetId="5">#REF!</definedName>
    <definedName name="Active_currency" localSheetId="7">#REF!</definedName>
    <definedName name="Active_currency" localSheetId="6">#REF!</definedName>
    <definedName name="Active_currency">#REF!</definedName>
    <definedName name="Active_currency_symbol" localSheetId="5">#REF!</definedName>
    <definedName name="Active_currency_symbol" localSheetId="7">#REF!</definedName>
    <definedName name="Active_currency_symbol" localSheetId="6">#REF!</definedName>
    <definedName name="Active_currency_symbol">#REF!</definedName>
    <definedName name="actual" localSheetId="5">#REF!</definedName>
    <definedName name="actual" localSheetId="7">#REF!</definedName>
    <definedName name="actual" localSheetId="6">#REF!</definedName>
    <definedName name="actual">#REF!</definedName>
    <definedName name="Actuals" localSheetId="23">{1}</definedName>
    <definedName name="Actuals" localSheetId="22">{1}</definedName>
    <definedName name="Actuals" localSheetId="24">{1}</definedName>
    <definedName name="Actuals" localSheetId="20">{1}</definedName>
    <definedName name="Actuals" localSheetId="21">{1}</definedName>
    <definedName name="Actuals">{1}</definedName>
    <definedName name="AddFormula" localSheetId="5">#REF!</definedName>
    <definedName name="AddFormula" localSheetId="7">#REF!</definedName>
    <definedName name="AddFormula" localSheetId="6">#REF!</definedName>
    <definedName name="AddFormula">#REF!</definedName>
    <definedName name="ADF" localSheetId="5">#REF!</definedName>
    <definedName name="ADF" localSheetId="7">#REF!</definedName>
    <definedName name="ADF" localSheetId="6">#REF!</definedName>
    <definedName name="ADF">#REF!</definedName>
    <definedName name="adfjasjddf" localSheetId="5">#REF!</definedName>
    <definedName name="adfjasjddf" localSheetId="7">#REF!</definedName>
    <definedName name="adfjasjddf" localSheetId="6">#REF!</definedName>
    <definedName name="adfjasjddf">#REF!</definedName>
    <definedName name="ADSF" localSheetId="5">#REF!</definedName>
    <definedName name="ADSF" localSheetId="7">#REF!</definedName>
    <definedName name="ADSF" localSheetId="6">#REF!</definedName>
    <definedName name="ADSF">#REF!</definedName>
    <definedName name="adsgag" localSheetId="5">#REF!</definedName>
    <definedName name="adsgag" localSheetId="7">#REF!</definedName>
    <definedName name="adsgag" localSheetId="6">#REF!</definedName>
    <definedName name="adsgag">#REF!</definedName>
    <definedName name="adsjhFAKHF" localSheetId="5">#REF!</definedName>
    <definedName name="adsjhFAKHF" localSheetId="7">#REF!</definedName>
    <definedName name="adsjhFAKHF" localSheetId="6">#REF!</definedName>
    <definedName name="adsjhFAKHF">#REF!</definedName>
    <definedName name="AdvOthers" localSheetId="5">#REF!</definedName>
    <definedName name="AdvOthers" localSheetId="7">#REF!</definedName>
    <definedName name="AdvOthers" localSheetId="6">#REF!</definedName>
    <definedName name="AdvOthers">#REF!</definedName>
    <definedName name="advtgcost" localSheetId="5">#REF!</definedName>
    <definedName name="advtgcost" localSheetId="7">#REF!</definedName>
    <definedName name="advtgcost" localSheetId="6">#REF!</definedName>
    <definedName name="advtgcost">#REF!</definedName>
    <definedName name="afafd" localSheetId="5">#REF!</definedName>
    <definedName name="afafd" localSheetId="7">#REF!</definedName>
    <definedName name="afafd" localSheetId="6">#REF!</definedName>
    <definedName name="afafd">#REF!</definedName>
    <definedName name="Afferguson" localSheetId="5">#REF!</definedName>
    <definedName name="Afferguson" localSheetId="7">#REF!</definedName>
    <definedName name="Afferguson" localSheetId="6">#REF!</definedName>
    <definedName name="Afferguson">#REF!</definedName>
    <definedName name="agpl_data_tb" localSheetId="5">#REF!</definedName>
    <definedName name="agpl_data_tb" localSheetId="7">#REF!</definedName>
    <definedName name="agpl_data_tb" localSheetId="6">#REF!</definedName>
    <definedName name="agpl_data_tb">#REF!</definedName>
    <definedName name="AGPL_TB" localSheetId="5">#REF!</definedName>
    <definedName name="AGPL_TB" localSheetId="7">#REF!</definedName>
    <definedName name="AGPL_TB" localSheetId="6">#REF!</definedName>
    <definedName name="AGPL_TB">#REF!</definedName>
    <definedName name="ALL" localSheetId="5">#REF!</definedName>
    <definedName name="ALL" localSheetId="7">#REF!</definedName>
    <definedName name="ALL" localSheetId="6">#REF!</definedName>
    <definedName name="ALL">#REF!</definedName>
    <definedName name="AllTables" localSheetId="5">{1}</definedName>
    <definedName name="AllTables" localSheetId="8">{1}</definedName>
    <definedName name="AllTables" localSheetId="16">{1}</definedName>
    <definedName name="AllTables" localSheetId="7">{1}</definedName>
    <definedName name="AllTables" localSheetId="2">{1}</definedName>
    <definedName name="AllTables" localSheetId="3">{1}</definedName>
    <definedName name="AllTables" localSheetId="23">{1}</definedName>
    <definedName name="AllTables" localSheetId="22">{1}</definedName>
    <definedName name="AllTables" localSheetId="24">{1}</definedName>
    <definedName name="AllTables" localSheetId="6">{1}</definedName>
    <definedName name="AllTables" localSheetId="19">{1}</definedName>
    <definedName name="AllTables" localSheetId="4">{1}</definedName>
    <definedName name="AllTables" localSheetId="20">{1}</definedName>
    <definedName name="AllTables" localSheetId="21">{1}</definedName>
    <definedName name="AllTables" localSheetId="14">{1}</definedName>
    <definedName name="AllTables" localSheetId="13">{1}</definedName>
    <definedName name="AllTables" localSheetId="12">{1}</definedName>
    <definedName name="AllTables" localSheetId="11">{1}</definedName>
    <definedName name="AllTables" localSheetId="9">{1}</definedName>
    <definedName name="AllTables" localSheetId="15">{1}</definedName>
    <definedName name="AllTables">{1}</definedName>
    <definedName name="alltables2" localSheetId="13">{1}</definedName>
    <definedName name="alltables2" localSheetId="12">{1}</definedName>
    <definedName name="alltables2">{1}</definedName>
    <definedName name="Amortisationperiod" localSheetId="5">#REF!</definedName>
    <definedName name="Amortisationperiod" localSheetId="7">#REF!</definedName>
    <definedName name="Amortisationperiod" localSheetId="6">#REF!</definedName>
    <definedName name="Amortisationperiod">#REF!</definedName>
    <definedName name="AnnAvail" localSheetId="5">#REF!</definedName>
    <definedName name="AnnAvail" localSheetId="7">#REF!</definedName>
    <definedName name="AnnAvail" localSheetId="6">#REF!</definedName>
    <definedName name="AnnAvail">#REF!</definedName>
    <definedName name="annC" localSheetId="5">#REF!</definedName>
    <definedName name="annC" localSheetId="7">#REF!</definedName>
    <definedName name="annC" localSheetId="6">#REF!</definedName>
    <definedName name="annC">#REF!</definedName>
    <definedName name="AnnCapacity" localSheetId="5">#REF!</definedName>
    <definedName name="AnnCapacity" localSheetId="7">#REF!</definedName>
    <definedName name="AnnCapacity" localSheetId="6">#REF!</definedName>
    <definedName name="AnnCapacity">#REF!</definedName>
    <definedName name="annexA" localSheetId="5">#REF!</definedName>
    <definedName name="annexA" localSheetId="7">#REF!</definedName>
    <definedName name="annexA" localSheetId="6">#REF!</definedName>
    <definedName name="annexA">#REF!</definedName>
    <definedName name="annexB" localSheetId="5">#REF!</definedName>
    <definedName name="annexB" localSheetId="7">#REF!</definedName>
    <definedName name="annexB" localSheetId="6">#REF!</definedName>
    <definedName name="annexB">#REF!</definedName>
    <definedName name="annexC" localSheetId="5">#REF!</definedName>
    <definedName name="annexC" localSheetId="7">#REF!</definedName>
    <definedName name="annexC" localSheetId="6">#REF!</definedName>
    <definedName name="annexC">#REF!</definedName>
    <definedName name="Annexure2" localSheetId="5">#REF!</definedName>
    <definedName name="Annexure2" localSheetId="7">#REF!</definedName>
    <definedName name="Annexure2" localSheetId="6">#REF!</definedName>
    <definedName name="Annexure2">#REF!</definedName>
    <definedName name="annexurea" localSheetId="5">#REF!</definedName>
    <definedName name="annexurea" localSheetId="7">#REF!</definedName>
    <definedName name="annexurea" localSheetId="6">#REF!</definedName>
    <definedName name="annexurea">#REF!</definedName>
    <definedName name="annexureb" localSheetId="5">#REF!</definedName>
    <definedName name="annexureb" localSheetId="7">#REF!</definedName>
    <definedName name="annexureb" localSheetId="6">#REF!</definedName>
    <definedName name="annexureb">#REF!</definedName>
    <definedName name="annexureC" localSheetId="5">#REF!</definedName>
    <definedName name="annexureC" localSheetId="7">#REF!</definedName>
    <definedName name="annexureC" localSheetId="6">#REF!</definedName>
    <definedName name="annexureC">#REF!</definedName>
    <definedName name="AnnII" localSheetId="5">#REF!</definedName>
    <definedName name="AnnII" localSheetId="7">#REF!</definedName>
    <definedName name="AnnII" localSheetId="6">#REF!</definedName>
    <definedName name="AnnII">#REF!</definedName>
    <definedName name="AnnIIIa" localSheetId="5">#REF!</definedName>
    <definedName name="AnnIIIa" localSheetId="7">#REF!</definedName>
    <definedName name="AnnIIIa" localSheetId="6">#REF!</definedName>
    <definedName name="AnnIIIa">#REF!</definedName>
    <definedName name="AnnIIIb" localSheetId="5">#REF!</definedName>
    <definedName name="AnnIIIb" localSheetId="7">#REF!</definedName>
    <definedName name="AnnIIIb" localSheetId="6">#REF!</definedName>
    <definedName name="AnnIIIb">#REF!</definedName>
    <definedName name="AnnIIIc" localSheetId="5">#REF!</definedName>
    <definedName name="AnnIIIc" localSheetId="7">#REF!</definedName>
    <definedName name="AnnIIIc" localSheetId="6">#REF!</definedName>
    <definedName name="AnnIIIc">#REF!</definedName>
    <definedName name="AnnIVa" localSheetId="5">#REF!</definedName>
    <definedName name="AnnIVa" localSheetId="7">#REF!</definedName>
    <definedName name="AnnIVa" localSheetId="6">#REF!</definedName>
    <definedName name="AnnIVa">#REF!</definedName>
    <definedName name="AnnIVb" localSheetId="5">#REF!</definedName>
    <definedName name="AnnIVb" localSheetId="7">#REF!</definedName>
    <definedName name="AnnIVb" localSheetId="6">#REF!</definedName>
    <definedName name="AnnIVb">#REF!</definedName>
    <definedName name="AnnIXa" localSheetId="5">#REF!</definedName>
    <definedName name="AnnIXa" localSheetId="7">#REF!</definedName>
    <definedName name="AnnIXa" localSheetId="6">#REF!</definedName>
    <definedName name="AnnIXa">#REF!</definedName>
    <definedName name="AnnIXb" localSheetId="5">#REF!</definedName>
    <definedName name="AnnIXb" localSheetId="7">#REF!</definedName>
    <definedName name="AnnIXb" localSheetId="6">#REF!</definedName>
    <definedName name="AnnIXb">#REF!</definedName>
    <definedName name="AnnIXc" localSheetId="5">#REF!</definedName>
    <definedName name="AnnIXc" localSheetId="7">#REF!</definedName>
    <definedName name="AnnIXc" localSheetId="6">#REF!</definedName>
    <definedName name="AnnIXc">#REF!</definedName>
    <definedName name="AnnVI" localSheetId="5">#REF!</definedName>
    <definedName name="AnnVI" localSheetId="7">#REF!</definedName>
    <definedName name="AnnVI" localSheetId="6">#REF!</definedName>
    <definedName name="AnnVI">#REF!</definedName>
    <definedName name="AnnVIIa" localSheetId="5">#REF!</definedName>
    <definedName name="AnnVIIa" localSheetId="7">#REF!</definedName>
    <definedName name="AnnVIIa" localSheetId="6">#REF!</definedName>
    <definedName name="AnnVIIa">#REF!</definedName>
    <definedName name="AnnVIII" localSheetId="5">#REF!</definedName>
    <definedName name="AnnVIII" localSheetId="7">#REF!</definedName>
    <definedName name="AnnVIII" localSheetId="6">#REF!</definedName>
    <definedName name="AnnVIII">#REF!</definedName>
    <definedName name="AnnX" localSheetId="5">#REF!</definedName>
    <definedName name="AnnX" localSheetId="7">#REF!</definedName>
    <definedName name="AnnX" localSheetId="6">#REF!</definedName>
    <definedName name="AnnX">#REF!</definedName>
    <definedName name="annxA" localSheetId="5">#REF!</definedName>
    <definedName name="annxA" localSheetId="7">#REF!</definedName>
    <definedName name="annxA" localSheetId="6">#REF!</definedName>
    <definedName name="annxA">#REF!</definedName>
    <definedName name="annxB" localSheetId="5">#REF!</definedName>
    <definedName name="annxB" localSheetId="7">#REF!</definedName>
    <definedName name="annxB" localSheetId="6">#REF!</definedName>
    <definedName name="annxB">#REF!</definedName>
    <definedName name="annxC" localSheetId="5">#REF!</definedName>
    <definedName name="annxC" localSheetId="7">#REF!</definedName>
    <definedName name="annxC" localSheetId="6">#REF!</definedName>
    <definedName name="annxC">#REF!</definedName>
    <definedName name="annxE" localSheetId="5">#REF!</definedName>
    <definedName name="annxE" localSheetId="7">#REF!</definedName>
    <definedName name="annxE" localSheetId="6">#REF!</definedName>
    <definedName name="annxE">#REF!</definedName>
    <definedName name="AnnXI" localSheetId="5">#REF!</definedName>
    <definedName name="AnnXI" localSheetId="7">#REF!</definedName>
    <definedName name="AnnXI" localSheetId="6">#REF!</definedName>
    <definedName name="AnnXI">#REF!</definedName>
    <definedName name="AnnXIc" localSheetId="5">#REF!</definedName>
    <definedName name="AnnXIc" localSheetId="7">#REF!</definedName>
    <definedName name="AnnXIc" localSheetId="6">#REF!</definedName>
    <definedName name="AnnXIc">#REF!</definedName>
    <definedName name="AnnXIIb" localSheetId="5">#REF!</definedName>
    <definedName name="AnnXIIb" localSheetId="7">#REF!</definedName>
    <definedName name="AnnXIIb" localSheetId="6">#REF!</definedName>
    <definedName name="AnnXIIb">#REF!</definedName>
    <definedName name="AnnXIIc" localSheetId="5">#REF!</definedName>
    <definedName name="AnnXIIc" localSheetId="7">#REF!</definedName>
    <definedName name="AnnXIIc" localSheetId="6">#REF!</definedName>
    <definedName name="AnnXIIc">#REF!</definedName>
    <definedName name="AnnXIV" localSheetId="5">#REF!</definedName>
    <definedName name="AnnXIV" localSheetId="7">#REF!</definedName>
    <definedName name="AnnXIV" localSheetId="6">#REF!</definedName>
    <definedName name="AnnXIV">#REF!</definedName>
    <definedName name="AnnXV" localSheetId="5">#REF!</definedName>
    <definedName name="AnnXV" localSheetId="7">#REF!</definedName>
    <definedName name="AnnXV" localSheetId="6">#REF!</definedName>
    <definedName name="AnnXV">#REF!</definedName>
    <definedName name="AnnXVAFF" localSheetId="5">#REF!</definedName>
    <definedName name="AnnXVAFF" localSheetId="7">#REF!</definedName>
    <definedName name="AnnXVAFF" localSheetId="6">#REF!</definedName>
    <definedName name="AnnXVAFF">#REF!</definedName>
    <definedName name="AP" localSheetId="5">#REF!</definedName>
    <definedName name="AP" localSheetId="7">#REF!</definedName>
    <definedName name="AP" localSheetId="6">#REF!</definedName>
    <definedName name="AP">#REF!</definedName>
    <definedName name="Apr" localSheetId="5">#REF!</definedName>
    <definedName name="Apr" localSheetId="7">#REF!</definedName>
    <definedName name="Apr" localSheetId="6">#REF!</definedName>
    <definedName name="Apr">#REF!</definedName>
    <definedName name="APRDATA?" localSheetId="5">#REF!</definedName>
    <definedName name="APRDATA?" localSheetId="7">#REF!</definedName>
    <definedName name="APRDATA?" localSheetId="6">#REF!</definedName>
    <definedName name="APRDATA?">#REF!</definedName>
    <definedName name="ARA_Threshold" localSheetId="5">#REF!</definedName>
    <definedName name="ARA_Threshold" localSheetId="7">#REF!</definedName>
    <definedName name="ARA_Threshold" localSheetId="6">#REF!</definedName>
    <definedName name="ARA_Threshold">#REF!</definedName>
    <definedName name="Area" localSheetId="5">#REF!</definedName>
    <definedName name="Area" localSheetId="7">#REF!</definedName>
    <definedName name="Area" localSheetId="6">#REF!</definedName>
    <definedName name="Area">#REF!</definedName>
    <definedName name="area_avail_del_hoarding" localSheetId="5">#REF!</definedName>
    <definedName name="area_avail_del_hoarding" localSheetId="7">#REF!</definedName>
    <definedName name="area_avail_del_hoarding" localSheetId="6">#REF!</definedName>
    <definedName name="area_avail_del_hoarding">#REF!</definedName>
    <definedName name="area_avail_del_utility" localSheetId="5">#REF!</definedName>
    <definedName name="area_avail_del_utility" localSheetId="7">#REF!</definedName>
    <definedName name="area_avail_del_utility" localSheetId="6">#REF!</definedName>
    <definedName name="area_avail_del_utility">#REF!</definedName>
    <definedName name="area_avail_kol_mpillars" localSheetId="5">#REF!</definedName>
    <definedName name="area_avail_kol_mpillars" localSheetId="7">#REF!</definedName>
    <definedName name="area_avail_kol_mpillars" localSheetId="6">#REF!</definedName>
    <definedName name="area_avail_kol_mpillars">#REF!</definedName>
    <definedName name="area_available_mum_bqs" localSheetId="5">#REF!</definedName>
    <definedName name="area_available_mum_bqs" localSheetId="7">#REF!</definedName>
    <definedName name="area_available_mum_bqs" localSheetId="6">#REF!</definedName>
    <definedName name="area_available_mum_bqs">#REF!</definedName>
    <definedName name="area_available_mum_hoarding" localSheetId="5">#REF!</definedName>
    <definedName name="area_available_mum_hoarding" localSheetId="7">#REF!</definedName>
    <definedName name="area_available_mum_hoarding" localSheetId="6">#REF!</definedName>
    <definedName name="area_available_mum_hoarding">#REF!</definedName>
    <definedName name="area_available_mum_kiosk" localSheetId="5">#REF!</definedName>
    <definedName name="area_available_mum_kiosk" localSheetId="7">#REF!</definedName>
    <definedName name="area_available_mum_kiosk" localSheetId="6">#REF!</definedName>
    <definedName name="area_available_mum_kiosk">#REF!</definedName>
    <definedName name="area_available_mum_utility" localSheetId="5">#REF!</definedName>
    <definedName name="area_available_mum_utility" localSheetId="7">#REF!</definedName>
    <definedName name="area_available_mum_utility" localSheetId="6">#REF!</definedName>
    <definedName name="area_available_mum_utility">#REF!</definedName>
    <definedName name="area_available_new_r1" localSheetId="5">#REF!</definedName>
    <definedName name="area_available_new_r1" localSheetId="7">#REF!</definedName>
    <definedName name="area_available_new_r1" localSheetId="6">#REF!</definedName>
    <definedName name="area_available_new_r1">#REF!</definedName>
    <definedName name="area_available_new_s1" localSheetId="5">#REF!</definedName>
    <definedName name="area_available_new_s1" localSheetId="7">#REF!</definedName>
    <definedName name="area_available_new_s1" localSheetId="6">#REF!</definedName>
    <definedName name="area_available_new_s1">#REF!</definedName>
    <definedName name="area_available_new_s2" localSheetId="5">#REF!</definedName>
    <definedName name="area_available_new_s2" localSheetId="7">#REF!</definedName>
    <definedName name="area_available_new_s2" localSheetId="6">#REF!</definedName>
    <definedName name="area_available_new_s2">#REF!</definedName>
    <definedName name="area_available_new_sf1" localSheetId="5">#REF!</definedName>
    <definedName name="area_available_new_sf1" localSheetId="7">#REF!</definedName>
    <definedName name="area_available_new_sf1" localSheetId="6">#REF!</definedName>
    <definedName name="area_available_new_sf1">#REF!</definedName>
    <definedName name="area_available_new_sf2" localSheetId="5">#REF!</definedName>
    <definedName name="area_available_new_sf2" localSheetId="7">#REF!</definedName>
    <definedName name="area_available_new_sf2" localSheetId="6">#REF!</definedName>
    <definedName name="area_available_new_sf2">#REF!</definedName>
    <definedName name="area_available_new_sf3" localSheetId="5">#REF!</definedName>
    <definedName name="area_available_new_sf3" localSheetId="7">#REF!</definedName>
    <definedName name="area_available_new_sf3" localSheetId="6">#REF!</definedName>
    <definedName name="area_available_new_sf3">#REF!</definedName>
    <definedName name="area_sold_del_bqs" localSheetId="5">#REF!</definedName>
    <definedName name="area_sold_del_bqs" localSheetId="7">#REF!</definedName>
    <definedName name="area_sold_del_bqs" localSheetId="6">#REF!</definedName>
    <definedName name="area_sold_del_bqs">#REF!</definedName>
    <definedName name="area_sold_del_dmrc1_bridgepanel" localSheetId="5">#REF!</definedName>
    <definedName name="area_sold_del_dmrc1_bridgepanel" localSheetId="7">#REF!</definedName>
    <definedName name="area_sold_del_dmrc1_bridgepanel" localSheetId="6">#REF!</definedName>
    <definedName name="area_sold_del_dmrc1_bridgepanel">#REF!</definedName>
    <definedName name="area_sold_del_dmrc1_hoarding" localSheetId="5">#REF!</definedName>
    <definedName name="area_sold_del_dmrc1_hoarding" localSheetId="7">#REF!</definedName>
    <definedName name="area_sold_del_dmrc1_hoarding" localSheetId="6">#REF!</definedName>
    <definedName name="area_sold_del_dmrc1_hoarding">#REF!</definedName>
    <definedName name="area_sold_del_dmrc1_mpillars" localSheetId="5">#REF!</definedName>
    <definedName name="area_sold_del_dmrc1_mpillars" localSheetId="7">#REF!</definedName>
    <definedName name="area_sold_del_dmrc1_mpillars" localSheetId="6">#REF!</definedName>
    <definedName name="area_sold_del_dmrc1_mpillars">#REF!</definedName>
    <definedName name="area_sold_del_dmrc2_bridgepanel" localSheetId="5">#REF!</definedName>
    <definedName name="area_sold_del_dmrc2_bridgepanel" localSheetId="7">#REF!</definedName>
    <definedName name="area_sold_del_dmrc2_bridgepanel" localSheetId="6">#REF!</definedName>
    <definedName name="area_sold_del_dmrc2_bridgepanel">#REF!</definedName>
    <definedName name="area_sold_del_dmrc2_hoarding" localSheetId="5">#REF!</definedName>
    <definedName name="area_sold_del_dmrc2_hoarding" localSheetId="7">#REF!</definedName>
    <definedName name="area_sold_del_dmrc2_hoarding" localSheetId="6">#REF!</definedName>
    <definedName name="area_sold_del_dmrc2_hoarding">#REF!</definedName>
    <definedName name="area_sold_del_dmrc3_mpillars" localSheetId="5">#REF!</definedName>
    <definedName name="area_sold_del_dmrc3_mpillars" localSheetId="7">#REF!</definedName>
    <definedName name="area_sold_del_dmrc3_mpillars" localSheetId="6">#REF!</definedName>
    <definedName name="area_sold_del_dmrc3_mpillars">#REF!</definedName>
    <definedName name="area_sold_del_dmrc4_mpillars" localSheetId="5">#REF!</definedName>
    <definedName name="area_sold_del_dmrc4_mpillars" localSheetId="7">#REF!</definedName>
    <definedName name="area_sold_del_dmrc4_mpillars" localSheetId="6">#REF!</definedName>
    <definedName name="area_sold_del_dmrc4_mpillars">#REF!</definedName>
    <definedName name="area_sold_del_hoarding" localSheetId="5">#REF!</definedName>
    <definedName name="area_sold_del_hoarding" localSheetId="7">#REF!</definedName>
    <definedName name="area_sold_del_hoarding" localSheetId="6">#REF!</definedName>
    <definedName name="area_sold_del_hoarding">#REF!</definedName>
    <definedName name="area_sold_del_mcd1_hoarding" localSheetId="5">#REF!</definedName>
    <definedName name="area_sold_del_mcd1_hoarding" localSheetId="7">#REF!</definedName>
    <definedName name="area_sold_del_mcd1_hoarding" localSheetId="6">#REF!</definedName>
    <definedName name="area_sold_del_mcd1_hoarding">#REF!</definedName>
    <definedName name="area_sold_del_mcd2_kiosk" localSheetId="5">#REF!</definedName>
    <definedName name="area_sold_del_mcd2_kiosk" localSheetId="7">#REF!</definedName>
    <definedName name="area_sold_del_mcd2_kiosk" localSheetId="6">#REF!</definedName>
    <definedName name="area_sold_del_mcd2_kiosk">#REF!</definedName>
    <definedName name="area_sold_del_mcd3_hoarding" localSheetId="5">#REF!</definedName>
    <definedName name="area_sold_del_mcd3_hoarding" localSheetId="7">#REF!</definedName>
    <definedName name="area_sold_del_mcd3_hoarding" localSheetId="6">#REF!</definedName>
    <definedName name="area_sold_del_mcd3_hoarding">#REF!</definedName>
    <definedName name="area_sold_del_mcd4_hoarding" localSheetId="5">#REF!</definedName>
    <definedName name="area_sold_del_mcd4_hoarding" localSheetId="7">#REF!</definedName>
    <definedName name="area_sold_del_mcd4_hoarding" localSheetId="6">#REF!</definedName>
    <definedName name="area_sold_del_mcd4_hoarding">#REF!</definedName>
    <definedName name="area_sold_del_mcd5_hoarding" localSheetId="5">#REF!</definedName>
    <definedName name="area_sold_del_mcd5_hoarding" localSheetId="7">#REF!</definedName>
    <definedName name="area_sold_del_mcd5_hoarding" localSheetId="6">#REF!</definedName>
    <definedName name="area_sold_del_mcd5_hoarding">#REF!</definedName>
    <definedName name="area_sold_del_nrdd_bridgepanel" localSheetId="5">#REF!</definedName>
    <definedName name="area_sold_del_nrdd_bridgepanel" localSheetId="7">#REF!</definedName>
    <definedName name="area_sold_del_nrdd_bridgepanel" localSheetId="6">#REF!</definedName>
    <definedName name="area_sold_del_nrdd_bridgepanel">#REF!</definedName>
    <definedName name="area_sold_del_nrdd_hoarding" localSheetId="5">#REF!</definedName>
    <definedName name="area_sold_del_nrdd_hoarding" localSheetId="7">#REF!</definedName>
    <definedName name="area_sold_del_nrdd_hoarding" localSheetId="6">#REF!</definedName>
    <definedName name="area_sold_del_nrdd_hoarding">#REF!</definedName>
    <definedName name="area_sold_del_nrdd_utility" localSheetId="5">#REF!</definedName>
    <definedName name="area_sold_del_nrdd_utility" localSheetId="7">#REF!</definedName>
    <definedName name="area_sold_del_nrdd_utility" localSheetId="6">#REF!</definedName>
    <definedName name="area_sold_del_nrdd_utility">#REF!</definedName>
    <definedName name="area_sold_del_utility" localSheetId="5">#REF!</definedName>
    <definedName name="area_sold_del_utility" localSheetId="7">#REF!</definedName>
    <definedName name="area_sold_del_utility" localSheetId="6">#REF!</definedName>
    <definedName name="area_sold_del_utility">#REF!</definedName>
    <definedName name="area_sold_kol_bqs" localSheetId="5">#REF!</definedName>
    <definedName name="area_sold_kol_bqs" localSheetId="7">#REF!</definedName>
    <definedName name="area_sold_kol_bqs" localSheetId="6">#REF!</definedName>
    <definedName name="area_sold_kol_bqs">#REF!</definedName>
    <definedName name="area_sold_kol_bridgepanel" localSheetId="5">#REF!</definedName>
    <definedName name="area_sold_kol_bridgepanel" localSheetId="7">#REF!</definedName>
    <definedName name="area_sold_kol_bridgepanel" localSheetId="6">#REF!</definedName>
    <definedName name="area_sold_kol_bridgepanel">#REF!</definedName>
    <definedName name="area_sold_kol_hoarding" localSheetId="5">#REF!</definedName>
    <definedName name="area_sold_kol_hoarding" localSheetId="7">#REF!</definedName>
    <definedName name="area_sold_kol_hoarding" localSheetId="6">#REF!</definedName>
    <definedName name="area_sold_kol_hoarding">#REF!</definedName>
    <definedName name="area_sold_kol_kiosk" localSheetId="5">#REF!</definedName>
    <definedName name="area_sold_kol_kiosk" localSheetId="7">#REF!</definedName>
    <definedName name="area_sold_kol_kiosk" localSheetId="6">#REF!</definedName>
    <definedName name="area_sold_kol_kiosk">#REF!</definedName>
    <definedName name="area_sold_kol_mpillars" localSheetId="5">#REF!</definedName>
    <definedName name="area_sold_kol_mpillars" localSheetId="7">#REF!</definedName>
    <definedName name="area_sold_kol_mpillars" localSheetId="6">#REF!</definedName>
    <definedName name="area_sold_kol_mpillars">#REF!</definedName>
    <definedName name="area_sold_kol_pillarwrap" localSheetId="5">#REF!</definedName>
    <definedName name="area_sold_kol_pillarwrap" localSheetId="7">#REF!</definedName>
    <definedName name="area_sold_kol_pillarwrap" localSheetId="6">#REF!</definedName>
    <definedName name="area_sold_kol_pillarwrap">#REF!</definedName>
    <definedName name="area_sold_kol_ts" localSheetId="5">#REF!</definedName>
    <definedName name="area_sold_kol_ts" localSheetId="7">#REF!</definedName>
    <definedName name="area_sold_kol_ts" localSheetId="6">#REF!</definedName>
    <definedName name="area_sold_kol_ts">#REF!</definedName>
    <definedName name="area_sold_mum_bestbus" localSheetId="5">#REF!</definedName>
    <definedName name="area_sold_mum_bestbus" localSheetId="7">#REF!</definedName>
    <definedName name="area_sold_mum_bestbus" localSheetId="6">#REF!</definedName>
    <definedName name="area_sold_mum_bestbus">#REF!</definedName>
    <definedName name="area_sold_mum_bqs" localSheetId="5">#REF!</definedName>
    <definedName name="area_sold_mum_bqs" localSheetId="7">#REF!</definedName>
    <definedName name="area_sold_mum_bqs" localSheetId="6">#REF!</definedName>
    <definedName name="area_sold_mum_bqs">#REF!</definedName>
    <definedName name="area_sold_mum_hoarding" localSheetId="5">#REF!</definedName>
    <definedName name="area_sold_mum_hoarding" localSheetId="7">#REF!</definedName>
    <definedName name="area_sold_mum_hoarding" localSheetId="6">#REF!</definedName>
    <definedName name="area_sold_mum_hoarding">#REF!</definedName>
    <definedName name="area_sold_mum_kiosk" localSheetId="5">#REF!</definedName>
    <definedName name="area_sold_mum_kiosk" localSheetId="7">#REF!</definedName>
    <definedName name="area_sold_mum_kiosk" localSheetId="6">#REF!</definedName>
    <definedName name="area_sold_mum_kiosk">#REF!</definedName>
    <definedName name="area_sold_mum_utility" localSheetId="5">#REF!</definedName>
    <definedName name="area_sold_mum_utility" localSheetId="7">#REF!</definedName>
    <definedName name="area_sold_mum_utility" localSheetId="6">#REF!</definedName>
    <definedName name="area_sold_mum_utility">#REF!</definedName>
    <definedName name="area_sold_pun_bqs" localSheetId="5">#REF!</definedName>
    <definedName name="area_sold_pun_bqs" localSheetId="7">#REF!</definedName>
    <definedName name="area_sold_pun_bqs" localSheetId="6">#REF!</definedName>
    <definedName name="area_sold_pun_bqs">#REF!</definedName>
    <definedName name="area_sold_pun_hoarding" localSheetId="5">#REF!</definedName>
    <definedName name="area_sold_pun_hoarding" localSheetId="7">#REF!</definedName>
    <definedName name="area_sold_pun_hoarding" localSheetId="6">#REF!</definedName>
    <definedName name="area_sold_pun_hoarding">#REF!</definedName>
    <definedName name="area_sold_pun_kiosk" localSheetId="5">#REF!</definedName>
    <definedName name="area_sold_pun_kiosk" localSheetId="7">#REF!</definedName>
    <definedName name="area_sold_pun_kiosk" localSheetId="6">#REF!</definedName>
    <definedName name="area_sold_pun_kiosk">#REF!</definedName>
    <definedName name="area_sold_pun_utility" localSheetId="5">#REF!</definedName>
    <definedName name="area_sold_pun_utility" localSheetId="7">#REF!</definedName>
    <definedName name="area_sold_pun_utility" localSheetId="6">#REF!</definedName>
    <definedName name="area_sold_pun_utility">#REF!</definedName>
    <definedName name="areais" localSheetId="5">#REF!</definedName>
    <definedName name="areais" localSheetId="7">#REF!</definedName>
    <definedName name="areais" localSheetId="6">#REF!</definedName>
    <definedName name="areais">#REF!</definedName>
    <definedName name="areamcn" localSheetId="5">#REF!</definedName>
    <definedName name="areamcn" localSheetId="7">#REF!</definedName>
    <definedName name="areamcn" localSheetId="6">#REF!</definedName>
    <definedName name="areamcn">#REF!</definedName>
    <definedName name="areaotherpoi" localSheetId="5">#REF!</definedName>
    <definedName name="areaotherpoi" localSheetId="7">#REF!</definedName>
    <definedName name="areaotherpoi" localSheetId="6">#REF!</definedName>
    <definedName name="areaotherpoi">#REF!</definedName>
    <definedName name="ARP_Threshold" localSheetId="5">#REF!</definedName>
    <definedName name="ARP_Threshold" localSheetId="7">#REF!</definedName>
    <definedName name="ARP_Threshold" localSheetId="6">#REF!</definedName>
    <definedName name="ARP_Threshold">#REF!</definedName>
    <definedName name="AS2DocOpenMode">"AS2DocumentEdit"</definedName>
    <definedName name="AS2NamedRange">16</definedName>
    <definedName name="AS2ReportLS">1</definedName>
    <definedName name="AS2StaticLS" localSheetId="5" hidden="1">#REF!</definedName>
    <definedName name="AS2StaticLS" localSheetId="7" hidden="1">#REF!</definedName>
    <definedName name="AS2StaticLS" localSheetId="6" hidden="1">#REF!</definedName>
    <definedName name="AS2StaticLS" hidden="1">#REF!</definedName>
    <definedName name="AS2SyncStepLS">0</definedName>
    <definedName name="AS2TickmarkLS" localSheetId="5" hidden="1">#REF!</definedName>
    <definedName name="AS2TickmarkLS" localSheetId="7" hidden="1">#REF!</definedName>
    <definedName name="AS2TickmarkLS" localSheetId="6" hidden="1">#REF!</definedName>
    <definedName name="AS2TickmarkLS" hidden="1">#REF!</definedName>
    <definedName name="AS2VersionLS">300</definedName>
    <definedName name="asdafd" localSheetId="5">#REF!</definedName>
    <definedName name="asdafd" localSheetId="7">#REF!</definedName>
    <definedName name="asdafd" localSheetId="6">#REF!</definedName>
    <definedName name="asdafd">#REF!</definedName>
    <definedName name="asdf" localSheetId="5">#REF!</definedName>
    <definedName name="asdf" localSheetId="7">#REF!</definedName>
    <definedName name="asdf" localSheetId="6">#REF!</definedName>
    <definedName name="asdf">#REF!</definedName>
    <definedName name="asdgasg" localSheetId="5">#REF!</definedName>
    <definedName name="asdgasg" localSheetId="7">#REF!</definedName>
    <definedName name="asdgasg" localSheetId="6">#REF!</definedName>
    <definedName name="asdgasg">#REF!</definedName>
    <definedName name="asf" localSheetId="5">#REF!</definedName>
    <definedName name="asf" localSheetId="7">#REF!</definedName>
    <definedName name="asf" localSheetId="6">#REF!</definedName>
    <definedName name="asf">#REF!</definedName>
    <definedName name="asfdadf" localSheetId="5">#REF!</definedName>
    <definedName name="asfdadf" localSheetId="7">#REF!</definedName>
    <definedName name="asfdadf" localSheetId="6">#REF!</definedName>
    <definedName name="asfdadf">#REF!</definedName>
    <definedName name="ASIA_PLASTIC_in_KUSD" localSheetId="5">#REF!</definedName>
    <definedName name="ASIA_PLASTIC_in_KUSD" localSheetId="7">#REF!</definedName>
    <definedName name="ASIA_PLASTIC_in_KUSD" localSheetId="6">#REF!</definedName>
    <definedName name="ASIA_PLASTIC_in_KUSD">#REF!</definedName>
    <definedName name="AsstYr" localSheetId="5">#REF!</definedName>
    <definedName name="AsstYr" localSheetId="7">#REF!</definedName>
    <definedName name="AsstYr" localSheetId="6">#REF!</definedName>
    <definedName name="AsstYr">#REF!</definedName>
    <definedName name="assump" localSheetId="5">#REF!</definedName>
    <definedName name="assump" localSheetId="7">#REF!</definedName>
    <definedName name="assump" localSheetId="6">#REF!</definedName>
    <definedName name="assump">#REF!</definedName>
    <definedName name="Aug" localSheetId="5">#REF!</definedName>
    <definedName name="Aug" localSheetId="7">#REF!</definedName>
    <definedName name="Aug" localSheetId="6">#REF!</definedName>
    <definedName name="Aug">#REF!</definedName>
    <definedName name="AUGDATA?" localSheetId="5">#REF!</definedName>
    <definedName name="AUGDATA?" localSheetId="7">#REF!</definedName>
    <definedName name="AUGDATA?" localSheetId="6">#REF!</definedName>
    <definedName name="AUGDATA?">#REF!</definedName>
    <definedName name="AUTOPRINT_1" localSheetId="5">#REF!</definedName>
    <definedName name="AUTOPRINT_1" localSheetId="7">#REF!</definedName>
    <definedName name="AUTOPRINT_1" localSheetId="6">#REF!</definedName>
    <definedName name="AUTOPRINT_1">#REF!</definedName>
    <definedName name="AUTOPRINT_2" localSheetId="5">#REF!</definedName>
    <definedName name="AUTOPRINT_2" localSheetId="7">#REF!</definedName>
    <definedName name="AUTOPRINT_2" localSheetId="6">#REF!</definedName>
    <definedName name="AUTOPRINT_2">#REF!</definedName>
    <definedName name="axedoc" localSheetId="5">#REF!</definedName>
    <definedName name="axedoc" localSheetId="7">#REF!</definedName>
    <definedName name="axedoc" localSheetId="6">#REF!</definedName>
    <definedName name="axedoc">#REF!</definedName>
    <definedName name="b" localSheetId="5">#REF!</definedName>
    <definedName name="b" localSheetId="7">#REF!</definedName>
    <definedName name="b" localSheetId="6">#REF!</definedName>
    <definedName name="b">#REF!</definedName>
    <definedName name="ba_diat" localSheetId="5">#REF!</definedName>
    <definedName name="ba_diat" localSheetId="7">#REF!</definedName>
    <definedName name="ba_diat" localSheetId="6">#REF!</definedName>
    <definedName name="ba_diat">#REF!</definedName>
    <definedName name="BACK_A" localSheetId="5">#REF!</definedName>
    <definedName name="BACK_A" localSheetId="7">#REF!</definedName>
    <definedName name="BACK_A" localSheetId="6">#REF!</definedName>
    <definedName name="BACK_A">#REF!</definedName>
    <definedName name="Bal_TB" localSheetId="5">#REF!</definedName>
    <definedName name="Bal_TB" localSheetId="7">#REF!</definedName>
    <definedName name="Bal_TB" localSheetId="6">#REF!</definedName>
    <definedName name="Bal_TB">#REF!</definedName>
    <definedName name="Balance_Sheet" localSheetId="5">#REF!</definedName>
    <definedName name="Balance_Sheet" localSheetId="7">#REF!</definedName>
    <definedName name="Balance_Sheet" localSheetId="6">#REF!</definedName>
    <definedName name="Balance_Sheet">#REF!</definedName>
    <definedName name="BalanceSheet" localSheetId="5">#REF!</definedName>
    <definedName name="BalanceSheet" localSheetId="7">#REF!</definedName>
    <definedName name="BalanceSheet" localSheetId="6">#REF!</definedName>
    <definedName name="BalanceSheet">#REF!</definedName>
    <definedName name="BASE" localSheetId="5">#REF!</definedName>
    <definedName name="BASE" localSheetId="7">#REF!</definedName>
    <definedName name="BASE" localSheetId="6">#REF!</definedName>
    <definedName name="BASE">#REF!</definedName>
    <definedName name="BASE_YEAR" localSheetId="5">#REF!</definedName>
    <definedName name="BASE_YEAR" localSheetId="7">#REF!</definedName>
    <definedName name="BASE_YEAR" localSheetId="6">#REF!</definedName>
    <definedName name="BASE_YEAR">#REF!</definedName>
    <definedName name="Basepopulation" localSheetId="5">#REF!</definedName>
    <definedName name="Basepopulation" localSheetId="7">#REF!</definedName>
    <definedName name="Basepopulation" localSheetId="6">#REF!</definedName>
    <definedName name="Basepopulation">#REF!</definedName>
    <definedName name="BASIS_YEAR" localSheetId="5">#REF!</definedName>
    <definedName name="BASIS_YEAR" localSheetId="7">#REF!</definedName>
    <definedName name="BASIS_YEAR" localSheetId="6">#REF!</definedName>
    <definedName name="BASIS_YEAR">#REF!</definedName>
    <definedName name="Beurteilung" localSheetId="5">#REF!</definedName>
    <definedName name="Beurteilung" localSheetId="7">#REF!</definedName>
    <definedName name="Beurteilung" localSheetId="6">#REF!</definedName>
    <definedName name="Beurteilung">#REF!</definedName>
    <definedName name="BG_Del">15</definedName>
    <definedName name="BG_Ins">4</definedName>
    <definedName name="BG_Mod">6</definedName>
    <definedName name="bgcharge" localSheetId="5">#REF!</definedName>
    <definedName name="bgcharge" localSheetId="7">#REF!</definedName>
    <definedName name="bgcharge" localSheetId="6">#REF!</definedName>
    <definedName name="bgcharge">#REF!</definedName>
    <definedName name="bhjvjcg" localSheetId="5">#REF!</definedName>
    <definedName name="bhjvjcg" localSheetId="7">#REF!</definedName>
    <definedName name="bhjvjcg" localSheetId="6">#REF!</definedName>
    <definedName name="bhjvjcg">#REF!</definedName>
    <definedName name="bih" localSheetId="5">#REF!</definedName>
    <definedName name="bih" localSheetId="7">#REF!</definedName>
    <definedName name="bih" localSheetId="6">#REF!</definedName>
    <definedName name="bih">#REF!</definedName>
    <definedName name="Billable_Hours_for_IBS" localSheetId="5">#REF!</definedName>
    <definedName name="Billable_Hours_for_IBS" localSheetId="7">#REF!</definedName>
    <definedName name="Billable_Hours_for_IBS" localSheetId="6">#REF!</definedName>
    <definedName name="Billable_Hours_for_IBS">#REF!</definedName>
    <definedName name="BILLING">#N/A</definedName>
    <definedName name="BILLING_RATE" localSheetId="5">#REF!</definedName>
    <definedName name="BILLING_RATE" localSheetId="7">#REF!</definedName>
    <definedName name="BILLING_RATE" localSheetId="6">#REF!</definedName>
    <definedName name="BILLING_RATE">#REF!</definedName>
    <definedName name="billingcollectionexpense" localSheetId="5">#REF!</definedName>
    <definedName name="billingcollectionexpense" localSheetId="7">#REF!</definedName>
    <definedName name="billingcollectionexpense" localSheetId="6">#REF!</definedName>
    <definedName name="billingcollectionexpense">#REF!</definedName>
    <definedName name="Blanket" localSheetId="5">#REF!</definedName>
    <definedName name="Blanket" localSheetId="7">#REF!</definedName>
    <definedName name="Blanket" localSheetId="6">#REF!</definedName>
    <definedName name="Blanket">#REF!</definedName>
    <definedName name="bldgaqscharge" localSheetId="5">#REF!</definedName>
    <definedName name="bldgaqscharge" localSheetId="7">#REF!</definedName>
    <definedName name="bldgaqscharge" localSheetId="6">#REF!</definedName>
    <definedName name="bldgaqscharge">#REF!</definedName>
    <definedName name="BLPH1" localSheetId="5" hidden="1">#REF!</definedName>
    <definedName name="BLPH1" localSheetId="7" hidden="1">#REF!</definedName>
    <definedName name="BLPH1" localSheetId="6" hidden="1">#REF!</definedName>
    <definedName name="BLPH1" hidden="1">#REF!</definedName>
    <definedName name="BlrChemCost" localSheetId="5">#REF!</definedName>
    <definedName name="BlrChemCost" localSheetId="7">#REF!</definedName>
    <definedName name="BlrChemCost" localSheetId="6">#REF!</definedName>
    <definedName name="BlrChemCost">#REF!</definedName>
    <definedName name="BonusFee" localSheetId="5">#REF!</definedName>
    <definedName name="BonusFee" localSheetId="7">#REF!</definedName>
    <definedName name="BonusFee" localSheetId="6">#REF!</definedName>
    <definedName name="BonusFee">#REF!</definedName>
    <definedName name="boxes" localSheetId="5">#REF!,#REF!</definedName>
    <definedName name="boxes" localSheetId="7">#REF!,#REF!</definedName>
    <definedName name="boxes" localSheetId="6">#REF!,#REF!</definedName>
    <definedName name="boxes">#REF!,#REF!</definedName>
    <definedName name="bremer_eff_tax_rate" localSheetId="5">#REF!</definedName>
    <definedName name="bremer_eff_tax_rate" localSheetId="7">#REF!</definedName>
    <definedName name="bremer_eff_tax_rate" localSheetId="6">#REF!</definedName>
    <definedName name="bremer_eff_tax_rate">#REF!</definedName>
    <definedName name="bs" localSheetId="5">#REF!</definedName>
    <definedName name="bs" localSheetId="7">#REF!</definedName>
    <definedName name="bs" localSheetId="6">#REF!</definedName>
    <definedName name="bs">#REF!</definedName>
    <definedName name="BSDateSF" localSheetId="5">#REF!</definedName>
    <definedName name="BSDateSF" localSheetId="7">#REF!</definedName>
    <definedName name="BSDateSF" localSheetId="6">#REF!</definedName>
    <definedName name="BSDateSF">#REF!</definedName>
    <definedName name="BSMurty" localSheetId="5">#REF!</definedName>
    <definedName name="BSMurty" localSheetId="7">#REF!</definedName>
    <definedName name="BSMurty" localSheetId="6">#REF!</definedName>
    <definedName name="BSMurty">#REF!</definedName>
    <definedName name="BUDGET_YEAR" localSheetId="5">#REF!</definedName>
    <definedName name="BUDGET_YEAR" localSheetId="7">#REF!</definedName>
    <definedName name="BUDGET_YEAR" localSheetId="6">#REF!</definedName>
    <definedName name="BUDGET_YEAR">#REF!</definedName>
    <definedName name="budVsAct" localSheetId="5">#REF!</definedName>
    <definedName name="budVsAct" localSheetId="7">#REF!</definedName>
    <definedName name="budVsAct" localSheetId="6">#REF!</definedName>
    <definedName name="budVsAct">#REF!</definedName>
    <definedName name="BuiltIn_Print_Area___0___0___0___0___0" localSheetId="5">#REF!</definedName>
    <definedName name="BuiltIn_Print_Area___0___0___0___0___0" localSheetId="7">#REF!</definedName>
    <definedName name="BuiltIn_Print_Area___0___0___0___0___0" localSheetId="6">#REF!</definedName>
    <definedName name="BuiltIn_Print_Area___0___0___0___0___0">#REF!</definedName>
    <definedName name="BuiltIn_Print_Area___4" localSheetId="5">#REF!</definedName>
    <definedName name="BuiltIn_Print_Area___4" localSheetId="7">#REF!</definedName>
    <definedName name="BuiltIn_Print_Area___4" localSheetId="6">#REF!</definedName>
    <definedName name="BuiltIn_Print_Area___4">#REF!</definedName>
    <definedName name="BuiltIn_Print_Area___5" localSheetId="5">#REF!</definedName>
    <definedName name="BuiltIn_Print_Area___5" localSheetId="7">#REF!</definedName>
    <definedName name="BuiltIn_Print_Area___5" localSheetId="6">#REF!</definedName>
    <definedName name="BuiltIn_Print_Area___5">#REF!</definedName>
    <definedName name="BuiltIn_Print_Area___7" localSheetId="5">#REF!</definedName>
    <definedName name="BuiltIn_Print_Area___7" localSheetId="7">#REF!</definedName>
    <definedName name="BuiltIn_Print_Area___7" localSheetId="6">#REF!</definedName>
    <definedName name="BuiltIn_Print_Area___7">#REF!</definedName>
    <definedName name="BusMGT" localSheetId="5">#REF!</definedName>
    <definedName name="BusMGT" localSheetId="7">#REF!</definedName>
    <definedName name="BusMGT" localSheetId="6">#REF!</definedName>
    <definedName name="BusMGT">#REF!</definedName>
    <definedName name="bvc" localSheetId="5">#REF!</definedName>
    <definedName name="bvc" localSheetId="7">#REF!</definedName>
    <definedName name="bvc" localSheetId="6">#REF!</definedName>
    <definedName name="bvc">#REF!</definedName>
    <definedName name="cablelomif" localSheetId="5">#REF!</definedName>
    <definedName name="cablelomif" localSheetId="7">#REF!</definedName>
    <definedName name="cablelomif" localSheetId="6">#REF!</definedName>
    <definedName name="cablelomif">#REF!</definedName>
    <definedName name="CalDate" localSheetId="5">#REF!</definedName>
    <definedName name="CalDate" localSheetId="7">#REF!</definedName>
    <definedName name="CalDate" localSheetId="6">#REF!</definedName>
    <definedName name="CalDate">#REF!</definedName>
    <definedName name="can1_240fixed" localSheetId="5">#REF!</definedName>
    <definedName name="can1_240fixed" localSheetId="7">#REF!</definedName>
    <definedName name="can1_240fixed" localSheetId="6">#REF!</definedName>
    <definedName name="can1_240fixed">#REF!</definedName>
    <definedName name="can1_240var" localSheetId="5">#REF!</definedName>
    <definedName name="can1_240var" localSheetId="7">#REF!</definedName>
    <definedName name="can1_240var" localSheetId="6">#REF!</definedName>
    <definedName name="can1_240var">#REF!</definedName>
    <definedName name="can1_480fixed" localSheetId="5">#REF!</definedName>
    <definedName name="can1_480fixed" localSheetId="7">#REF!</definedName>
    <definedName name="can1_480fixed" localSheetId="6">#REF!</definedName>
    <definedName name="can1_480fixed">#REF!</definedName>
    <definedName name="can1_480var" localSheetId="5">#REF!</definedName>
    <definedName name="can1_480var" localSheetId="7">#REF!</definedName>
    <definedName name="can1_480var" localSheetId="6">#REF!</definedName>
    <definedName name="can1_480var">#REF!</definedName>
    <definedName name="can1_960fixed" localSheetId="5">#REF!</definedName>
    <definedName name="can1_960fixed" localSheetId="7">#REF!</definedName>
    <definedName name="can1_960fixed" localSheetId="6">#REF!</definedName>
    <definedName name="can1_960fixed">#REF!</definedName>
    <definedName name="can1_960var" localSheetId="5">#REF!</definedName>
    <definedName name="can1_960var" localSheetId="7">#REF!</definedName>
    <definedName name="can1_960var" localSheetId="6">#REF!</definedName>
    <definedName name="can1_960var">#REF!</definedName>
    <definedName name="can1fixed" localSheetId="5">#REF!</definedName>
    <definedName name="can1fixed" localSheetId="7">#REF!</definedName>
    <definedName name="can1fixed" localSheetId="6">#REF!</definedName>
    <definedName name="can1fixed">#REF!</definedName>
    <definedName name="can1fixed_960" localSheetId="5">#REF!</definedName>
    <definedName name="can1fixed_960" localSheetId="7">#REF!</definedName>
    <definedName name="can1fixed_960" localSheetId="6">#REF!</definedName>
    <definedName name="can1fixed_960">#REF!</definedName>
    <definedName name="can1fixed960" localSheetId="5">#REF!</definedName>
    <definedName name="can1fixed960" localSheetId="7">#REF!</definedName>
    <definedName name="can1fixed960" localSheetId="6">#REF!</definedName>
    <definedName name="can1fixed960">#REF!</definedName>
    <definedName name="can1mediacost" localSheetId="5">#REF!</definedName>
    <definedName name="can1mediacost" localSheetId="7">#REF!</definedName>
    <definedName name="can1mediacost" localSheetId="6">#REF!</definedName>
    <definedName name="can1mediacost">#REF!</definedName>
    <definedName name="can1var" localSheetId="5">#REF!</definedName>
    <definedName name="can1var" localSheetId="7">#REF!</definedName>
    <definedName name="can1var" localSheetId="6">#REF!</definedName>
    <definedName name="can1var">#REF!</definedName>
    <definedName name="can2_240fixed" localSheetId="5">#REF!</definedName>
    <definedName name="can2_240fixed" localSheetId="7">#REF!</definedName>
    <definedName name="can2_240fixed" localSheetId="6">#REF!</definedName>
    <definedName name="can2_240fixed">#REF!</definedName>
    <definedName name="can2_240var" localSheetId="5">#REF!</definedName>
    <definedName name="can2_240var" localSheetId="7">#REF!</definedName>
    <definedName name="can2_240var" localSheetId="6">#REF!</definedName>
    <definedName name="can2_240var">#REF!</definedName>
    <definedName name="can2_480fixed" localSheetId="5">#REF!</definedName>
    <definedName name="can2_480fixed" localSheetId="7">#REF!</definedName>
    <definedName name="can2_480fixed" localSheetId="6">#REF!</definedName>
    <definedName name="can2_480fixed">#REF!</definedName>
    <definedName name="can2_480var" localSheetId="5">#REF!</definedName>
    <definedName name="can2_480var" localSheetId="7">#REF!</definedName>
    <definedName name="can2_480var" localSheetId="6">#REF!</definedName>
    <definedName name="can2_480var">#REF!</definedName>
    <definedName name="can2_960fixed" localSheetId="5">#REF!</definedName>
    <definedName name="can2_960fixed" localSheetId="7">#REF!</definedName>
    <definedName name="can2_960fixed" localSheetId="6">#REF!</definedName>
    <definedName name="can2_960fixed">#REF!</definedName>
    <definedName name="can2_960var" localSheetId="5">#REF!</definedName>
    <definedName name="can2_960var" localSheetId="7">#REF!</definedName>
    <definedName name="can2_960var" localSheetId="6">#REF!</definedName>
    <definedName name="can2_960var">#REF!</definedName>
    <definedName name="can4_240" localSheetId="5">#REF!</definedName>
    <definedName name="can4_240" localSheetId="7">#REF!</definedName>
    <definedName name="can4_240" localSheetId="6">#REF!</definedName>
    <definedName name="can4_240">#REF!</definedName>
    <definedName name="can4_240fixed" localSheetId="5">#REF!</definedName>
    <definedName name="can4_240fixed" localSheetId="7">#REF!</definedName>
    <definedName name="can4_240fixed" localSheetId="6">#REF!</definedName>
    <definedName name="can4_240fixed">#REF!</definedName>
    <definedName name="can4_240var" localSheetId="5">#REF!</definedName>
    <definedName name="can4_240var" localSheetId="7">#REF!</definedName>
    <definedName name="can4_240var" localSheetId="6">#REF!</definedName>
    <definedName name="can4_240var">#REF!</definedName>
    <definedName name="can4_480" localSheetId="5">#REF!</definedName>
    <definedName name="can4_480" localSheetId="7">#REF!</definedName>
    <definedName name="can4_480" localSheetId="6">#REF!</definedName>
    <definedName name="can4_480">#REF!</definedName>
    <definedName name="can4_480fixed" localSheetId="5">#REF!</definedName>
    <definedName name="can4_480fixed" localSheetId="7">#REF!</definedName>
    <definedName name="can4_480fixed" localSheetId="6">#REF!</definedName>
    <definedName name="can4_480fixed">#REF!</definedName>
    <definedName name="can4_480var" localSheetId="5">#REF!</definedName>
    <definedName name="can4_480var" localSheetId="7">#REF!</definedName>
    <definedName name="can4_480var" localSheetId="6">#REF!</definedName>
    <definedName name="can4_480var">#REF!</definedName>
    <definedName name="can4_960" localSheetId="5">#REF!</definedName>
    <definedName name="can4_960" localSheetId="7">#REF!</definedName>
    <definedName name="can4_960" localSheetId="6">#REF!</definedName>
    <definedName name="can4_960">#REF!</definedName>
    <definedName name="can4_960fixed" localSheetId="5">#REF!</definedName>
    <definedName name="can4_960fixed" localSheetId="7">#REF!</definedName>
    <definedName name="can4_960fixed" localSheetId="6">#REF!</definedName>
    <definedName name="can4_960fixed">#REF!</definedName>
    <definedName name="can4_960var" localSheetId="5">#REF!</definedName>
    <definedName name="can4_960var" localSheetId="7">#REF!</definedName>
    <definedName name="can4_960var" localSheetId="6">#REF!</definedName>
    <definedName name="can4_960var">#REF!</definedName>
    <definedName name="can4_power" localSheetId="5">#REF!</definedName>
    <definedName name="can4_power" localSheetId="7">#REF!</definedName>
    <definedName name="can4_power" localSheetId="6">#REF!</definedName>
    <definedName name="can4_power">#REF!</definedName>
    <definedName name="can8_240fixed" localSheetId="5">#REF!</definedName>
    <definedName name="can8_240fixed" localSheetId="7">#REF!</definedName>
    <definedName name="can8_240fixed" localSheetId="6">#REF!</definedName>
    <definedName name="can8_240fixed">#REF!</definedName>
    <definedName name="can8_240var" localSheetId="5">#REF!</definedName>
    <definedName name="can8_240var" localSheetId="7">#REF!</definedName>
    <definedName name="can8_240var" localSheetId="6">#REF!</definedName>
    <definedName name="can8_240var">#REF!</definedName>
    <definedName name="can8_480fixed" localSheetId="5">#REF!</definedName>
    <definedName name="can8_480fixed" localSheetId="7">#REF!</definedName>
    <definedName name="can8_480fixed" localSheetId="6">#REF!</definedName>
    <definedName name="can8_480fixed">#REF!</definedName>
    <definedName name="can8_480var" localSheetId="5">#REF!</definedName>
    <definedName name="can8_480var" localSheetId="7">#REF!</definedName>
    <definedName name="can8_480var" localSheetId="6">#REF!</definedName>
    <definedName name="can8_480var">#REF!</definedName>
    <definedName name="can8_960fixed" localSheetId="5">#REF!</definedName>
    <definedName name="can8_960fixed" localSheetId="7">#REF!</definedName>
    <definedName name="can8_960fixed" localSheetId="6">#REF!</definedName>
    <definedName name="can8_960fixed">#REF!</definedName>
    <definedName name="can8_960var" localSheetId="5">#REF!</definedName>
    <definedName name="can8_960var" localSheetId="7">#REF!</definedName>
    <definedName name="can8_960var" localSheetId="6">#REF!</definedName>
    <definedName name="can8_960var">#REF!</definedName>
    <definedName name="can8_power" localSheetId="5">#REF!</definedName>
    <definedName name="can8_power" localSheetId="7">#REF!</definedName>
    <definedName name="can8_power" localSheetId="6">#REF!</definedName>
    <definedName name="can8_power">#REF!</definedName>
    <definedName name="can8media" localSheetId="5">#REF!</definedName>
    <definedName name="can8media" localSheetId="7">#REF!</definedName>
    <definedName name="can8media" localSheetId="6">#REF!</definedName>
    <definedName name="can8media">#REF!</definedName>
    <definedName name="canfourmediacost" localSheetId="5">#REF!</definedName>
    <definedName name="canfourmediacost" localSheetId="7">#REF!</definedName>
    <definedName name="canfourmediacost" localSheetId="6">#REF!</definedName>
    <definedName name="canfourmediacost">#REF!</definedName>
    <definedName name="cantwomediacost" localSheetId="5">#REF!</definedName>
    <definedName name="cantwomediacost" localSheetId="7">#REF!</definedName>
    <definedName name="cantwomediacost" localSheetId="6">#REF!</definedName>
    <definedName name="cantwomediacost">#REF!</definedName>
    <definedName name="capex_r1" localSheetId="5">#REF!</definedName>
    <definedName name="capex_r1" localSheetId="7">#REF!</definedName>
    <definedName name="capex_r1" localSheetId="6">#REF!</definedName>
    <definedName name="capex_r1">#REF!</definedName>
    <definedName name="capex_s1" localSheetId="5">#REF!</definedName>
    <definedName name="capex_s1" localSheetId="7">#REF!</definedName>
    <definedName name="capex_s1" localSheetId="6">#REF!</definedName>
    <definedName name="capex_s1">#REF!</definedName>
    <definedName name="capex_s2" localSheetId="5">#REF!</definedName>
    <definedName name="capex_s2" localSheetId="7">#REF!</definedName>
    <definedName name="capex_s2" localSheetId="6">#REF!</definedName>
    <definedName name="capex_s2">#REF!</definedName>
    <definedName name="capex_sf1" localSheetId="5">#REF!</definedName>
    <definedName name="capex_sf1" localSheetId="7">#REF!</definedName>
    <definedName name="capex_sf1" localSheetId="6">#REF!</definedName>
    <definedName name="capex_sf1">#REF!</definedName>
    <definedName name="capex_sf2" localSheetId="5">#REF!</definedName>
    <definedName name="capex_sf2" localSheetId="7">#REF!</definedName>
    <definedName name="capex_sf2" localSheetId="6">#REF!</definedName>
    <definedName name="capex_sf2">#REF!</definedName>
    <definedName name="capex_sf3" localSheetId="5">#REF!</definedName>
    <definedName name="capex_sf3" localSheetId="7">#REF!</definedName>
    <definedName name="capex_sf3" localSheetId="6">#REF!</definedName>
    <definedName name="capex_sf3">#REF!</definedName>
    <definedName name="capex1a" localSheetId="5">#REF!</definedName>
    <definedName name="capex1a" localSheetId="7">#REF!</definedName>
    <definedName name="capex1a" localSheetId="6">#REF!</definedName>
    <definedName name="capex1a">#REF!</definedName>
    <definedName name="capex1b" localSheetId="5">#REF!</definedName>
    <definedName name="capex1b" localSheetId="7">#REF!</definedName>
    <definedName name="capex1b" localSheetId="6">#REF!</definedName>
    <definedName name="capex1b">#REF!</definedName>
    <definedName name="capex2" localSheetId="5">#REF!</definedName>
    <definedName name="capex2" localSheetId="7">#REF!</definedName>
    <definedName name="capex2" localSheetId="6">#REF!</definedName>
    <definedName name="capex2">#REF!</definedName>
    <definedName name="CapitalGains_exempt_PrintArea" localSheetId="5">#REF!</definedName>
    <definedName name="CapitalGains_exempt_PrintArea" localSheetId="7">#REF!</definedName>
    <definedName name="CapitalGains_exempt_PrintArea" localSheetId="6">#REF!</definedName>
    <definedName name="CapitalGains_exempt_PrintArea">#REF!</definedName>
    <definedName name="CapitalGains_taxable_PrintArea" localSheetId="5">#REF!</definedName>
    <definedName name="CapitalGains_taxable_PrintArea" localSheetId="7">#REF!</definedName>
    <definedName name="CapitalGains_taxable_PrintArea" localSheetId="6">#REF!</definedName>
    <definedName name="CapitalGains_taxable_PrintArea">#REF!</definedName>
    <definedName name="cars_comp" localSheetId="5">#REF!</definedName>
    <definedName name="cars_comp" localSheetId="7">#REF!</definedName>
    <definedName name="cars_comp" localSheetId="6">#REF!</definedName>
    <definedName name="cars_comp">#REF!</definedName>
    <definedName name="CashFlow" localSheetId="5">#REF!</definedName>
    <definedName name="CashFlow" localSheetId="7">#REF!</definedName>
    <definedName name="CashFlow" localSheetId="6">#REF!</definedName>
    <definedName name="CashFlow">#REF!</definedName>
    <definedName name="CashFlow2" localSheetId="5">#REF!</definedName>
    <definedName name="CashFlow2" localSheetId="7">#REF!</definedName>
    <definedName name="CashFlow2" localSheetId="6">#REF!</definedName>
    <definedName name="CashFlow2">#REF!</definedName>
    <definedName name="CATEGORY_HEADER" localSheetId="5">#REF!</definedName>
    <definedName name="CATEGORY_HEADER" localSheetId="7">#REF!</definedName>
    <definedName name="CATEGORY_HEADER" localSheetId="6">#REF!</definedName>
    <definedName name="CATEGORY_HEADER">#REF!</definedName>
    <definedName name="CATP" localSheetId="5">#REF!</definedName>
    <definedName name="CATP" localSheetId="7">#REF!</definedName>
    <definedName name="CATP" localSheetId="6">#REF!</definedName>
    <definedName name="CATP">#REF!</definedName>
    <definedName name="CBXFBSDFB" localSheetId="5">#REF!</definedName>
    <definedName name="CBXFBSDFB" localSheetId="7">#REF!</definedName>
    <definedName name="CBXFBSDFB" localSheetId="6">#REF!</definedName>
    <definedName name="CBXFBSDFB">#REF!</definedName>
    <definedName name="CC" localSheetId="5">#REF!</definedName>
    <definedName name="CC" localSheetId="7">#REF!</definedName>
    <definedName name="CC" localSheetId="6">#REF!</definedName>
    <definedName name="CC">#REF!</definedName>
    <definedName name="CCC100prcost" localSheetId="5">#REF!</definedName>
    <definedName name="CCC100prcost" localSheetId="7">#REF!</definedName>
    <definedName name="CCC100prcost" localSheetId="6">#REF!</definedName>
    <definedName name="CCC100prcost">#REF!</definedName>
    <definedName name="cccccccccc" localSheetId="5">#REF!</definedName>
    <definedName name="cccccccccc" localSheetId="7">#REF!</definedName>
    <definedName name="cccccccccc" localSheetId="6">#REF!</definedName>
    <definedName name="cccccccccc">#REF!</definedName>
    <definedName name="CCT" localSheetId="5">#REF!</definedName>
    <definedName name="CCT" localSheetId="7">#REF!</definedName>
    <definedName name="CCT" localSheetId="6">#REF!</definedName>
    <definedName name="CCT">#REF!</definedName>
    <definedName name="CEFF" localSheetId="5">#REF!</definedName>
    <definedName name="CEFF" localSheetId="7">#REF!</definedName>
    <definedName name="CEFF" localSheetId="6">#REF!</definedName>
    <definedName name="CEFF">#REF!</definedName>
    <definedName name="celltips_area" localSheetId="5">#REF!</definedName>
    <definedName name="celltips_area" localSheetId="7">#REF!</definedName>
    <definedName name="celltips_area" localSheetId="6">#REF!</definedName>
    <definedName name="celltips_area">#REF!</definedName>
    <definedName name="Cellulargrowthrate" localSheetId="5">#REF!</definedName>
    <definedName name="Cellulargrowthrate" localSheetId="7">#REF!</definedName>
    <definedName name="Cellulargrowthrate" localSheetId="6">#REF!</definedName>
    <definedName name="Cellulargrowthrate">#REF!</definedName>
    <definedName name="CellularsubscriberperE1" localSheetId="5">#REF!</definedName>
    <definedName name="CellularsubscriberperE1" localSheetId="7">#REF!</definedName>
    <definedName name="CellularsubscriberperE1" localSheetId="6">#REF!</definedName>
    <definedName name="CellularsubscriberperE1">#REF!</definedName>
    <definedName name="cellularsubscribers" localSheetId="5">#REF!</definedName>
    <definedName name="cellularsubscribers" localSheetId="7">#REF!</definedName>
    <definedName name="cellularsubscribers" localSheetId="6">#REF!</definedName>
    <definedName name="cellularsubscribers">#REF!</definedName>
    <definedName name="CENC_140_" localSheetId="5">#REF!</definedName>
    <definedName name="CENC_140_" localSheetId="7">#REF!</definedName>
    <definedName name="CENC_140_" localSheetId="6">#REF!</definedName>
    <definedName name="CENC_140_">#REF!</definedName>
    <definedName name="cgfcf" localSheetId="5">#REF!</definedName>
    <definedName name="cgfcf" localSheetId="7">#REF!</definedName>
    <definedName name="cgfcf" localSheetId="6">#REF!</definedName>
    <definedName name="cgfcf">#REF!</definedName>
    <definedName name="CGTScale" localSheetId="5">#REF!</definedName>
    <definedName name="CGTScale" localSheetId="7">#REF!</definedName>
    <definedName name="CGTScale" localSheetId="6">#REF!</definedName>
    <definedName name="CGTScale">#REF!</definedName>
    <definedName name="CHA" localSheetId="5">#REF!</definedName>
    <definedName name="CHA" localSheetId="7">#REF!</definedName>
    <definedName name="CHA" localSheetId="6">#REF!</definedName>
    <definedName name="CHA">#REF!</definedName>
    <definedName name="ChallanSrnoList" localSheetId="5">#REF!</definedName>
    <definedName name="ChallanSrnoList" localSheetId="7">#REF!</definedName>
    <definedName name="ChallanSrnoList" localSheetId="6">#REF!</definedName>
    <definedName name="ChallanSrnoList">#REF!</definedName>
    <definedName name="CHANGE" localSheetId="5">#REF!</definedName>
    <definedName name="CHANGE" localSheetId="7">#REF!</definedName>
    <definedName name="CHANGE" localSheetId="6">#REF!</definedName>
    <definedName name="CHANGE">#REF!</definedName>
    <definedName name="ChartCaptions" localSheetId="5">#REF!</definedName>
    <definedName name="ChartCaptions" localSheetId="7">#REF!</definedName>
    <definedName name="ChartCaptions" localSheetId="6">#REF!</definedName>
    <definedName name="ChartCaptions">#REF!</definedName>
    <definedName name="ChartingArea" localSheetId="5">#REF!,#REF!</definedName>
    <definedName name="ChartingArea" localSheetId="7">#REF!,#REF!</definedName>
    <definedName name="ChartingArea" localSheetId="6">#REF!,#REF!</definedName>
    <definedName name="ChartingArea">#REF!,#REF!</definedName>
    <definedName name="ChartingLabels" localSheetId="5">#REF!</definedName>
    <definedName name="ChartingLabels" localSheetId="7">#REF!</definedName>
    <definedName name="ChartingLabels" localSheetId="6">#REF!</definedName>
    <definedName name="ChartingLabels">#REF!</definedName>
    <definedName name="CHINA_PLASTIC_in_KUSD" localSheetId="5">#REF!</definedName>
    <definedName name="CHINA_PLASTIC_in_KUSD" localSheetId="7">#REF!</definedName>
    <definedName name="CHINA_PLASTIC_in_KUSD" localSheetId="6">#REF!</definedName>
    <definedName name="CHINA_PLASTIC_in_KUSD">#REF!</definedName>
    <definedName name="CityName" localSheetId="5">#REF!</definedName>
    <definedName name="CityName" localSheetId="7">#REF!</definedName>
    <definedName name="CityName" localSheetId="6">#REF!</definedName>
    <definedName name="CityName">#REF!</definedName>
    <definedName name="clause10" localSheetId="5">#REF!</definedName>
    <definedName name="clause10" localSheetId="7">#REF!</definedName>
    <definedName name="clause10" localSheetId="6">#REF!</definedName>
    <definedName name="clause10">#REF!</definedName>
    <definedName name="CLAUSE13" localSheetId="5">#REF!</definedName>
    <definedName name="CLAUSE13" localSheetId="7">#REF!</definedName>
    <definedName name="CLAUSE13" localSheetId="6">#REF!</definedName>
    <definedName name="CLAUSE13">#REF!</definedName>
    <definedName name="CLAUSE13b" localSheetId="5">#REF!</definedName>
    <definedName name="CLAUSE13b" localSheetId="7">#REF!</definedName>
    <definedName name="CLAUSE13b" localSheetId="6">#REF!</definedName>
    <definedName name="CLAUSE13b">#REF!</definedName>
    <definedName name="clause14" localSheetId="5">#REF!</definedName>
    <definedName name="clause14" localSheetId="7">#REF!</definedName>
    <definedName name="clause14" localSheetId="6">#REF!</definedName>
    <definedName name="clause14">#REF!</definedName>
    <definedName name="clause14d" localSheetId="5">#REF!</definedName>
    <definedName name="clause14d" localSheetId="7">#REF!</definedName>
    <definedName name="clause14d" localSheetId="6">#REF!</definedName>
    <definedName name="clause14d">#REF!</definedName>
    <definedName name="clause15" localSheetId="5">#REF!</definedName>
    <definedName name="clause15" localSheetId="7">#REF!</definedName>
    <definedName name="clause15" localSheetId="6">#REF!</definedName>
    <definedName name="clause15">#REF!</definedName>
    <definedName name="clause16b" localSheetId="5">#REF!</definedName>
    <definedName name="clause16b" localSheetId="7">#REF!</definedName>
    <definedName name="clause16b" localSheetId="6">#REF!</definedName>
    <definedName name="clause16b">#REF!</definedName>
    <definedName name="clause17a" localSheetId="5">#REF!</definedName>
    <definedName name="clause17a" localSheetId="7">#REF!</definedName>
    <definedName name="clause17a" localSheetId="6">#REF!</definedName>
    <definedName name="clause17a">#REF!</definedName>
    <definedName name="clause17B" localSheetId="5">#REF!</definedName>
    <definedName name="clause17B" localSheetId="7">#REF!</definedName>
    <definedName name="clause17B" localSheetId="6">#REF!</definedName>
    <definedName name="clause17B">#REF!</definedName>
    <definedName name="clause17C" localSheetId="5">#REF!</definedName>
    <definedName name="clause17C" localSheetId="7">#REF!</definedName>
    <definedName name="clause17C" localSheetId="6">#REF!</definedName>
    <definedName name="clause17C">#REF!</definedName>
    <definedName name="CLAUSE17D" localSheetId="5">#REF!</definedName>
    <definedName name="CLAUSE17D" localSheetId="7">#REF!</definedName>
    <definedName name="CLAUSE17D" localSheetId="6">#REF!</definedName>
    <definedName name="CLAUSE17D">#REF!</definedName>
    <definedName name="clause17E" localSheetId="5">#REF!</definedName>
    <definedName name="clause17E" localSheetId="7">#REF!</definedName>
    <definedName name="clause17E" localSheetId="6">#REF!</definedName>
    <definedName name="clause17E">#REF!</definedName>
    <definedName name="clause17F" localSheetId="5">#REF!</definedName>
    <definedName name="clause17F" localSheetId="7">#REF!</definedName>
    <definedName name="clause17F" localSheetId="6">#REF!</definedName>
    <definedName name="clause17F">#REF!</definedName>
    <definedName name="clause17h" localSheetId="5">#REF!</definedName>
    <definedName name="clause17h" localSheetId="7">#REF!</definedName>
    <definedName name="clause17h" localSheetId="6">#REF!</definedName>
    <definedName name="clause17h">#REF!</definedName>
    <definedName name="clause17K" localSheetId="5">#REF!</definedName>
    <definedName name="clause17K" localSheetId="7">#REF!</definedName>
    <definedName name="clause17K" localSheetId="6">#REF!</definedName>
    <definedName name="clause17K">#REF!</definedName>
    <definedName name="clause18" localSheetId="5">#REF!</definedName>
    <definedName name="clause18" localSheetId="7">#REF!</definedName>
    <definedName name="clause18" localSheetId="6">#REF!</definedName>
    <definedName name="clause18">#REF!</definedName>
    <definedName name="CLAUSE20" localSheetId="5">#REF!</definedName>
    <definedName name="CLAUSE20" localSheetId="7">#REF!</definedName>
    <definedName name="CLAUSE20" localSheetId="6">#REF!</definedName>
    <definedName name="CLAUSE20">#REF!</definedName>
    <definedName name="clause21" localSheetId="5">#REF!</definedName>
    <definedName name="clause21" localSheetId="7">#REF!</definedName>
    <definedName name="clause21" localSheetId="6">#REF!</definedName>
    <definedName name="clause21">#REF!</definedName>
    <definedName name="CLAUSE22A" localSheetId="5">#REF!</definedName>
    <definedName name="CLAUSE22A" localSheetId="7">#REF!</definedName>
    <definedName name="CLAUSE22A" localSheetId="6">#REF!</definedName>
    <definedName name="CLAUSE22A">#REF!</definedName>
    <definedName name="CLAUSE22B" localSheetId="5">#REF!</definedName>
    <definedName name="CLAUSE22B" localSheetId="7">#REF!</definedName>
    <definedName name="CLAUSE22B" localSheetId="6">#REF!</definedName>
    <definedName name="CLAUSE22B">#REF!</definedName>
    <definedName name="clause23" localSheetId="5">#REF!</definedName>
    <definedName name="clause23" localSheetId="7">#REF!</definedName>
    <definedName name="clause23" localSheetId="6">#REF!</definedName>
    <definedName name="clause23">#REF!</definedName>
    <definedName name="clause24" localSheetId="5">#REF!</definedName>
    <definedName name="clause24" localSheetId="7">#REF!</definedName>
    <definedName name="clause24" localSheetId="6">#REF!</definedName>
    <definedName name="clause24">#REF!</definedName>
    <definedName name="clause24b" localSheetId="5">#REF!</definedName>
    <definedName name="clause24b" localSheetId="7">#REF!</definedName>
    <definedName name="clause24b" localSheetId="6">#REF!</definedName>
    <definedName name="clause24b">#REF!</definedName>
    <definedName name="clause25" localSheetId="5">#REF!</definedName>
    <definedName name="clause25" localSheetId="7">#REF!</definedName>
    <definedName name="clause25" localSheetId="6">#REF!</definedName>
    <definedName name="clause25">#REF!</definedName>
    <definedName name="clause26" localSheetId="5">#REF!</definedName>
    <definedName name="clause26" localSheetId="7">#REF!</definedName>
    <definedName name="clause26" localSheetId="6">#REF!</definedName>
    <definedName name="clause26">#REF!</definedName>
    <definedName name="clause27" localSheetId="5">#REF!</definedName>
    <definedName name="clause27" localSheetId="7">#REF!</definedName>
    <definedName name="clause27" localSheetId="6">#REF!</definedName>
    <definedName name="clause27">#REF!</definedName>
    <definedName name="clause28" localSheetId="5">#REF!</definedName>
    <definedName name="clause28" localSheetId="7">#REF!</definedName>
    <definedName name="clause28" localSheetId="6">#REF!</definedName>
    <definedName name="clause28">#REF!</definedName>
    <definedName name="clause28b" localSheetId="5">#REF!</definedName>
    <definedName name="clause28b" localSheetId="7">#REF!</definedName>
    <definedName name="clause28b" localSheetId="6">#REF!</definedName>
    <definedName name="clause28b">#REF!</definedName>
    <definedName name="cn1_240" localSheetId="5">#REF!</definedName>
    <definedName name="cn1_240" localSheetId="7">#REF!</definedName>
    <definedName name="cn1_240" localSheetId="6">#REF!</definedName>
    <definedName name="cn1_240">#REF!</definedName>
    <definedName name="cn1_480" localSheetId="5">#REF!</definedName>
    <definedName name="cn1_480" localSheetId="7">#REF!</definedName>
    <definedName name="cn1_480" localSheetId="6">#REF!</definedName>
    <definedName name="cn1_480">#REF!</definedName>
    <definedName name="cn1_960" localSheetId="5">#REF!</definedName>
    <definedName name="cn1_960" localSheetId="7">#REF!</definedName>
    <definedName name="cn1_960" localSheetId="6">#REF!</definedName>
    <definedName name="cn1_960">#REF!</definedName>
    <definedName name="cn1_power" localSheetId="5">#REF!</definedName>
    <definedName name="cn1_power" localSheetId="7">#REF!</definedName>
    <definedName name="cn1_power" localSheetId="6">#REF!</definedName>
    <definedName name="cn1_power">#REF!</definedName>
    <definedName name="cn1fixed960" localSheetId="5">#REF!</definedName>
    <definedName name="cn1fixed960" localSheetId="7">#REF!</definedName>
    <definedName name="cn1fixed960" localSheetId="6">#REF!</definedName>
    <definedName name="cn1fixed960">#REF!</definedName>
    <definedName name="cn2_240" localSheetId="5">#REF!</definedName>
    <definedName name="cn2_240" localSheetId="7">#REF!</definedName>
    <definedName name="cn2_240" localSheetId="6">#REF!</definedName>
    <definedName name="cn2_240">#REF!</definedName>
    <definedName name="cn2_480" localSheetId="5">#REF!</definedName>
    <definedName name="cn2_480" localSheetId="7">#REF!</definedName>
    <definedName name="cn2_480" localSheetId="6">#REF!</definedName>
    <definedName name="cn2_480">#REF!</definedName>
    <definedName name="cn2_960" localSheetId="5">#REF!</definedName>
    <definedName name="cn2_960" localSheetId="7">#REF!</definedName>
    <definedName name="cn2_960" localSheetId="6">#REF!</definedName>
    <definedName name="cn2_960">#REF!</definedName>
    <definedName name="cn2_power" localSheetId="5">#REF!</definedName>
    <definedName name="cn2_power" localSheetId="7">#REF!</definedName>
    <definedName name="cn2_power" localSheetId="6">#REF!</definedName>
    <definedName name="cn2_power">#REF!</definedName>
    <definedName name="cn3_960" localSheetId="5">#REF!</definedName>
    <definedName name="cn3_960" localSheetId="7">#REF!</definedName>
    <definedName name="cn3_960" localSheetId="6">#REF!</definedName>
    <definedName name="cn3_960">#REF!</definedName>
    <definedName name="cn4_960" localSheetId="5">#REF!</definedName>
    <definedName name="cn4_960" localSheetId="7">#REF!</definedName>
    <definedName name="cn4_960" localSheetId="6">#REF!</definedName>
    <definedName name="cn4_960">#REF!</definedName>
    <definedName name="COA" localSheetId="5">#REF!</definedName>
    <definedName name="COA" localSheetId="7">#REF!</definedName>
    <definedName name="COA" localSheetId="6">#REF!</definedName>
    <definedName name="COA">#REF!</definedName>
    <definedName name="CoAdd" localSheetId="5">#REF!</definedName>
    <definedName name="CoAdd" localSheetId="7">#REF!</definedName>
    <definedName name="CoAdd" localSheetId="6">#REF!</definedName>
    <definedName name="CoAdd">#REF!</definedName>
    <definedName name="COMM_L_MONTHS" localSheetId="5">#REF!</definedName>
    <definedName name="COMM_L_MONTHS" localSheetId="7">#REF!</definedName>
    <definedName name="COMM_L_MONTHS" localSheetId="6">#REF!</definedName>
    <definedName name="COMM_L_MONTHS">#REF!</definedName>
    <definedName name="comminfracost" localSheetId="5">#REF!</definedName>
    <definedName name="comminfracost" localSheetId="7">#REF!</definedName>
    <definedName name="comminfracost" localSheetId="6">#REF!</definedName>
    <definedName name="comminfracost">#REF!</definedName>
    <definedName name="commit" localSheetId="5">#REF!</definedName>
    <definedName name="commit" localSheetId="7">#REF!</definedName>
    <definedName name="commit" localSheetId="6">#REF!</definedName>
    <definedName name="commit">#REF!</definedName>
    <definedName name="COMP" localSheetId="5">#REF!</definedName>
    <definedName name="COMP" localSheetId="7">#REF!</definedName>
    <definedName name="COMP" localSheetId="6">#REF!</definedName>
    <definedName name="COMP">#REF!</definedName>
    <definedName name="company" localSheetId="5">#REF!</definedName>
    <definedName name="company" localSheetId="7">#REF!</definedName>
    <definedName name="company" localSheetId="6">#REF!</definedName>
    <definedName name="company">#REF!</definedName>
    <definedName name="computation" localSheetId="5">#REF!</definedName>
    <definedName name="computation" localSheetId="7">#REF!</definedName>
    <definedName name="computation" localSheetId="6">#REF!</definedName>
    <definedName name="computation">#REF!</definedName>
    <definedName name="COMPUTATION_OF_INTEREST_UNDER_SECTION_234_C" localSheetId="5">#REF!</definedName>
    <definedName name="COMPUTATION_OF_INTEREST_UNDER_SECTION_234_C" localSheetId="7">#REF!</definedName>
    <definedName name="COMPUTATION_OF_INTEREST_UNDER_SECTION_234_C" localSheetId="6">#REF!</definedName>
    <definedName name="COMPUTATION_OF_INTEREST_UNDER_SECTION_234_C">#REF!</definedName>
    <definedName name="CoName" localSheetId="5">#REF!</definedName>
    <definedName name="CoName" localSheetId="7">#REF!</definedName>
    <definedName name="CoName" localSheetId="6">#REF!</definedName>
    <definedName name="CoName">#REF!</definedName>
    <definedName name="CondensateRtrn" localSheetId="5">#REF!</definedName>
    <definedName name="CondensateRtrn" localSheetId="7">#REF!</definedName>
    <definedName name="CondensateRtrn" localSheetId="6">#REF!</definedName>
    <definedName name="CondensateRtrn">#REF!</definedName>
    <definedName name="CONSTANT" localSheetId="5">#REF!</definedName>
    <definedName name="CONSTANT" localSheetId="7">#REF!</definedName>
    <definedName name="CONSTANT" localSheetId="6">#REF!</definedName>
    <definedName name="CONSTANT">#REF!</definedName>
    <definedName name="contract_status_del_dmrc1" localSheetId="5">#REF!</definedName>
    <definedName name="contract_status_del_dmrc1" localSheetId="7">#REF!</definedName>
    <definedName name="contract_status_del_dmrc1" localSheetId="6">#REF!</definedName>
    <definedName name="contract_status_del_dmrc1">#REF!</definedName>
    <definedName name="contract_status_del_dmrc2" localSheetId="5">#REF!</definedName>
    <definedName name="contract_status_del_dmrc2" localSheetId="7">#REF!</definedName>
    <definedName name="contract_status_del_dmrc2" localSheetId="6">#REF!</definedName>
    <definedName name="contract_status_del_dmrc2">#REF!</definedName>
    <definedName name="contract_status_del_dmrc3" localSheetId="5">#REF!</definedName>
    <definedName name="contract_status_del_dmrc3" localSheetId="7">#REF!</definedName>
    <definedName name="contract_status_del_dmrc3" localSheetId="6">#REF!</definedName>
    <definedName name="contract_status_del_dmrc3">#REF!</definedName>
    <definedName name="contract_status_del_dmrc4" localSheetId="5">#REF!</definedName>
    <definedName name="contract_status_del_dmrc4" localSheetId="7">#REF!</definedName>
    <definedName name="contract_status_del_dmrc4" localSheetId="6">#REF!</definedName>
    <definedName name="contract_status_del_dmrc4">#REF!</definedName>
    <definedName name="contract_status_del_dtc_bqs" localSheetId="5">#REF!</definedName>
    <definedName name="contract_status_del_dtc_bqs" localSheetId="7">#REF!</definedName>
    <definedName name="contract_status_del_dtc_bqs" localSheetId="6">#REF!</definedName>
    <definedName name="contract_status_del_dtc_bqs">#REF!</definedName>
    <definedName name="contract_status_del_hoarding" localSheetId="5">#REF!</definedName>
    <definedName name="contract_status_del_hoarding" localSheetId="7">#REF!</definedName>
    <definedName name="contract_status_del_hoarding" localSheetId="6">#REF!</definedName>
    <definedName name="contract_status_del_hoarding">#REF!</definedName>
    <definedName name="contract_status_del_mcd1" localSheetId="5">#REF!</definedName>
    <definedName name="contract_status_del_mcd1" localSheetId="7">#REF!</definedName>
    <definedName name="contract_status_del_mcd1" localSheetId="6">#REF!</definedName>
    <definedName name="contract_status_del_mcd1">#REF!</definedName>
    <definedName name="contract_status_del_mcd2" localSheetId="5">#REF!</definedName>
    <definedName name="contract_status_del_mcd2" localSheetId="7">#REF!</definedName>
    <definedName name="contract_status_del_mcd2" localSheetId="6">#REF!</definedName>
    <definedName name="contract_status_del_mcd2">#REF!</definedName>
    <definedName name="contract_status_del_mcd3" localSheetId="5">#REF!</definedName>
    <definedName name="contract_status_del_mcd3" localSheetId="7">#REF!</definedName>
    <definedName name="contract_status_del_mcd3" localSheetId="6">#REF!</definedName>
    <definedName name="contract_status_del_mcd3">#REF!</definedName>
    <definedName name="contract_status_del_mcd4" localSheetId="5">#REF!</definedName>
    <definedName name="contract_status_del_mcd4" localSheetId="7">#REF!</definedName>
    <definedName name="contract_status_del_mcd4" localSheetId="6">#REF!</definedName>
    <definedName name="contract_status_del_mcd4">#REF!</definedName>
    <definedName name="contract_status_del_mcd5" localSheetId="5">#REF!</definedName>
    <definedName name="contract_status_del_mcd5" localSheetId="7">#REF!</definedName>
    <definedName name="contract_status_del_mcd5" localSheetId="6">#REF!</definedName>
    <definedName name="contract_status_del_mcd5">#REF!</definedName>
    <definedName name="contract_status_del_nrdd" localSheetId="5">#REF!</definedName>
    <definedName name="contract_status_del_nrdd" localSheetId="7">#REF!</definedName>
    <definedName name="contract_status_del_nrdd" localSheetId="6">#REF!</definedName>
    <definedName name="contract_status_del_nrdd">#REF!</definedName>
    <definedName name="contract_status_del_utility" localSheetId="5">#REF!</definedName>
    <definedName name="contract_status_del_utility" localSheetId="7">#REF!</definedName>
    <definedName name="contract_status_del_utility" localSheetId="6">#REF!</definedName>
    <definedName name="contract_status_del_utility">#REF!</definedName>
    <definedName name="contract_status_kol_bqs" localSheetId="5">#REF!</definedName>
    <definedName name="contract_status_kol_bqs" localSheetId="7">#REF!</definedName>
    <definedName name="contract_status_kol_bqs" localSheetId="6">#REF!</definedName>
    <definedName name="contract_status_kol_bqs">#REF!</definedName>
    <definedName name="contract_status_kol_bridgepanel" localSheetId="5">#REF!</definedName>
    <definedName name="contract_status_kol_bridgepanel" localSheetId="7">#REF!</definedName>
    <definedName name="contract_status_kol_bridgepanel" localSheetId="6">#REF!</definedName>
    <definedName name="contract_status_kol_bridgepanel">#REF!</definedName>
    <definedName name="contract_status_kol_hoarding" localSheetId="5">#REF!</definedName>
    <definedName name="contract_status_kol_hoarding" localSheetId="7">#REF!</definedName>
    <definedName name="contract_status_kol_hoarding" localSheetId="6">#REF!</definedName>
    <definedName name="contract_status_kol_hoarding">#REF!</definedName>
    <definedName name="contract_status_kol_kiosk" localSheetId="5">#REF!</definedName>
    <definedName name="contract_status_kol_kiosk" localSheetId="7">#REF!</definedName>
    <definedName name="contract_status_kol_kiosk" localSheetId="6">#REF!</definedName>
    <definedName name="contract_status_kol_kiosk">#REF!</definedName>
    <definedName name="contract_status_kol_mpillars" localSheetId="5">#REF!</definedName>
    <definedName name="contract_status_kol_mpillars" localSheetId="7">#REF!</definedName>
    <definedName name="contract_status_kol_mpillars" localSheetId="6">#REF!</definedName>
    <definedName name="contract_status_kol_mpillars">#REF!</definedName>
    <definedName name="contract_status_kol_pillarwrap" localSheetId="5">#REF!</definedName>
    <definedName name="contract_status_kol_pillarwrap" localSheetId="7">#REF!</definedName>
    <definedName name="contract_status_kol_pillarwrap" localSheetId="6">#REF!</definedName>
    <definedName name="contract_status_kol_pillarwrap">#REF!</definedName>
    <definedName name="contract_status_kol_ts" localSheetId="5">#REF!</definedName>
    <definedName name="contract_status_kol_ts" localSheetId="7">#REF!</definedName>
    <definedName name="contract_status_kol_ts" localSheetId="6">#REF!</definedName>
    <definedName name="contract_status_kol_ts">#REF!</definedName>
    <definedName name="contract_status_mum_bestbus" localSheetId="5">#REF!</definedName>
    <definedName name="contract_status_mum_bestbus" localSheetId="7">#REF!</definedName>
    <definedName name="contract_status_mum_bestbus" localSheetId="6">#REF!</definedName>
    <definedName name="contract_status_mum_bestbus">#REF!</definedName>
    <definedName name="contract_status_mum_bqs" localSheetId="5">#REF!</definedName>
    <definedName name="contract_status_mum_bqs" localSheetId="7">#REF!</definedName>
    <definedName name="contract_status_mum_bqs" localSheetId="6">#REF!</definedName>
    <definedName name="contract_status_mum_bqs">#REF!</definedName>
    <definedName name="contract_status_mum_hoarding" localSheetId="5">#REF!</definedName>
    <definedName name="contract_status_mum_hoarding" localSheetId="7">#REF!</definedName>
    <definedName name="contract_status_mum_hoarding" localSheetId="6">#REF!</definedName>
    <definedName name="contract_status_mum_hoarding">#REF!</definedName>
    <definedName name="contract_status_mum_kiosk" localSheetId="5">#REF!</definedName>
    <definedName name="contract_status_mum_kiosk" localSheetId="7">#REF!</definedName>
    <definedName name="contract_status_mum_kiosk" localSheetId="6">#REF!</definedName>
    <definedName name="contract_status_mum_kiosk">#REF!</definedName>
    <definedName name="contract_status_mum_utility" localSheetId="5">#REF!</definedName>
    <definedName name="contract_status_mum_utility" localSheetId="7">#REF!</definedName>
    <definedName name="contract_status_mum_utility" localSheetId="6">#REF!</definedName>
    <definedName name="contract_status_mum_utility">#REF!</definedName>
    <definedName name="CONTRACTOR" localSheetId="5">#REF!</definedName>
    <definedName name="CONTRACTOR" localSheetId="7">#REF!</definedName>
    <definedName name="CONTRACTOR" localSheetId="6">#REF!</definedName>
    <definedName name="CONTRACTOR">#REF!</definedName>
    <definedName name="COPM" localSheetId="5">#REF!</definedName>
    <definedName name="COPM" localSheetId="7">#REF!</definedName>
    <definedName name="COPM" localSheetId="6">#REF!</definedName>
    <definedName name="COPM">#REF!</definedName>
    <definedName name="corptax" localSheetId="5">#REF!</definedName>
    <definedName name="corptax" localSheetId="7">#REF!</definedName>
    <definedName name="corptax" localSheetId="6">#REF!</definedName>
    <definedName name="corptax">#REF!</definedName>
    <definedName name="COST" localSheetId="5">#REF!</definedName>
    <definedName name="COST" localSheetId="7">#REF!</definedName>
    <definedName name="COST" localSheetId="6">#REF!</definedName>
    <definedName name="COST">#REF!</definedName>
    <definedName name="cost_calcn" localSheetId="5">#REF!</definedName>
    <definedName name="cost_calcn" localSheetId="7">#REF!</definedName>
    <definedName name="cost_calcn" localSheetId="6">#REF!</definedName>
    <definedName name="cost_calcn">#REF!</definedName>
    <definedName name="CoStatus" localSheetId="5">#REF!</definedName>
    <definedName name="CoStatus" localSheetId="7">#REF!</definedName>
    <definedName name="CoStatus" localSheetId="6">#REF!</definedName>
    <definedName name="CoStatus">#REF!</definedName>
    <definedName name="cr_knnl_mrbc_ron" localSheetId="5">#REF!</definedName>
    <definedName name="cr_knnl_mrbc_ron" localSheetId="7">#REF!</definedName>
    <definedName name="cr_knnl_mrbc_ron" localSheetId="6">#REF!</definedName>
    <definedName name="cr_knnl_mrbc_ron">#REF!</definedName>
    <definedName name="Creditors" localSheetId="5">#REF!</definedName>
    <definedName name="Creditors" localSheetId="7">#REF!</definedName>
    <definedName name="Creditors" localSheetId="6">#REF!</definedName>
    <definedName name="Creditors">#REF!</definedName>
    <definedName name="CRS" localSheetId="5">#REF!</definedName>
    <definedName name="CRS" localSheetId="7">#REF!</definedName>
    <definedName name="CRS" localSheetId="6">#REF!</definedName>
    <definedName name="CRS">#REF!</definedName>
    <definedName name="CSPL" localSheetId="5">#REF!</definedName>
    <definedName name="CSPL" localSheetId="7">#REF!</definedName>
    <definedName name="CSPL" localSheetId="6">#REF!</definedName>
    <definedName name="CSPL">#REF!</definedName>
    <definedName name="CT10490_T11_GDA" localSheetId="5">#REF!</definedName>
    <definedName name="CT10490_T11_GDA" localSheetId="7">#REF!</definedName>
    <definedName name="CT10490_T11_GDA" localSheetId="6">#REF!</definedName>
    <definedName name="CT10490_T11_GDA">#REF!</definedName>
    <definedName name="CT10490_T11_T1" localSheetId="5">#REF!</definedName>
    <definedName name="CT10490_T11_T1" localSheetId="7">#REF!</definedName>
    <definedName name="CT10490_T11_T1" localSheetId="6">#REF!</definedName>
    <definedName name="CT10490_T11_T1">#REF!</definedName>
    <definedName name="CT10490_T9_56k" localSheetId="5">#REF!</definedName>
    <definedName name="CT10490_T9_56k" localSheetId="7">#REF!</definedName>
    <definedName name="CT10490_T9_56k" localSheetId="6">#REF!</definedName>
    <definedName name="CT10490_T9_56k">#REF!</definedName>
    <definedName name="CT10490_T9_IBR" localSheetId="5">#REF!</definedName>
    <definedName name="CT10490_T9_IBR" localSheetId="7">#REF!</definedName>
    <definedName name="CT10490_T9_IBR" localSheetId="6">#REF!</definedName>
    <definedName name="CT10490_T9_IBR">#REF!</definedName>
    <definedName name="CT10490_T9_T1" localSheetId="5">#REF!</definedName>
    <definedName name="CT10490_T9_T1" localSheetId="7">#REF!</definedName>
    <definedName name="CT10490_T9_T1" localSheetId="6">#REF!</definedName>
    <definedName name="CT10490_T9_T1">#REF!</definedName>
    <definedName name="CT10587_T11_GDA" localSheetId="5">#REF!</definedName>
    <definedName name="CT10587_T11_GDA" localSheetId="7">#REF!</definedName>
    <definedName name="CT10587_T11_GDA" localSheetId="6">#REF!</definedName>
    <definedName name="CT10587_T11_GDA">#REF!</definedName>
    <definedName name="CT10587_T11_T1" localSheetId="5">#REF!</definedName>
    <definedName name="CT10587_T11_T1" localSheetId="7">#REF!</definedName>
    <definedName name="CT10587_T11_T1" localSheetId="6">#REF!</definedName>
    <definedName name="CT10587_T11_T1">#REF!</definedName>
    <definedName name="CT10587_T9_56k" localSheetId="5">#REF!</definedName>
    <definedName name="CT10587_T9_56k" localSheetId="7">#REF!</definedName>
    <definedName name="CT10587_T9_56k" localSheetId="6">#REF!</definedName>
    <definedName name="CT10587_T9_56k">#REF!</definedName>
    <definedName name="CT10587_T9_IBR" localSheetId="5">#REF!</definedName>
    <definedName name="CT10587_T9_IBR" localSheetId="7">#REF!</definedName>
    <definedName name="CT10587_T9_IBR" localSheetId="6">#REF!</definedName>
    <definedName name="CT10587_T9_IBR">#REF!</definedName>
    <definedName name="CT10587_T9_T1" localSheetId="5">#REF!</definedName>
    <definedName name="CT10587_T9_T1" localSheetId="7">#REF!</definedName>
    <definedName name="CT10587_T9_T1" localSheetId="6">#REF!</definedName>
    <definedName name="CT10587_T9_T1">#REF!</definedName>
    <definedName name="CT10613_T11_GDA" localSheetId="5">#REF!</definedName>
    <definedName name="CT10613_T11_GDA" localSheetId="7">#REF!</definedName>
    <definedName name="CT10613_T11_GDA" localSheetId="6">#REF!</definedName>
    <definedName name="CT10613_T11_GDA">#REF!</definedName>
    <definedName name="CT10613_T11_T1" localSheetId="5">#REF!</definedName>
    <definedName name="CT10613_T11_T1" localSheetId="7">#REF!</definedName>
    <definedName name="CT10613_T11_T1" localSheetId="6">#REF!</definedName>
    <definedName name="CT10613_T11_T1">#REF!</definedName>
    <definedName name="CT10613_T9_56k" localSheetId="5">#REF!</definedName>
    <definedName name="CT10613_T9_56k" localSheetId="7">#REF!</definedName>
    <definedName name="CT10613_T9_56k" localSheetId="6">#REF!</definedName>
    <definedName name="CT10613_T9_56k">#REF!</definedName>
    <definedName name="CT10613_T9_IBR" localSheetId="5">#REF!</definedName>
    <definedName name="CT10613_T9_IBR" localSheetId="7">#REF!</definedName>
    <definedName name="CT10613_T9_IBR" localSheetId="6">#REF!</definedName>
    <definedName name="CT10613_T9_IBR">#REF!</definedName>
    <definedName name="CT10613_T9_T1" localSheetId="5">#REF!</definedName>
    <definedName name="CT10613_T9_T1" localSheetId="7">#REF!</definedName>
    <definedName name="CT10613_T9_T1" localSheetId="6">#REF!</definedName>
    <definedName name="CT10613_T9_T1">#REF!</definedName>
    <definedName name="CT10881_IOC" localSheetId="5">#REF!</definedName>
    <definedName name="CT10881_IOC" localSheetId="7">#REF!</definedName>
    <definedName name="CT10881_IOC" localSheetId="6">#REF!</definedName>
    <definedName name="CT10881_IOC">#REF!</definedName>
    <definedName name="CT10881_LC" localSheetId="5">#REF!</definedName>
    <definedName name="CT10881_LC" localSheetId="7">#REF!</definedName>
    <definedName name="CT10881_LC" localSheetId="6">#REF!</definedName>
    <definedName name="CT10881_LC">#REF!</definedName>
    <definedName name="CTGMW" localSheetId="5">#REF!</definedName>
    <definedName name="CTGMW" localSheetId="7">#REF!</definedName>
    <definedName name="CTGMW" localSheetId="6">#REF!</definedName>
    <definedName name="CTGMW">#REF!</definedName>
    <definedName name="CURRENCY" localSheetId="5">#REF!</definedName>
    <definedName name="CURRENCY" localSheetId="7">#REF!</definedName>
    <definedName name="CURRENCY" localSheetId="6">#REF!</definedName>
    <definedName name="CURRENCY">#REF!</definedName>
    <definedName name="CurrencySymbols" localSheetId="5">#REF!</definedName>
    <definedName name="CurrencySymbols" localSheetId="7">#REF!</definedName>
    <definedName name="CurrencySymbols" localSheetId="6">#REF!</definedName>
    <definedName name="CurrencySymbols">#REF!</definedName>
    <definedName name="Currentplugcost" localSheetId="5">#REF!</definedName>
    <definedName name="Currentplugcost" localSheetId="7">#REF!</definedName>
    <definedName name="Currentplugcost" localSheetId="6">#REF!</definedName>
    <definedName name="Currentplugcost">#REF!</definedName>
    <definedName name="Custom_MMRC" localSheetId="5">#REF!</definedName>
    <definedName name="Custom_MMRC" localSheetId="7">#REF!</definedName>
    <definedName name="Custom_MMRC" localSheetId="6">#REF!</definedName>
    <definedName name="Custom_MMRC">#REF!</definedName>
    <definedName name="Custom_Term" localSheetId="5">#REF!</definedName>
    <definedName name="Custom_Term" localSheetId="7">#REF!</definedName>
    <definedName name="Custom_Term" localSheetId="6">#REF!</definedName>
    <definedName name="Custom_Term">#REF!</definedName>
    <definedName name="d" localSheetId="5">#REF!</definedName>
    <definedName name="d" localSheetId="7">#REF!</definedName>
    <definedName name="d" localSheetId="6">#REF!</definedName>
    <definedName name="d">#REF!</definedName>
    <definedName name="da" localSheetId="5">#REF!</definedName>
    <definedName name="da" localSheetId="7">#REF!</definedName>
    <definedName name="da" localSheetId="6">#REF!</definedName>
    <definedName name="da">#REF!</definedName>
    <definedName name="Data" localSheetId="5">#REF!</definedName>
    <definedName name="Data" localSheetId="7">#REF!</definedName>
    <definedName name="Data" localSheetId="6">#REF!</definedName>
    <definedName name="Data">#REF!</definedName>
    <definedName name="data1" localSheetId="5">#REF!</definedName>
    <definedName name="data1" localSheetId="7">#REF!</definedName>
    <definedName name="data1" localSheetId="6">#REF!</definedName>
    <definedName name="data1">#REF!</definedName>
    <definedName name="data10" localSheetId="5">#REF!</definedName>
    <definedName name="data10" localSheetId="7">#REF!</definedName>
    <definedName name="data10" localSheetId="6">#REF!</definedName>
    <definedName name="data10">#REF!</definedName>
    <definedName name="data100" localSheetId="5">#REF!</definedName>
    <definedName name="data100" localSheetId="7">#REF!</definedName>
    <definedName name="data100" localSheetId="6">#REF!</definedName>
    <definedName name="data100">#REF!</definedName>
    <definedName name="data101" localSheetId="5">#REF!</definedName>
    <definedName name="data101" localSheetId="7">#REF!</definedName>
    <definedName name="data101" localSheetId="6">#REF!</definedName>
    <definedName name="data101">#REF!</definedName>
    <definedName name="data11" localSheetId="5">#REF!</definedName>
    <definedName name="data11" localSheetId="7">#REF!</definedName>
    <definedName name="data11" localSheetId="6">#REF!</definedName>
    <definedName name="data11">#REF!</definedName>
    <definedName name="data12" localSheetId="5">#REF!</definedName>
    <definedName name="data12" localSheetId="7">#REF!</definedName>
    <definedName name="data12" localSheetId="6">#REF!</definedName>
    <definedName name="data12">#REF!</definedName>
    <definedName name="data13" localSheetId="5">#REF!</definedName>
    <definedName name="data13" localSheetId="7">#REF!</definedName>
    <definedName name="data13" localSheetId="6">#REF!</definedName>
    <definedName name="data13">#REF!</definedName>
    <definedName name="data14" localSheetId="5">#REF!</definedName>
    <definedName name="data14" localSheetId="7">#REF!</definedName>
    <definedName name="data14" localSheetId="6">#REF!</definedName>
    <definedName name="data14">#REF!</definedName>
    <definedName name="data15" localSheetId="5">#REF!</definedName>
    <definedName name="data15" localSheetId="7">#REF!</definedName>
    <definedName name="data15" localSheetId="6">#REF!</definedName>
    <definedName name="data15">#REF!</definedName>
    <definedName name="data16" localSheetId="5">#REF!</definedName>
    <definedName name="data16" localSheetId="7">#REF!</definedName>
    <definedName name="data16" localSheetId="6">#REF!</definedName>
    <definedName name="data16">#REF!</definedName>
    <definedName name="data17" localSheetId="5">#REF!</definedName>
    <definedName name="data17" localSheetId="7">#REF!</definedName>
    <definedName name="data17" localSheetId="6">#REF!</definedName>
    <definedName name="data17">#REF!</definedName>
    <definedName name="data18" localSheetId="5">#REF!</definedName>
    <definedName name="data18" localSheetId="7">#REF!</definedName>
    <definedName name="data18" localSheetId="6">#REF!</definedName>
    <definedName name="data18">#REF!</definedName>
    <definedName name="data19" localSheetId="5">#REF!</definedName>
    <definedName name="data19" localSheetId="7">#REF!</definedName>
    <definedName name="data19" localSheetId="6">#REF!</definedName>
    <definedName name="data19">#REF!</definedName>
    <definedName name="data2" localSheetId="5">#REF!</definedName>
    <definedName name="data2" localSheetId="7">#REF!</definedName>
    <definedName name="data2" localSheetId="6">#REF!</definedName>
    <definedName name="data2">#REF!</definedName>
    <definedName name="data20" localSheetId="5">#REF!</definedName>
    <definedName name="data20" localSheetId="7">#REF!</definedName>
    <definedName name="data20" localSheetId="6">#REF!</definedName>
    <definedName name="data20">#REF!</definedName>
    <definedName name="data21" localSheetId="5">#REF!</definedName>
    <definedName name="data21" localSheetId="7">#REF!</definedName>
    <definedName name="data21" localSheetId="6">#REF!</definedName>
    <definedName name="data21">#REF!</definedName>
    <definedName name="data22" localSheetId="5">#REF!</definedName>
    <definedName name="data22" localSheetId="7">#REF!</definedName>
    <definedName name="data22" localSheetId="6">#REF!</definedName>
    <definedName name="data22">#REF!</definedName>
    <definedName name="data23" localSheetId="5">#REF!</definedName>
    <definedName name="data23" localSheetId="7">#REF!</definedName>
    <definedName name="data23" localSheetId="6">#REF!</definedName>
    <definedName name="data23">#REF!</definedName>
    <definedName name="data24" localSheetId="5">#REF!</definedName>
    <definedName name="data24" localSheetId="7">#REF!</definedName>
    <definedName name="data24" localSheetId="6">#REF!</definedName>
    <definedName name="data24">#REF!</definedName>
    <definedName name="data25" localSheetId="5">#REF!</definedName>
    <definedName name="data25" localSheetId="7">#REF!</definedName>
    <definedName name="data25" localSheetId="6">#REF!</definedName>
    <definedName name="data25">#REF!</definedName>
    <definedName name="data26" localSheetId="5">#REF!</definedName>
    <definedName name="data26" localSheetId="7">#REF!</definedName>
    <definedName name="data26" localSheetId="6">#REF!</definedName>
    <definedName name="data26">#REF!</definedName>
    <definedName name="data27" localSheetId="5">#REF!</definedName>
    <definedName name="data27" localSheetId="7">#REF!</definedName>
    <definedName name="data27" localSheetId="6">#REF!</definedName>
    <definedName name="data27">#REF!</definedName>
    <definedName name="data28" localSheetId="5">#REF!</definedName>
    <definedName name="data28" localSheetId="7">#REF!</definedName>
    <definedName name="data28" localSheetId="6">#REF!</definedName>
    <definedName name="data28">#REF!</definedName>
    <definedName name="data29" localSheetId="5">#REF!</definedName>
    <definedName name="data29" localSheetId="7">#REF!</definedName>
    <definedName name="data29" localSheetId="6">#REF!</definedName>
    <definedName name="data29">#REF!</definedName>
    <definedName name="data3" localSheetId="5">#REF!</definedName>
    <definedName name="data3" localSheetId="7">#REF!</definedName>
    <definedName name="data3" localSheetId="6">#REF!</definedName>
    <definedName name="data3">#REF!</definedName>
    <definedName name="data30" localSheetId="5">#REF!</definedName>
    <definedName name="data30" localSheetId="7">#REF!</definedName>
    <definedName name="data30" localSheetId="6">#REF!</definedName>
    <definedName name="data30">#REF!</definedName>
    <definedName name="data31" localSheetId="5">#REF!</definedName>
    <definedName name="data31" localSheetId="7">#REF!</definedName>
    <definedName name="data31" localSheetId="6">#REF!</definedName>
    <definedName name="data31">#REF!</definedName>
    <definedName name="data32" localSheetId="5">#REF!</definedName>
    <definedName name="data32" localSheetId="7">#REF!</definedName>
    <definedName name="data32" localSheetId="6">#REF!</definedName>
    <definedName name="data32">#REF!</definedName>
    <definedName name="data33" localSheetId="5">#REF!</definedName>
    <definedName name="data33" localSheetId="7">#REF!</definedName>
    <definedName name="data33" localSheetId="6">#REF!</definedName>
    <definedName name="data33">#REF!</definedName>
    <definedName name="data34" localSheetId="5">#REF!</definedName>
    <definedName name="data34" localSheetId="7">#REF!</definedName>
    <definedName name="data34" localSheetId="6">#REF!</definedName>
    <definedName name="data34">#REF!</definedName>
    <definedName name="data35" localSheetId="5">#REF!</definedName>
    <definedName name="data35" localSheetId="7">#REF!</definedName>
    <definedName name="data35" localSheetId="6">#REF!</definedName>
    <definedName name="data35">#REF!</definedName>
    <definedName name="data36" localSheetId="5">#REF!</definedName>
    <definedName name="data36" localSheetId="7">#REF!</definedName>
    <definedName name="data36" localSheetId="6">#REF!</definedName>
    <definedName name="data36">#REF!</definedName>
    <definedName name="data37" localSheetId="5">#REF!</definedName>
    <definedName name="data37" localSheetId="7">#REF!</definedName>
    <definedName name="data37" localSheetId="6">#REF!</definedName>
    <definedName name="data37">#REF!</definedName>
    <definedName name="data38" localSheetId="5">#REF!</definedName>
    <definedName name="data38" localSheetId="7">#REF!</definedName>
    <definedName name="data38" localSheetId="6">#REF!</definedName>
    <definedName name="data38">#REF!</definedName>
    <definedName name="data39" localSheetId="5">#REF!</definedName>
    <definedName name="data39" localSheetId="7">#REF!</definedName>
    <definedName name="data39" localSheetId="6">#REF!</definedName>
    <definedName name="data39">#REF!</definedName>
    <definedName name="data4" localSheetId="5">#REF!</definedName>
    <definedName name="data4" localSheetId="7">#REF!</definedName>
    <definedName name="data4" localSheetId="6">#REF!</definedName>
    <definedName name="data4">#REF!</definedName>
    <definedName name="data40" localSheetId="5">#REF!</definedName>
    <definedName name="data40" localSheetId="7">#REF!</definedName>
    <definedName name="data40" localSheetId="6">#REF!</definedName>
    <definedName name="data40">#REF!</definedName>
    <definedName name="data41" localSheetId="5">#REF!</definedName>
    <definedName name="data41" localSheetId="7">#REF!</definedName>
    <definedName name="data41" localSheetId="6">#REF!</definedName>
    <definedName name="data41">#REF!</definedName>
    <definedName name="data42" localSheetId="5">#REF!</definedName>
    <definedName name="data42" localSheetId="7">#REF!</definedName>
    <definedName name="data42" localSheetId="6">#REF!</definedName>
    <definedName name="data42">#REF!</definedName>
    <definedName name="data43" localSheetId="5">#REF!</definedName>
    <definedName name="data43" localSheetId="7">#REF!</definedName>
    <definedName name="data43" localSheetId="6">#REF!</definedName>
    <definedName name="data43">#REF!</definedName>
    <definedName name="data44" localSheetId="5">#REF!</definedName>
    <definedName name="data44" localSheetId="7">#REF!</definedName>
    <definedName name="data44" localSheetId="6">#REF!</definedName>
    <definedName name="data44">#REF!</definedName>
    <definedName name="data45" localSheetId="5">#REF!</definedName>
    <definedName name="data45" localSheetId="7">#REF!</definedName>
    <definedName name="data45" localSheetId="6">#REF!</definedName>
    <definedName name="data45">#REF!</definedName>
    <definedName name="data46" localSheetId="5">#REF!</definedName>
    <definedName name="data46" localSheetId="7">#REF!</definedName>
    <definedName name="data46" localSheetId="6">#REF!</definedName>
    <definedName name="data46">#REF!</definedName>
    <definedName name="data47" localSheetId="5">#REF!</definedName>
    <definedName name="data47" localSheetId="7">#REF!</definedName>
    <definedName name="data47" localSheetId="6">#REF!</definedName>
    <definedName name="data47">#REF!</definedName>
    <definedName name="data48" localSheetId="5">#REF!</definedName>
    <definedName name="data48" localSheetId="7">#REF!</definedName>
    <definedName name="data48" localSheetId="6">#REF!</definedName>
    <definedName name="data48">#REF!</definedName>
    <definedName name="data49" localSheetId="5">#REF!</definedName>
    <definedName name="data49" localSheetId="7">#REF!</definedName>
    <definedName name="data49" localSheetId="6">#REF!</definedName>
    <definedName name="data49">#REF!</definedName>
    <definedName name="data5" localSheetId="5">#REF!</definedName>
    <definedName name="data5" localSheetId="7">#REF!</definedName>
    <definedName name="data5" localSheetId="6">#REF!</definedName>
    <definedName name="data5">#REF!</definedName>
    <definedName name="data50" localSheetId="5">#REF!</definedName>
    <definedName name="data50" localSheetId="7">#REF!</definedName>
    <definedName name="data50" localSheetId="6">#REF!</definedName>
    <definedName name="data50">#REF!</definedName>
    <definedName name="data51" localSheetId="5">#REF!</definedName>
    <definedName name="data51" localSheetId="7">#REF!</definedName>
    <definedName name="data51" localSheetId="6">#REF!</definedName>
    <definedName name="data51">#REF!</definedName>
    <definedName name="data52" localSheetId="5">#REF!</definedName>
    <definedName name="data52" localSheetId="7">#REF!</definedName>
    <definedName name="data52" localSheetId="6">#REF!</definedName>
    <definedName name="data52">#REF!</definedName>
    <definedName name="data53" localSheetId="5">#REF!</definedName>
    <definedName name="data53" localSheetId="7">#REF!</definedName>
    <definedName name="data53" localSheetId="6">#REF!</definedName>
    <definedName name="data53">#REF!</definedName>
    <definedName name="data54" localSheetId="5">#REF!</definedName>
    <definedName name="data54" localSheetId="7">#REF!</definedName>
    <definedName name="data54" localSheetId="6">#REF!</definedName>
    <definedName name="data54">#REF!</definedName>
    <definedName name="data55" localSheetId="5">#REF!</definedName>
    <definedName name="data55" localSheetId="7">#REF!</definedName>
    <definedName name="data55" localSheetId="6">#REF!</definedName>
    <definedName name="data55">#REF!</definedName>
    <definedName name="data56" localSheetId="5">#REF!</definedName>
    <definedName name="data56" localSheetId="7">#REF!</definedName>
    <definedName name="data56" localSheetId="6">#REF!</definedName>
    <definedName name="data56">#REF!</definedName>
    <definedName name="data57" localSheetId="5">#REF!</definedName>
    <definedName name="data57" localSheetId="7">#REF!</definedName>
    <definedName name="data57" localSheetId="6">#REF!</definedName>
    <definedName name="data57">#REF!</definedName>
    <definedName name="data58" localSheetId="5">#REF!</definedName>
    <definedName name="data58" localSheetId="7">#REF!</definedName>
    <definedName name="data58" localSheetId="6">#REF!</definedName>
    <definedName name="data58">#REF!</definedName>
    <definedName name="data59" localSheetId="5">#REF!</definedName>
    <definedName name="data59" localSheetId="7">#REF!</definedName>
    <definedName name="data59" localSheetId="6">#REF!</definedName>
    <definedName name="data59">#REF!</definedName>
    <definedName name="data6" localSheetId="5">#REF!</definedName>
    <definedName name="data6" localSheetId="7">#REF!</definedName>
    <definedName name="data6" localSheetId="6">#REF!</definedName>
    <definedName name="data6">#REF!</definedName>
    <definedName name="data60" localSheetId="5">#REF!</definedName>
    <definedName name="data60" localSheetId="7">#REF!</definedName>
    <definedName name="data60" localSheetId="6">#REF!</definedName>
    <definedName name="data60">#REF!</definedName>
    <definedName name="data61" localSheetId="5">#REF!</definedName>
    <definedName name="data61" localSheetId="7">#REF!</definedName>
    <definedName name="data61" localSheetId="6">#REF!</definedName>
    <definedName name="data61">#REF!</definedName>
    <definedName name="data62" localSheetId="5">#REF!</definedName>
    <definedName name="data62" localSheetId="7">#REF!</definedName>
    <definedName name="data62" localSheetId="6">#REF!</definedName>
    <definedName name="data62">#REF!</definedName>
    <definedName name="data63" localSheetId="5">#REF!</definedName>
    <definedName name="data63" localSheetId="7">#REF!</definedName>
    <definedName name="data63" localSheetId="6">#REF!</definedName>
    <definedName name="data63">#REF!</definedName>
    <definedName name="data64" localSheetId="5">#REF!</definedName>
    <definedName name="data64" localSheetId="7">#REF!</definedName>
    <definedName name="data64" localSheetId="6">#REF!</definedName>
    <definedName name="data64">#REF!</definedName>
    <definedName name="data65" localSheetId="5">#REF!</definedName>
    <definedName name="data65" localSheetId="7">#REF!</definedName>
    <definedName name="data65" localSheetId="6">#REF!</definedName>
    <definedName name="data65">#REF!</definedName>
    <definedName name="data66" localSheetId="5">#REF!</definedName>
    <definedName name="data66" localSheetId="7">#REF!</definedName>
    <definedName name="data66" localSheetId="6">#REF!</definedName>
    <definedName name="data66">#REF!</definedName>
    <definedName name="data67" localSheetId="5">#REF!</definedName>
    <definedName name="data67" localSheetId="7">#REF!</definedName>
    <definedName name="data67" localSheetId="6">#REF!</definedName>
    <definedName name="data67">#REF!</definedName>
    <definedName name="data68" localSheetId="5">#REF!</definedName>
    <definedName name="data68" localSheetId="7">#REF!</definedName>
    <definedName name="data68" localSheetId="6">#REF!</definedName>
    <definedName name="data68">#REF!</definedName>
    <definedName name="data69" localSheetId="5">#REF!</definedName>
    <definedName name="data69" localSheetId="7">#REF!</definedName>
    <definedName name="data69" localSheetId="6">#REF!</definedName>
    <definedName name="data69">#REF!</definedName>
    <definedName name="data7" localSheetId="5">#REF!</definedName>
    <definedName name="data7" localSheetId="7">#REF!</definedName>
    <definedName name="data7" localSheetId="6">#REF!</definedName>
    <definedName name="data7">#REF!</definedName>
    <definedName name="data70" localSheetId="5">#REF!</definedName>
    <definedName name="data70" localSheetId="7">#REF!</definedName>
    <definedName name="data70" localSheetId="6">#REF!</definedName>
    <definedName name="data70">#REF!</definedName>
    <definedName name="data71" localSheetId="5">#REF!</definedName>
    <definedName name="data71" localSheetId="7">#REF!</definedName>
    <definedName name="data71" localSheetId="6">#REF!</definedName>
    <definedName name="data71">#REF!</definedName>
    <definedName name="data72" localSheetId="5">#REF!</definedName>
    <definedName name="data72" localSheetId="7">#REF!</definedName>
    <definedName name="data72" localSheetId="6">#REF!</definedName>
    <definedName name="data72">#REF!</definedName>
    <definedName name="data73" localSheetId="5">#REF!</definedName>
    <definedName name="data73" localSheetId="7">#REF!</definedName>
    <definedName name="data73" localSheetId="6">#REF!</definedName>
    <definedName name="data73">#REF!</definedName>
    <definedName name="data74" localSheetId="5">#REF!</definedName>
    <definedName name="data74" localSheetId="7">#REF!</definedName>
    <definedName name="data74" localSheetId="6">#REF!</definedName>
    <definedName name="data74">#REF!</definedName>
    <definedName name="data75" localSheetId="5">#REF!</definedName>
    <definedName name="data75" localSheetId="7">#REF!</definedName>
    <definedName name="data75" localSheetId="6">#REF!</definedName>
    <definedName name="data75">#REF!</definedName>
    <definedName name="data76" localSheetId="5">#REF!</definedName>
    <definedName name="data76" localSheetId="7">#REF!</definedName>
    <definedName name="data76" localSheetId="6">#REF!</definedName>
    <definedName name="data76">#REF!</definedName>
    <definedName name="data77" localSheetId="5">#REF!</definedName>
    <definedName name="data77" localSheetId="7">#REF!</definedName>
    <definedName name="data77" localSheetId="6">#REF!</definedName>
    <definedName name="data77">#REF!</definedName>
    <definedName name="data78" localSheetId="5">#REF!</definedName>
    <definedName name="data78" localSheetId="7">#REF!</definedName>
    <definedName name="data78" localSheetId="6">#REF!</definedName>
    <definedName name="data78">#REF!</definedName>
    <definedName name="data79" localSheetId="5">#REF!</definedName>
    <definedName name="data79" localSheetId="7">#REF!</definedName>
    <definedName name="data79" localSheetId="6">#REF!</definedName>
    <definedName name="data79">#REF!</definedName>
    <definedName name="data8" localSheetId="5">#REF!</definedName>
    <definedName name="data8" localSheetId="7">#REF!</definedName>
    <definedName name="data8" localSheetId="6">#REF!</definedName>
    <definedName name="data8">#REF!</definedName>
    <definedName name="data80" localSheetId="5">#REF!</definedName>
    <definedName name="data80" localSheetId="7">#REF!</definedName>
    <definedName name="data80" localSheetId="6">#REF!</definedName>
    <definedName name="data80">#REF!</definedName>
    <definedName name="data81" localSheetId="5">#REF!</definedName>
    <definedName name="data81" localSheetId="7">#REF!</definedName>
    <definedName name="data81" localSheetId="6">#REF!</definedName>
    <definedName name="data81">#REF!</definedName>
    <definedName name="data82" localSheetId="5">#REF!</definedName>
    <definedName name="data82" localSheetId="7">#REF!</definedName>
    <definedName name="data82" localSheetId="6">#REF!</definedName>
    <definedName name="data82">#REF!</definedName>
    <definedName name="data83" localSheetId="5">#REF!</definedName>
    <definedName name="data83" localSheetId="7">#REF!</definedName>
    <definedName name="data83" localSheetId="6">#REF!</definedName>
    <definedName name="data83">#REF!</definedName>
    <definedName name="data84" localSheetId="5">#REF!</definedName>
    <definedName name="data84" localSheetId="7">#REF!</definedName>
    <definedName name="data84" localSheetId="6">#REF!</definedName>
    <definedName name="data84">#REF!</definedName>
    <definedName name="data85" localSheetId="5">#REF!</definedName>
    <definedName name="data85" localSheetId="7">#REF!</definedName>
    <definedName name="data85" localSheetId="6">#REF!</definedName>
    <definedName name="data85">#REF!</definedName>
    <definedName name="data86" localSheetId="5">#REF!</definedName>
    <definedName name="data86" localSheetId="7">#REF!</definedName>
    <definedName name="data86" localSheetId="6">#REF!</definedName>
    <definedName name="data86">#REF!</definedName>
    <definedName name="data87" localSheetId="5">#REF!</definedName>
    <definedName name="data87" localSheetId="7">#REF!</definedName>
    <definedName name="data87" localSheetId="6">#REF!</definedName>
    <definedName name="data87">#REF!</definedName>
    <definedName name="data88" localSheetId="5">#REF!</definedName>
    <definedName name="data88" localSheetId="7">#REF!</definedName>
    <definedName name="data88" localSheetId="6">#REF!</definedName>
    <definedName name="data88">#REF!</definedName>
    <definedName name="data89" localSheetId="5">#REF!</definedName>
    <definedName name="data89" localSheetId="7">#REF!</definedName>
    <definedName name="data89" localSheetId="6">#REF!</definedName>
    <definedName name="data89">#REF!</definedName>
    <definedName name="data9" localSheetId="5">#REF!</definedName>
    <definedName name="data9" localSheetId="7">#REF!</definedName>
    <definedName name="data9" localSheetId="6">#REF!</definedName>
    <definedName name="data9">#REF!</definedName>
    <definedName name="data90" localSheetId="5">#REF!</definedName>
    <definedName name="data90" localSheetId="7">#REF!</definedName>
    <definedName name="data90" localSheetId="6">#REF!</definedName>
    <definedName name="data90">#REF!</definedName>
    <definedName name="data91" localSheetId="5">#REF!</definedName>
    <definedName name="data91" localSheetId="7">#REF!</definedName>
    <definedName name="data91" localSheetId="6">#REF!</definedName>
    <definedName name="data91">#REF!</definedName>
    <definedName name="data92" localSheetId="5">#REF!</definedName>
    <definedName name="data92" localSheetId="7">#REF!</definedName>
    <definedName name="data92" localSheetId="6">#REF!</definedName>
    <definedName name="data92">#REF!</definedName>
    <definedName name="data93" localSheetId="5">#REF!</definedName>
    <definedName name="data93" localSheetId="7">#REF!</definedName>
    <definedName name="data93" localSheetId="6">#REF!</definedName>
    <definedName name="data93">#REF!</definedName>
    <definedName name="data94" localSheetId="5">#REF!</definedName>
    <definedName name="data94" localSheetId="7">#REF!</definedName>
    <definedName name="data94" localSheetId="6">#REF!</definedName>
    <definedName name="data94">#REF!</definedName>
    <definedName name="data95" localSheetId="5">#REF!</definedName>
    <definedName name="data95" localSheetId="7">#REF!</definedName>
    <definedName name="data95" localSheetId="6">#REF!</definedName>
    <definedName name="data95">#REF!</definedName>
    <definedName name="data96" localSheetId="5">#REF!</definedName>
    <definedName name="data96" localSheetId="7">#REF!</definedName>
    <definedName name="data96" localSheetId="6">#REF!</definedName>
    <definedName name="data96">#REF!</definedName>
    <definedName name="data97" localSheetId="5">#REF!</definedName>
    <definedName name="data97" localSheetId="7">#REF!</definedName>
    <definedName name="data97" localSheetId="6">#REF!</definedName>
    <definedName name="data97">#REF!</definedName>
    <definedName name="data98" localSheetId="5">#REF!</definedName>
    <definedName name="data98" localSheetId="7">#REF!</definedName>
    <definedName name="data98" localSheetId="6">#REF!</definedName>
    <definedName name="data98">#REF!</definedName>
    <definedName name="data99" localSheetId="5">#REF!</definedName>
    <definedName name="data99" localSheetId="7">#REF!</definedName>
    <definedName name="data99" localSheetId="6">#REF!</definedName>
    <definedName name="data99">#REF!</definedName>
    <definedName name="_xlnm.Database" localSheetId="5">#REF!</definedName>
    <definedName name="_xlnm.Database" localSheetId="7">#REF!</definedName>
    <definedName name="_xlnm.Database" localSheetId="6">#REF!</definedName>
    <definedName name="_xlnm.Database">#REF!</definedName>
    <definedName name="datagrowth" localSheetId="5">#REF!</definedName>
    <definedName name="datagrowth" localSheetId="7">#REF!</definedName>
    <definedName name="datagrowth" localSheetId="6">#REF!</definedName>
    <definedName name="datagrowth">#REF!</definedName>
    <definedName name="Date_updated" localSheetId="5">#REF!</definedName>
    <definedName name="Date_updated" localSheetId="7">#REF!</definedName>
    <definedName name="Date_updated" localSheetId="6">#REF!</definedName>
    <definedName name="Date_updated">#REF!</definedName>
    <definedName name="Date2" localSheetId="5">#REF!</definedName>
    <definedName name="Date2" localSheetId="7">#REF!</definedName>
    <definedName name="Date2" localSheetId="6">#REF!</definedName>
    <definedName name="Date2">#REF!</definedName>
    <definedName name="Date3" localSheetId="5">#REF!</definedName>
    <definedName name="Date3" localSheetId="7">#REF!</definedName>
    <definedName name="Date3" localSheetId="6">#REF!</definedName>
    <definedName name="Date3">#REF!</definedName>
    <definedName name="days_fy" localSheetId="5">#REF!</definedName>
    <definedName name="days_fy" localSheetId="7">#REF!</definedName>
    <definedName name="days_fy" localSheetId="6">#REF!</definedName>
    <definedName name="days_fy">#REF!</definedName>
    <definedName name="dbo_TimeSheetOnProjects" localSheetId="5">#REF!</definedName>
    <definedName name="dbo_TimeSheetOnProjects" localSheetId="7">#REF!</definedName>
    <definedName name="dbo_TimeSheetOnProjects" localSheetId="6">#REF!</definedName>
    <definedName name="dbo_TimeSheetOnProjects">#REF!</definedName>
    <definedName name="dd" localSheetId="5">#REF!</definedName>
    <definedName name="dd" localSheetId="7">#REF!</definedName>
    <definedName name="dd" localSheetId="6">#REF!</definedName>
    <definedName name="dd">#REF!</definedName>
    <definedName name="Debtors" localSheetId="5">#REF!</definedName>
    <definedName name="Debtors" localSheetId="7">#REF!</definedName>
    <definedName name="Debtors" localSheetId="6">#REF!</definedName>
    <definedName name="Debtors">#REF!</definedName>
    <definedName name="Debtors_4" localSheetId="5">#REF!</definedName>
    <definedName name="Debtors_4" localSheetId="7">#REF!</definedName>
    <definedName name="Debtors_4" localSheetId="6">#REF!</definedName>
    <definedName name="Debtors_4">#REF!</definedName>
    <definedName name="Dec" localSheetId="5">#REF!</definedName>
    <definedName name="Dec" localSheetId="7">#REF!</definedName>
    <definedName name="Dec" localSheetId="6">#REF!</definedName>
    <definedName name="Dec">#REF!</definedName>
    <definedName name="DECDATA?" localSheetId="5">#REF!</definedName>
    <definedName name="DECDATA?" localSheetId="7">#REF!</definedName>
    <definedName name="DECDATA?" localSheetId="6">#REF!</definedName>
    <definedName name="DECDATA?">#REF!</definedName>
    <definedName name="DefaultScaleAmount" localSheetId="5">#REF!</definedName>
    <definedName name="DefaultScaleAmount" localSheetId="7">#REF!</definedName>
    <definedName name="DefaultScaleAmount" localSheetId="6">#REF!</definedName>
    <definedName name="DefaultScaleAmount">#REF!</definedName>
    <definedName name="del_num_bqs" localSheetId="5">#REF!</definedName>
    <definedName name="del_num_bqs" localSheetId="7">#REF!</definedName>
    <definedName name="del_num_bqs" localSheetId="6">#REF!</definedName>
    <definedName name="del_num_bqs">#REF!</definedName>
    <definedName name="del_num_dmrc1_bridgepanel" localSheetId="5">#REF!</definedName>
    <definedName name="del_num_dmrc1_bridgepanel" localSheetId="7">#REF!</definedName>
    <definedName name="del_num_dmrc1_bridgepanel" localSheetId="6">#REF!</definedName>
    <definedName name="del_num_dmrc1_bridgepanel">#REF!</definedName>
    <definedName name="del_num_dmrc1_hoarding" localSheetId="5">#REF!</definedName>
    <definedName name="del_num_dmrc1_hoarding" localSheetId="7">#REF!</definedName>
    <definedName name="del_num_dmrc1_hoarding" localSheetId="6">#REF!</definedName>
    <definedName name="del_num_dmrc1_hoarding">#REF!</definedName>
    <definedName name="del_num_dmrc1_mpillars" localSheetId="5">#REF!</definedName>
    <definedName name="del_num_dmrc1_mpillars" localSheetId="7">#REF!</definedName>
    <definedName name="del_num_dmrc1_mpillars" localSheetId="6">#REF!</definedName>
    <definedName name="del_num_dmrc1_mpillars">#REF!</definedName>
    <definedName name="del_num_dmrc2_bridgepanel" localSheetId="5">#REF!</definedName>
    <definedName name="del_num_dmrc2_bridgepanel" localSheetId="7">#REF!</definedName>
    <definedName name="del_num_dmrc2_bridgepanel" localSheetId="6">#REF!</definedName>
    <definedName name="del_num_dmrc2_bridgepanel">#REF!</definedName>
    <definedName name="del_num_dmrc2_hoarding" localSheetId="5">#REF!</definedName>
    <definedName name="del_num_dmrc2_hoarding" localSheetId="7">#REF!</definedName>
    <definedName name="del_num_dmrc2_hoarding" localSheetId="6">#REF!</definedName>
    <definedName name="del_num_dmrc2_hoarding">#REF!</definedName>
    <definedName name="del_num_dmrc3_mpillars" localSheetId="5">#REF!</definedName>
    <definedName name="del_num_dmrc3_mpillars" localSheetId="7">#REF!</definedName>
    <definedName name="del_num_dmrc3_mpillars" localSheetId="6">#REF!</definedName>
    <definedName name="del_num_dmrc3_mpillars">#REF!</definedName>
    <definedName name="del_num_dmrc4_mpillars" localSheetId="5">#REF!</definedName>
    <definedName name="del_num_dmrc4_mpillars" localSheetId="7">#REF!</definedName>
    <definedName name="del_num_dmrc4_mpillars" localSheetId="6">#REF!</definedName>
    <definedName name="del_num_dmrc4_mpillars">#REF!</definedName>
    <definedName name="del_num_hoarding" localSheetId="5">#REF!</definedName>
    <definedName name="del_num_hoarding" localSheetId="7">#REF!</definedName>
    <definedName name="del_num_hoarding" localSheetId="6">#REF!</definedName>
    <definedName name="del_num_hoarding">#REF!</definedName>
    <definedName name="del_num_mcd1_hoarding" localSheetId="5">#REF!</definedName>
    <definedName name="del_num_mcd1_hoarding" localSheetId="7">#REF!</definedName>
    <definedName name="del_num_mcd1_hoarding" localSheetId="6">#REF!</definedName>
    <definedName name="del_num_mcd1_hoarding">#REF!</definedName>
    <definedName name="del_num_mcd2_kiosk" localSheetId="5">#REF!</definedName>
    <definedName name="del_num_mcd2_kiosk" localSheetId="7">#REF!</definedName>
    <definedName name="del_num_mcd2_kiosk" localSheetId="6">#REF!</definedName>
    <definedName name="del_num_mcd2_kiosk">#REF!</definedName>
    <definedName name="del_num_mcd3_hoarding" localSheetId="5">#REF!</definedName>
    <definedName name="del_num_mcd3_hoarding" localSheetId="7">#REF!</definedName>
    <definedName name="del_num_mcd3_hoarding" localSheetId="6">#REF!</definedName>
    <definedName name="del_num_mcd3_hoarding">#REF!</definedName>
    <definedName name="del_num_mcd4_hoarding" localSheetId="5">#REF!</definedName>
    <definedName name="del_num_mcd4_hoarding" localSheetId="7">#REF!</definedName>
    <definedName name="del_num_mcd4_hoarding" localSheetId="6">#REF!</definedName>
    <definedName name="del_num_mcd4_hoarding">#REF!</definedName>
    <definedName name="del_num_mcd5_hoarding" localSheetId="5">#REF!</definedName>
    <definedName name="del_num_mcd5_hoarding" localSheetId="7">#REF!</definedName>
    <definedName name="del_num_mcd5_hoarding" localSheetId="6">#REF!</definedName>
    <definedName name="del_num_mcd5_hoarding">#REF!</definedName>
    <definedName name="del_num_nrdd_bridgepanel" localSheetId="5">#REF!</definedName>
    <definedName name="del_num_nrdd_bridgepanel" localSheetId="7">#REF!</definedName>
    <definedName name="del_num_nrdd_bridgepanel" localSheetId="6">#REF!</definedName>
    <definedName name="del_num_nrdd_bridgepanel">#REF!</definedName>
    <definedName name="del_num_nrdd_hoarding" localSheetId="5">#REF!</definedName>
    <definedName name="del_num_nrdd_hoarding" localSheetId="7">#REF!</definedName>
    <definedName name="del_num_nrdd_hoarding" localSheetId="6">#REF!</definedName>
    <definedName name="del_num_nrdd_hoarding">#REF!</definedName>
    <definedName name="del_num_nrdd_utility" localSheetId="5">#REF!</definedName>
    <definedName name="del_num_nrdd_utility" localSheetId="7">#REF!</definedName>
    <definedName name="del_num_nrdd_utility" localSheetId="6">#REF!</definedName>
    <definedName name="del_num_nrdd_utility">#REF!</definedName>
    <definedName name="del_num_pun_bqs" localSheetId="5">#REF!</definedName>
    <definedName name="del_num_pun_bqs" localSheetId="7">#REF!</definedName>
    <definedName name="del_num_pun_bqs" localSheetId="6">#REF!</definedName>
    <definedName name="del_num_pun_bqs">#REF!</definedName>
    <definedName name="del_num_pun_hoarding" localSheetId="5">#REF!</definedName>
    <definedName name="del_num_pun_hoarding" localSheetId="7">#REF!</definedName>
    <definedName name="del_num_pun_hoarding" localSheetId="6">#REF!</definedName>
    <definedName name="del_num_pun_hoarding">#REF!</definedName>
    <definedName name="del_num_pun_kiosk" localSheetId="5">#REF!</definedName>
    <definedName name="del_num_pun_kiosk" localSheetId="7">#REF!</definedName>
    <definedName name="del_num_pun_kiosk" localSheetId="6">#REF!</definedName>
    <definedName name="del_num_pun_kiosk">#REF!</definedName>
    <definedName name="del_num_pun_utility" localSheetId="5">#REF!</definedName>
    <definedName name="del_num_pun_utility" localSheetId="7">#REF!</definedName>
    <definedName name="del_num_pun_utility" localSheetId="6">#REF!</definedName>
    <definedName name="del_num_pun_utility">#REF!</definedName>
    <definedName name="del_num_utility" localSheetId="5">#REF!</definedName>
    <definedName name="del_num_utility" localSheetId="7">#REF!</definedName>
    <definedName name="del_num_utility" localSheetId="6">#REF!</definedName>
    <definedName name="del_num_utility">#REF!</definedName>
    <definedName name="del_occrate_bqs" localSheetId="5">#REF!</definedName>
    <definedName name="del_occrate_bqs" localSheetId="7">#REF!</definedName>
    <definedName name="del_occrate_bqs" localSheetId="6">#REF!</definedName>
    <definedName name="del_occrate_bqs">#REF!</definedName>
    <definedName name="del_occrate_dmrc1_bridgepanel" localSheetId="5">#REF!</definedName>
    <definedName name="del_occrate_dmrc1_bridgepanel" localSheetId="7">#REF!</definedName>
    <definedName name="del_occrate_dmrc1_bridgepanel" localSheetId="6">#REF!</definedName>
    <definedName name="del_occrate_dmrc1_bridgepanel">#REF!</definedName>
    <definedName name="del_occrate_dmrc1_hoarding" localSheetId="5">#REF!</definedName>
    <definedName name="del_occrate_dmrc1_hoarding" localSheetId="7">#REF!</definedName>
    <definedName name="del_occrate_dmrc1_hoarding" localSheetId="6">#REF!</definedName>
    <definedName name="del_occrate_dmrc1_hoarding">#REF!</definedName>
    <definedName name="del_occrate_dmrc1_mpillars" localSheetId="5">#REF!</definedName>
    <definedName name="del_occrate_dmrc1_mpillars" localSheetId="7">#REF!</definedName>
    <definedName name="del_occrate_dmrc1_mpillars" localSheetId="6">#REF!</definedName>
    <definedName name="del_occrate_dmrc1_mpillars">#REF!</definedName>
    <definedName name="del_occrate_dmrc2_bridgepanel" localSheetId="5">#REF!</definedName>
    <definedName name="del_occrate_dmrc2_bridgepanel" localSheetId="7">#REF!</definedName>
    <definedName name="del_occrate_dmrc2_bridgepanel" localSheetId="6">#REF!</definedName>
    <definedName name="del_occrate_dmrc2_bridgepanel">#REF!</definedName>
    <definedName name="del_occrate_dmrc2_hoarding" localSheetId="5">#REF!</definedName>
    <definedName name="del_occrate_dmrc2_hoarding" localSheetId="7">#REF!</definedName>
    <definedName name="del_occrate_dmrc2_hoarding" localSheetId="6">#REF!</definedName>
    <definedName name="del_occrate_dmrc2_hoarding">#REF!</definedName>
    <definedName name="del_occrate_dmrc3_mpillars" localSheetId="5">#REF!</definedName>
    <definedName name="del_occrate_dmrc3_mpillars" localSheetId="7">#REF!</definedName>
    <definedName name="del_occrate_dmrc3_mpillars" localSheetId="6">#REF!</definedName>
    <definedName name="del_occrate_dmrc3_mpillars">#REF!</definedName>
    <definedName name="del_occrate_dmrc4_mpillars" localSheetId="5">#REF!</definedName>
    <definedName name="del_occrate_dmrc4_mpillars" localSheetId="7">#REF!</definedName>
    <definedName name="del_occrate_dmrc4_mpillars" localSheetId="6">#REF!</definedName>
    <definedName name="del_occrate_dmrc4_mpillars">#REF!</definedName>
    <definedName name="del_occrate_hoarding" localSheetId="5">#REF!</definedName>
    <definedName name="del_occrate_hoarding" localSheetId="7">#REF!</definedName>
    <definedName name="del_occrate_hoarding" localSheetId="6">#REF!</definedName>
    <definedName name="del_occrate_hoarding">#REF!</definedName>
    <definedName name="del_occrate_mcd1_hoarding" localSheetId="5">#REF!</definedName>
    <definedName name="del_occrate_mcd1_hoarding" localSheetId="7">#REF!</definedName>
    <definedName name="del_occrate_mcd1_hoarding" localSheetId="6">#REF!</definedName>
    <definedName name="del_occrate_mcd1_hoarding">#REF!</definedName>
    <definedName name="del_occrate_mcd2_kiosk" localSheetId="5">#REF!</definedName>
    <definedName name="del_occrate_mcd2_kiosk" localSheetId="7">#REF!</definedName>
    <definedName name="del_occrate_mcd2_kiosk" localSheetId="6">#REF!</definedName>
    <definedName name="del_occrate_mcd2_kiosk">#REF!</definedName>
    <definedName name="del_occrate_mcd3_hoarding" localSheetId="5">#REF!</definedName>
    <definedName name="del_occrate_mcd3_hoarding" localSheetId="7">#REF!</definedName>
    <definedName name="del_occrate_mcd3_hoarding" localSheetId="6">#REF!</definedName>
    <definedName name="del_occrate_mcd3_hoarding">#REF!</definedName>
    <definedName name="del_occrate_mcd4_hoarding" localSheetId="5">#REF!</definedName>
    <definedName name="del_occrate_mcd4_hoarding" localSheetId="7">#REF!</definedName>
    <definedName name="del_occrate_mcd4_hoarding" localSheetId="6">#REF!</definedName>
    <definedName name="del_occrate_mcd4_hoarding">#REF!</definedName>
    <definedName name="del_occrate_mcd5_hoarding" localSheetId="5">#REF!</definedName>
    <definedName name="del_occrate_mcd5_hoarding" localSheetId="7">#REF!</definedName>
    <definedName name="del_occrate_mcd5_hoarding" localSheetId="6">#REF!</definedName>
    <definedName name="del_occrate_mcd5_hoarding">#REF!</definedName>
    <definedName name="del_occrate_nrdd_bridgepanel" localSheetId="5">#REF!</definedName>
    <definedName name="del_occrate_nrdd_bridgepanel" localSheetId="7">#REF!</definedName>
    <definedName name="del_occrate_nrdd_bridgepanel" localSheetId="6">#REF!</definedName>
    <definedName name="del_occrate_nrdd_bridgepanel">#REF!</definedName>
    <definedName name="del_occrate_nrdd_hoarding" localSheetId="5">#REF!</definedName>
    <definedName name="del_occrate_nrdd_hoarding" localSheetId="7">#REF!</definedName>
    <definedName name="del_occrate_nrdd_hoarding" localSheetId="6">#REF!</definedName>
    <definedName name="del_occrate_nrdd_hoarding">#REF!</definedName>
    <definedName name="del_occrate_nrdd_utility" localSheetId="5">#REF!</definedName>
    <definedName name="del_occrate_nrdd_utility" localSheetId="7">#REF!</definedName>
    <definedName name="del_occrate_nrdd_utility" localSheetId="6">#REF!</definedName>
    <definedName name="del_occrate_nrdd_utility">#REF!</definedName>
    <definedName name="del_occrate_pun_bqs" localSheetId="5">#REF!</definedName>
    <definedName name="del_occrate_pun_bqs" localSheetId="7">#REF!</definedName>
    <definedName name="del_occrate_pun_bqs" localSheetId="6">#REF!</definedName>
    <definedName name="del_occrate_pun_bqs">#REF!</definedName>
    <definedName name="del_occrate_pun_hoarding" localSheetId="5">#REF!</definedName>
    <definedName name="del_occrate_pun_hoarding" localSheetId="7">#REF!</definedName>
    <definedName name="del_occrate_pun_hoarding" localSheetId="6">#REF!</definedName>
    <definedName name="del_occrate_pun_hoarding">#REF!</definedName>
    <definedName name="del_occrate_pun_kiosk" localSheetId="5">#REF!</definedName>
    <definedName name="del_occrate_pun_kiosk" localSheetId="7">#REF!</definedName>
    <definedName name="del_occrate_pun_kiosk" localSheetId="6">#REF!</definedName>
    <definedName name="del_occrate_pun_kiosk">#REF!</definedName>
    <definedName name="del_occrate_pun_utility" localSheetId="5">#REF!</definedName>
    <definedName name="del_occrate_pun_utility" localSheetId="7">#REF!</definedName>
    <definedName name="del_occrate_pun_utility" localSheetId="6">#REF!</definedName>
    <definedName name="del_occrate_pun_utility">#REF!</definedName>
    <definedName name="del_occrate_utility" localSheetId="5">#REF!</definedName>
    <definedName name="del_occrate_utility" localSheetId="7">#REF!</definedName>
    <definedName name="del_occrate_utility" localSheetId="6">#REF!</definedName>
    <definedName name="del_occrate_utility">#REF!</definedName>
    <definedName name="dep" localSheetId="5">#REF!</definedName>
    <definedName name="dep" localSheetId="7">#REF!</definedName>
    <definedName name="dep" localSheetId="6">#REF!</definedName>
    <definedName name="dep">#REF!</definedName>
    <definedName name="dep_rate" localSheetId="5">#REF!</definedName>
    <definedName name="dep_rate" localSheetId="7">#REF!</definedName>
    <definedName name="dep_rate" localSheetId="6">#REF!</definedName>
    <definedName name="dep_rate">#REF!</definedName>
    <definedName name="Dep_Rates" localSheetId="5">#REF!</definedName>
    <definedName name="Dep_Rates" localSheetId="7">#REF!</definedName>
    <definedName name="Dep_Rates" localSheetId="6">#REF!</definedName>
    <definedName name="Dep_Rates">#REF!</definedName>
    <definedName name="depn" localSheetId="5">#REF!</definedName>
    <definedName name="depn" localSheetId="7">#REF!</definedName>
    <definedName name="depn" localSheetId="6">#REF!</definedName>
    <definedName name="depn">#REF!</definedName>
    <definedName name="Depreciation" localSheetId="5">#REF!</definedName>
    <definedName name="Depreciation" localSheetId="7">#REF!</definedName>
    <definedName name="Depreciation" localSheetId="6">#REF!</definedName>
    <definedName name="Depreciation">#REF!</definedName>
    <definedName name="der" localSheetId="5">#REF!</definedName>
    <definedName name="der" localSheetId="7">#REF!</definedName>
    <definedName name="der" localSheetId="6">#REF!</definedName>
    <definedName name="der">#REF!</definedName>
    <definedName name="DETAILS" localSheetId="5">#REF!</definedName>
    <definedName name="DETAILS" localSheetId="7">#REF!</definedName>
    <definedName name="DETAILS" localSheetId="6">#REF!</definedName>
    <definedName name="DETAILS">#REF!</definedName>
    <definedName name="df" localSheetId="5">#REF!</definedName>
    <definedName name="df" localSheetId="7">#REF!</definedName>
    <definedName name="df" localSheetId="6">#REF!</definedName>
    <definedName name="df">#REF!</definedName>
    <definedName name="dfg" localSheetId="5">#REF!</definedName>
    <definedName name="dfg" localSheetId="7">#REF!</definedName>
    <definedName name="dfg" localSheetId="6">#REF!</definedName>
    <definedName name="dfg">#REF!</definedName>
    <definedName name="dfn" localSheetId="5">#REF!,#REF!</definedName>
    <definedName name="dfn" localSheetId="7">#REF!,#REF!</definedName>
    <definedName name="dfn" localSheetId="6">#REF!,#REF!</definedName>
    <definedName name="dfn">#REF!,#REF!</definedName>
    <definedName name="DFT_BS" localSheetId="5">#REF!</definedName>
    <definedName name="DFT_BS" localSheetId="7">#REF!</definedName>
    <definedName name="DFT_BS" localSheetId="6">#REF!</definedName>
    <definedName name="DFT_BS">#REF!</definedName>
    <definedName name="DFT_PL" localSheetId="5">#REF!</definedName>
    <definedName name="DFT_PL" localSheetId="7">#REF!</definedName>
    <definedName name="DFT_PL" localSheetId="6">#REF!</definedName>
    <definedName name="DFT_PL">#REF!</definedName>
    <definedName name="DFT_SCH" localSheetId="5">#REF!</definedName>
    <definedName name="DFT_SCH" localSheetId="7">#REF!</definedName>
    <definedName name="DFT_SCH" localSheetId="6">#REF!</definedName>
    <definedName name="DFT_SCH">#REF!</definedName>
    <definedName name="dHkjahjg" localSheetId="5">#REF!</definedName>
    <definedName name="dHkjahjg" localSheetId="7">#REF!</definedName>
    <definedName name="dHkjahjg" localSheetId="6">#REF!</definedName>
    <definedName name="dHkjahjg">#REF!</definedName>
    <definedName name="Di" localSheetId="5">#REF!</definedName>
    <definedName name="Di" localSheetId="7">#REF!</definedName>
    <definedName name="Di" localSheetId="6">#REF!</definedName>
    <definedName name="Di">#REF!</definedName>
    <definedName name="Difference" localSheetId="5">#REF!</definedName>
    <definedName name="Difference" localSheetId="7">#REF!</definedName>
    <definedName name="Difference" localSheetId="6">#REF!</definedName>
    <definedName name="Difference">#REF!</definedName>
    <definedName name="disc" localSheetId="5">#REF!</definedName>
    <definedName name="disc" localSheetId="7">#REF!</definedName>
    <definedName name="disc" localSheetId="6">#REF!</definedName>
    <definedName name="disc">#REF!</definedName>
    <definedName name="display_area_2" localSheetId="5">#REF!</definedName>
    <definedName name="display_area_2" localSheetId="7">#REF!</definedName>
    <definedName name="display_area_2" localSheetId="6">#REF!</definedName>
    <definedName name="display_area_2">#REF!</definedName>
    <definedName name="Disruptive" localSheetId="5">#REF!</definedName>
    <definedName name="Disruptive" localSheetId="7">#REF!</definedName>
    <definedName name="Disruptive" localSheetId="6">#REF!</definedName>
    <definedName name="Disruptive">#REF!</definedName>
    <definedName name="DISTRIBUTORS" localSheetId="5">#REF!</definedName>
    <definedName name="DISTRIBUTORS" localSheetId="7">#REF!</definedName>
    <definedName name="DISTRIBUTORS" localSheetId="6">#REF!</definedName>
    <definedName name="DISTRIBUTORS">#REF!</definedName>
    <definedName name="Div" localSheetId="5">#REF!</definedName>
    <definedName name="Div" localSheetId="7">#REF!</definedName>
    <definedName name="Div" localSheetId="6">#REF!</definedName>
    <definedName name="Div">#REF!</definedName>
    <definedName name="Divisor" localSheetId="5">#REF!</definedName>
    <definedName name="Divisor" localSheetId="7">#REF!</definedName>
    <definedName name="Divisor" localSheetId="6">#REF!</definedName>
    <definedName name="Divisor">#REF!</definedName>
    <definedName name="dkfa" localSheetId="5">#REF!</definedName>
    <definedName name="dkfa" localSheetId="7">#REF!</definedName>
    <definedName name="dkfa" localSheetId="6">#REF!</definedName>
    <definedName name="dkfa">#REF!</definedName>
    <definedName name="Documentationcharges" localSheetId="5">#REF!</definedName>
    <definedName name="Documentationcharges" localSheetId="7">#REF!</definedName>
    <definedName name="Documentationcharges" localSheetId="6">#REF!</definedName>
    <definedName name="Documentationcharges">#REF!</definedName>
    <definedName name="Dollar_Rate" localSheetId="5">#REF!</definedName>
    <definedName name="Dollar_Rate" localSheetId="7">#REF!</definedName>
    <definedName name="Dollar_Rate" localSheetId="6">#REF!</definedName>
    <definedName name="Dollar_Rate">#REF!</definedName>
    <definedName name="dp10prcost" localSheetId="5">#REF!</definedName>
    <definedName name="dp10prcost" localSheetId="7">#REF!</definedName>
    <definedName name="dp10prcost" localSheetId="6">#REF!</definedName>
    <definedName name="dp10prcost">#REF!</definedName>
    <definedName name="draft" localSheetId="5">#REF!</definedName>
    <definedName name="draft" localSheetId="7">#REF!</definedName>
    <definedName name="draft" localSheetId="6">#REF!</definedName>
    <definedName name="draft">#REF!</definedName>
    <definedName name="dsffdsf" localSheetId="5">#REF!</definedName>
    <definedName name="dsffdsf" localSheetId="7">#REF!</definedName>
    <definedName name="dsffdsf" localSheetId="6">#REF!</definedName>
    <definedName name="dsffdsf">#REF!</definedName>
    <definedName name="dskjgsghk\" localSheetId="5">#REF!</definedName>
    <definedName name="dskjgsghk\" localSheetId="7">#REF!</definedName>
    <definedName name="dskjgsghk\" localSheetId="6">#REF!</definedName>
    <definedName name="dskjgsghk\">#REF!</definedName>
    <definedName name="DSM" localSheetId="5">#REF!</definedName>
    <definedName name="DSM" localSheetId="7">#REF!</definedName>
    <definedName name="DSM" localSheetId="6">#REF!</definedName>
    <definedName name="DSM">#REF!</definedName>
    <definedName name="DSVPP_T11_GDA" localSheetId="5">#REF!</definedName>
    <definedName name="DSVPP_T11_GDA" localSheetId="7">#REF!</definedName>
    <definedName name="DSVPP_T11_GDA" localSheetId="6">#REF!</definedName>
    <definedName name="DSVPP_T11_GDA">#REF!</definedName>
    <definedName name="DSVPP_T11_T1" localSheetId="5">#REF!</definedName>
    <definedName name="DSVPP_T11_T1" localSheetId="7">#REF!</definedName>
    <definedName name="DSVPP_T11_T1" localSheetId="6">#REF!</definedName>
    <definedName name="DSVPP_T11_T1">#REF!</definedName>
    <definedName name="DSVPP_T9_56k" localSheetId="5">#REF!</definedName>
    <definedName name="DSVPP_T9_56k" localSheetId="7">#REF!</definedName>
    <definedName name="DSVPP_T9_56k" localSheetId="6">#REF!</definedName>
    <definedName name="DSVPP_T9_56k">#REF!</definedName>
    <definedName name="DSVPP_T9_IBR" localSheetId="5">#REF!</definedName>
    <definedName name="DSVPP_T9_IBR" localSheetId="7">#REF!</definedName>
    <definedName name="DSVPP_T9_IBR" localSheetId="6">#REF!</definedName>
    <definedName name="DSVPP_T9_IBR">#REF!</definedName>
    <definedName name="DSVPP_T9_T1" localSheetId="5">#REF!</definedName>
    <definedName name="DSVPP_T9_T1" localSheetId="7">#REF!</definedName>
    <definedName name="DSVPP_T9_T1" localSheetId="6">#REF!</definedName>
    <definedName name="DSVPP_T9_T1">#REF!</definedName>
    <definedName name="DUAL_FUEL_BURNER_FOR_6TPH_BOILER" localSheetId="5">#REF!</definedName>
    <definedName name="DUAL_FUEL_BURNER_FOR_6TPH_BOILER" localSheetId="7">#REF!</definedName>
    <definedName name="DUAL_FUEL_BURNER_FOR_6TPH_BOILER" localSheetId="6">#REF!</definedName>
    <definedName name="DUAL_FUEL_BURNER_FOR_6TPH_BOILER">#REF!</definedName>
    <definedName name="ductlabourcost" localSheetId="5">#REF!</definedName>
    <definedName name="ductlabourcost" localSheetId="7">#REF!</definedName>
    <definedName name="ductlabourcost" localSheetId="6">#REF!</definedName>
    <definedName name="ductlabourcost">#REF!</definedName>
    <definedName name="duty" localSheetId="5">#REF!</definedName>
    <definedName name="duty" localSheetId="7">#REF!</definedName>
    <definedName name="duty" localSheetId="6">#REF!</definedName>
    <definedName name="duty">#REF!</definedName>
    <definedName name="DutyAppl" localSheetId="5">#REF!</definedName>
    <definedName name="DutyAppl" localSheetId="7">#REF!</definedName>
    <definedName name="DutyAppl" localSheetId="6">#REF!</definedName>
    <definedName name="DutyAppl">#REF!</definedName>
    <definedName name="DutyRate" localSheetId="5">#REF!</definedName>
    <definedName name="DutyRate" localSheetId="7">#REF!</definedName>
    <definedName name="DutyRate" localSheetId="6">#REF!</definedName>
    <definedName name="DutyRate">#REF!</definedName>
    <definedName name="e" localSheetId="5">#REF!</definedName>
    <definedName name="e" localSheetId="7">#REF!</definedName>
    <definedName name="e" localSheetId="6">#REF!</definedName>
    <definedName name="e">#REF!</definedName>
    <definedName name="e2k" localSheetId="5">#REF!</definedName>
    <definedName name="e2k" localSheetId="7">#REF!</definedName>
    <definedName name="e2k" localSheetId="6">#REF!</definedName>
    <definedName name="e2k">#REF!</definedName>
    <definedName name="ebbsosbal" localSheetId="5">#REF!</definedName>
    <definedName name="ebbsosbal" localSheetId="7">#REF!</definedName>
    <definedName name="ebbsosbal" localSheetId="6">#REF!</definedName>
    <definedName name="ebbsosbal">#REF!</definedName>
    <definedName name="EBITDA_Bridge" localSheetId="5">#REF!</definedName>
    <definedName name="EBITDA_Bridge" localSheetId="7">#REF!</definedName>
    <definedName name="EBITDA_Bridge" localSheetId="6">#REF!</definedName>
    <definedName name="EBITDA_Bridge">#REF!</definedName>
    <definedName name="Ecapturedmarket" localSheetId="5">#REF!</definedName>
    <definedName name="Ecapturedmarket" localSheetId="7">#REF!</definedName>
    <definedName name="Ecapturedmarket" localSheetId="6">#REF!</definedName>
    <definedName name="Ecapturedmarket">#REF!</definedName>
    <definedName name="EDA" localSheetId="5">#REF!</definedName>
    <definedName name="EDA" localSheetId="7">#REF!</definedName>
    <definedName name="EDA" localSheetId="6">#REF!</definedName>
    <definedName name="EDA">#REF!</definedName>
    <definedName name="EDAsum" localSheetId="5">#REF!</definedName>
    <definedName name="EDAsum" localSheetId="7">#REF!</definedName>
    <definedName name="EDAsum" localSheetId="6">#REF!</definedName>
    <definedName name="EDAsum">#REF!</definedName>
    <definedName name="EDCDMA" localSheetId="5">#REF!</definedName>
    <definedName name="EDCDMA" localSheetId="7">#REF!</definedName>
    <definedName name="EDCDMA" localSheetId="6">#REF!</definedName>
    <definedName name="EDCDMA">#REF!</definedName>
    <definedName name="EDFTTB" localSheetId="5">#REF!</definedName>
    <definedName name="EDFTTB" localSheetId="7">#REF!</definedName>
    <definedName name="EDFTTB" localSheetId="6">#REF!</definedName>
    <definedName name="EDFTTB">#REF!</definedName>
    <definedName name="EDHFC" localSheetId="5">#REF!</definedName>
    <definedName name="EDHFC" localSheetId="7">#REF!</definedName>
    <definedName name="EDHFC" localSheetId="6">#REF!</definedName>
    <definedName name="EDHFC">#REF!</definedName>
    <definedName name="edpcas" localSheetId="5">#REF!</definedName>
    <definedName name="edpcas" localSheetId="7">#REF!</definedName>
    <definedName name="edpcas" localSheetId="6">#REF!</definedName>
    <definedName name="edpcas">#REF!</definedName>
    <definedName name="efgh" localSheetId="5">#REF!</definedName>
    <definedName name="efgh" localSheetId="7">#REF!</definedName>
    <definedName name="efgh" localSheetId="6">#REF!</definedName>
    <definedName name="efgh">#REF!</definedName>
    <definedName name="elasticity" localSheetId="5">#REF!</definedName>
    <definedName name="elasticity" localSheetId="7">#REF!</definedName>
    <definedName name="elasticity" localSheetId="6">#REF!</definedName>
    <definedName name="elasticity">#REF!</definedName>
    <definedName name="elasticity_ild" localSheetId="5">#REF!</definedName>
    <definedName name="elasticity_ild" localSheetId="7">#REF!</definedName>
    <definedName name="elasticity_ild" localSheetId="6">#REF!</definedName>
    <definedName name="elasticity_ild">#REF!</definedName>
    <definedName name="ELK" localSheetId="5">#REF!</definedName>
    <definedName name="ELK" localSheetId="7">#REF!</definedName>
    <definedName name="ELK" localSheetId="6">#REF!</definedName>
    <definedName name="ELK">#REF!</definedName>
    <definedName name="Embsw" localSheetId="5">#REF!</definedName>
    <definedName name="Embsw" localSheetId="7">#REF!</definedName>
    <definedName name="Embsw" localSheetId="6">#REF!</definedName>
    <definedName name="Embsw">#REF!</definedName>
    <definedName name="Embswsum" localSheetId="5">#REF!</definedName>
    <definedName name="Embswsum" localSheetId="7">#REF!</definedName>
    <definedName name="Embswsum" localSheetId="6">#REF!</definedName>
    <definedName name="Embswsum">#REF!</definedName>
    <definedName name="EndDelete" localSheetId="5">#REF!</definedName>
    <definedName name="EndDelete" localSheetId="7">#REF!</definedName>
    <definedName name="EndDelete" localSheetId="6">#REF!</definedName>
    <definedName name="EndDelete">#REF!</definedName>
    <definedName name="EndDelete2" localSheetId="5">#REF!</definedName>
    <definedName name="EndDelete2" localSheetId="7">#REF!</definedName>
    <definedName name="EndDelete2" localSheetId="6">#REF!</definedName>
    <definedName name="EndDelete2">#REF!</definedName>
    <definedName name="EndFormat" localSheetId="5">#REF!</definedName>
    <definedName name="EndFormat" localSheetId="7">#REF!</definedName>
    <definedName name="EndFormat" localSheetId="6">#REF!</definedName>
    <definedName name="EndFormat">#REF!</definedName>
    <definedName name="Epenrate" localSheetId="5">#REF!</definedName>
    <definedName name="Epenrate" localSheetId="7">#REF!</definedName>
    <definedName name="Epenrate" localSheetId="6">#REF!</definedName>
    <definedName name="Epenrate">#REF!</definedName>
    <definedName name="equity_raised" localSheetId="5">#REF!</definedName>
    <definedName name="equity_raised" localSheetId="7">#REF!</definedName>
    <definedName name="equity_raised" localSheetId="6">#REF!</definedName>
    <definedName name="equity_raised">#REF!</definedName>
    <definedName name="equityupfront" localSheetId="5">#REF!</definedName>
    <definedName name="equityupfront" localSheetId="7">#REF!</definedName>
    <definedName name="equityupfront" localSheetId="6">#REF!</definedName>
    <definedName name="equityupfront">#REF!</definedName>
    <definedName name="er" localSheetId="5">#REF!</definedName>
    <definedName name="er" localSheetId="7">#REF!</definedName>
    <definedName name="er" localSheetId="6">#REF!</definedName>
    <definedName name="er">#REF!</definedName>
    <definedName name="ert" localSheetId="5">#REF!</definedName>
    <definedName name="ert" localSheetId="7">#REF!</definedName>
    <definedName name="ert" localSheetId="6">#REF!</definedName>
    <definedName name="ert">#REF!</definedName>
    <definedName name="et" localSheetId="5">#REF!</definedName>
    <definedName name="et" localSheetId="7">#REF!</definedName>
    <definedName name="et" localSheetId="6">#REF!</definedName>
    <definedName name="et">#REF!</definedName>
    <definedName name="etc" localSheetId="5" hidden="1">#REF!</definedName>
    <definedName name="etc" localSheetId="7" hidden="1">#REF!</definedName>
    <definedName name="etc" localSheetId="6" hidden="1">#REF!</definedName>
    <definedName name="etc" hidden="1">#REF!</definedName>
    <definedName name="ETRAS" localSheetId="5">#REF!</definedName>
    <definedName name="ETRAS" localSheetId="7">#REF!</definedName>
    <definedName name="ETRAS" localSheetId="6">#REF!</definedName>
    <definedName name="ETRAS">#REF!</definedName>
    <definedName name="euro_inr" localSheetId="5">#REF!</definedName>
    <definedName name="euro_inr" localSheetId="7">#REF!</definedName>
    <definedName name="euro_inr" localSheetId="6">#REF!</definedName>
    <definedName name="euro_inr">#REF!</definedName>
    <definedName name="EVIS" localSheetId="5">#REF!</definedName>
    <definedName name="EVIS" localSheetId="7">#REF!</definedName>
    <definedName name="EVIS" localSheetId="6">#REF!</definedName>
    <definedName name="EVIS">#REF!</definedName>
    <definedName name="ex" localSheetId="5">#REF!</definedName>
    <definedName name="ex" localSheetId="7">#REF!</definedName>
    <definedName name="ex" localSheetId="6">#REF!</definedName>
    <definedName name="ex">#REF!</definedName>
    <definedName name="exc" localSheetId="5">#REF!</definedName>
    <definedName name="exc" localSheetId="7">#REF!</definedName>
    <definedName name="exc" localSheetId="6">#REF!</definedName>
    <definedName name="exc">#REF!</definedName>
    <definedName name="exch" localSheetId="5">#REF!</definedName>
    <definedName name="exch" localSheetId="7">#REF!</definedName>
    <definedName name="exch" localSheetId="6">#REF!</definedName>
    <definedName name="exch">#REF!</definedName>
    <definedName name="ExchangeRt" localSheetId="5">#REF!</definedName>
    <definedName name="ExchangeRt" localSheetId="7">#REF!</definedName>
    <definedName name="ExchangeRt" localSheetId="6">#REF!</definedName>
    <definedName name="ExchangeRt">#REF!</definedName>
    <definedName name="existing_contracts_del_rev" localSheetId="5">#REF!</definedName>
    <definedName name="existing_contracts_del_rev" localSheetId="7">#REF!</definedName>
    <definedName name="existing_contracts_del_rev" localSheetId="6">#REF!</definedName>
    <definedName name="existing_contracts_del_rev">#REF!</definedName>
    <definedName name="existing_contracts_kol_rev" localSheetId="5">#REF!</definedName>
    <definedName name="existing_contracts_kol_rev" localSheetId="7">#REF!</definedName>
    <definedName name="existing_contracts_kol_rev" localSheetId="6">#REF!</definedName>
    <definedName name="existing_contracts_kol_rev">#REF!</definedName>
    <definedName name="existing_contracts_mum_rev" localSheetId="5">#REF!</definedName>
    <definedName name="existing_contracts_mum_rev" localSheetId="7">#REF!</definedName>
    <definedName name="existing_contracts_mum_rev" localSheetId="6">#REF!</definedName>
    <definedName name="existing_contracts_mum_rev">#REF!</definedName>
    <definedName name="EXITYEAR" localSheetId="5">#REF!</definedName>
    <definedName name="EXITYEAR" localSheetId="7">#REF!</definedName>
    <definedName name="EXITYEAR" localSheetId="6">#REF!</definedName>
    <definedName name="EXITYEAR">#REF!</definedName>
    <definedName name="Expected_balance" localSheetId="5">#REF!</definedName>
    <definedName name="Expected_balance" localSheetId="7">#REF!</definedName>
    <definedName name="Expected_balance" localSheetId="6">#REF!</definedName>
    <definedName name="Expected_balance">#REF!</definedName>
    <definedName name="Expenses" localSheetId="5">#REF!</definedName>
    <definedName name="Expenses" localSheetId="7">#REF!</definedName>
    <definedName name="Expenses" localSheetId="6">#REF!</definedName>
    <definedName name="Expenses">#REF!</definedName>
    <definedName name="expiry_date_mum_bestbus" localSheetId="5">#REF!</definedName>
    <definedName name="expiry_date_mum_bestbus" localSheetId="7">#REF!</definedName>
    <definedName name="expiry_date_mum_bestbus" localSheetId="6">#REF!</definedName>
    <definedName name="expiry_date_mum_bestbus">#REF!</definedName>
    <definedName name="expiry_date_mum_bqs" localSheetId="5">#REF!</definedName>
    <definedName name="expiry_date_mum_bqs" localSheetId="7">#REF!</definedName>
    <definedName name="expiry_date_mum_bqs" localSheetId="6">#REF!</definedName>
    <definedName name="expiry_date_mum_bqs">#REF!</definedName>
    <definedName name="expiry_date_mum_kiosk" localSheetId="5">#REF!</definedName>
    <definedName name="expiry_date_mum_kiosk" localSheetId="7">#REF!</definedName>
    <definedName name="expiry_date_mum_kiosk" localSheetId="6">#REF!</definedName>
    <definedName name="expiry_date_mum_kiosk">#REF!</definedName>
    <definedName name="ExportFile" localSheetId="5">#REF!</definedName>
    <definedName name="ExportFile" localSheetId="7">#REF!</definedName>
    <definedName name="ExportFile" localSheetId="6">#REF!</definedName>
    <definedName name="ExportFile">#REF!</definedName>
    <definedName name="exrate" localSheetId="5">#REF!</definedName>
    <definedName name="exrate" localSheetId="7">#REF!</definedName>
    <definedName name="exrate" localSheetId="6">#REF!</definedName>
    <definedName name="exrate">#REF!</definedName>
    <definedName name="extrckcost" localSheetId="5">#REF!</definedName>
    <definedName name="extrckcost" localSheetId="7">#REF!</definedName>
    <definedName name="extrckcost" localSheetId="6">#REF!</definedName>
    <definedName name="extrckcost">#REF!</definedName>
    <definedName name="f" localSheetId="5">#REF!</definedName>
    <definedName name="f" localSheetId="7">#REF!</definedName>
    <definedName name="f" localSheetId="6">#REF!</definedName>
    <definedName name="f">#REF!</definedName>
    <definedName name="f.asset" localSheetId="5">#REF!</definedName>
    <definedName name="f.asset" localSheetId="7">#REF!</definedName>
    <definedName name="f.asset" localSheetId="6">#REF!</definedName>
    <definedName name="f.asset">#REF!</definedName>
    <definedName name="Feb" localSheetId="5">#REF!</definedName>
    <definedName name="Feb" localSheetId="7">#REF!</definedName>
    <definedName name="Feb" localSheetId="6">#REF!</definedName>
    <definedName name="Feb">#REF!</definedName>
    <definedName name="FEBDATA?" localSheetId="5">#REF!</definedName>
    <definedName name="FEBDATA?" localSheetId="7">#REF!</definedName>
    <definedName name="FEBDATA?" localSheetId="6">#REF!</definedName>
    <definedName name="FEBDATA?">#REF!</definedName>
    <definedName name="ff" localSheetId="5">#REF!</definedName>
    <definedName name="ff" localSheetId="7">#REF!</definedName>
    <definedName name="ff" localSheetId="6">#REF!</definedName>
    <definedName name="ff">#REF!</definedName>
    <definedName name="ffffffffff" localSheetId="5">#REF!</definedName>
    <definedName name="ffffffffff" localSheetId="7">#REF!</definedName>
    <definedName name="ffffffffff" localSheetId="6">#REF!</definedName>
    <definedName name="ffffffffff">#REF!</definedName>
    <definedName name="ffgf" localSheetId="5">#REF!</definedName>
    <definedName name="ffgf" localSheetId="7">#REF!</definedName>
    <definedName name="ffgf" localSheetId="6">#REF!</definedName>
    <definedName name="ffgf">#REF!</definedName>
    <definedName name="fgf" localSheetId="5">#REF!</definedName>
    <definedName name="fgf" localSheetId="7">#REF!</definedName>
    <definedName name="fgf" localSheetId="6">#REF!</definedName>
    <definedName name="fgf">#REF!</definedName>
    <definedName name="fgff" localSheetId="5">#REF!</definedName>
    <definedName name="fgff" localSheetId="7">#REF!</definedName>
    <definedName name="fgff" localSheetId="6">#REF!</definedName>
    <definedName name="fgff">#REF!</definedName>
    <definedName name="finaldep" localSheetId="5">#REF!</definedName>
    <definedName name="finaldep" localSheetId="7">#REF!</definedName>
    <definedName name="finaldep" localSheetId="6">#REF!</definedName>
    <definedName name="finaldep">#REF!</definedName>
    <definedName name="FirstCommYr" localSheetId="5">#REF!</definedName>
    <definedName name="FirstCommYr" localSheetId="7">#REF!</definedName>
    <definedName name="FirstCommYr" localSheetId="6">#REF!</definedName>
    <definedName name="FirstCommYr">#REF!</definedName>
    <definedName name="FIRSTYEAR" localSheetId="5">#REF!</definedName>
    <definedName name="FIRSTYEAR" localSheetId="7">#REF!</definedName>
    <definedName name="FIRSTYEAR" localSheetId="6">#REF!</definedName>
    <definedName name="FIRSTYEAR">#REF!</definedName>
    <definedName name="FIVEDAY" localSheetId="5">#REF!</definedName>
    <definedName name="FIVEDAY" localSheetId="7">#REF!</definedName>
    <definedName name="FIVEDAY" localSheetId="6">#REF!</definedName>
    <definedName name="FIVEDAY">#REF!</definedName>
    <definedName name="fKAFJKJG" localSheetId="5">#REF!</definedName>
    <definedName name="fKAFJKJG" localSheetId="7">#REF!</definedName>
    <definedName name="fKAFJKJG" localSheetId="6">#REF!</definedName>
    <definedName name="fKAFJKJG">#REF!</definedName>
    <definedName name="FNL_BS" localSheetId="5">#REF!</definedName>
    <definedName name="FNL_BS" localSheetId="7">#REF!</definedName>
    <definedName name="FNL_BS" localSheetId="6">#REF!</definedName>
    <definedName name="FNL_BS">#REF!</definedName>
    <definedName name="FNL_PL" localSheetId="5">#REF!</definedName>
    <definedName name="FNL_PL" localSheetId="7">#REF!</definedName>
    <definedName name="FNL_PL" localSheetId="6">#REF!</definedName>
    <definedName name="FNL_PL">#REF!</definedName>
    <definedName name="FNL_SCH" localSheetId="5">#REF!</definedName>
    <definedName name="FNL_SCH" localSheetId="7">#REF!</definedName>
    <definedName name="FNL_SCH" localSheetId="6">#REF!</definedName>
    <definedName name="FNL_SCH">#REF!</definedName>
    <definedName name="forecourt_staff_urban" localSheetId="5">#REF!</definedName>
    <definedName name="forecourt_staff_urban" localSheetId="7">#REF!</definedName>
    <definedName name="forecourt_staff_urban" localSheetId="6">#REF!</definedName>
    <definedName name="forecourt_staff_urban">#REF!</definedName>
    <definedName name="forex" localSheetId="5">#REF!</definedName>
    <definedName name="forex" localSheetId="7">#REF!</definedName>
    <definedName name="forex" localSheetId="6">#REF!</definedName>
    <definedName name="forex">#REF!</definedName>
    <definedName name="Format" localSheetId="5">#REF!</definedName>
    <definedName name="Format" localSheetId="7">#REF!</definedName>
    <definedName name="Format" localSheetId="6">#REF!</definedName>
    <definedName name="Format">#REF!</definedName>
    <definedName name="Formulas" localSheetId="5">#REF!</definedName>
    <definedName name="Formulas" localSheetId="7">#REF!</definedName>
    <definedName name="Formulas" localSheetId="6">#REF!</definedName>
    <definedName name="Formulas">#REF!</definedName>
    <definedName name="fspsubscribersperE1" localSheetId="5">#REF!</definedName>
    <definedName name="fspsubscribersperE1" localSheetId="7">#REF!</definedName>
    <definedName name="fspsubscribersperE1" localSheetId="6">#REF!</definedName>
    <definedName name="fspsubscribersperE1">#REF!</definedName>
    <definedName name="FST" localSheetId="5">#REF!</definedName>
    <definedName name="FST" localSheetId="7">#REF!</definedName>
    <definedName name="FST" localSheetId="6">#REF!</definedName>
    <definedName name="FST">#REF!</definedName>
    <definedName name="FUEL" localSheetId="5">#REF!</definedName>
    <definedName name="FUEL" localSheetId="7">#REF!</definedName>
    <definedName name="FUEL" localSheetId="6">#REF!</definedName>
    <definedName name="FUEL">#REF!</definedName>
    <definedName name="fyColHeading" localSheetId="5">#REF!</definedName>
    <definedName name="fyColHeading" localSheetId="7">#REF!</definedName>
    <definedName name="fyColHeading" localSheetId="6">#REF!</definedName>
    <definedName name="fyColHeading">#REF!</definedName>
    <definedName name="fyCoverDate" localSheetId="5">#REF!</definedName>
    <definedName name="fyCoverDate" localSheetId="7">#REF!</definedName>
    <definedName name="fyCoverDate" localSheetId="6">#REF!</definedName>
    <definedName name="fyCoverDate">#REF!</definedName>
    <definedName name="FYEND" localSheetId="5">#REF!</definedName>
    <definedName name="FYEND" localSheetId="7">#REF!</definedName>
    <definedName name="FYEND" localSheetId="6">#REF!</definedName>
    <definedName name="FYEND">#REF!</definedName>
    <definedName name="fySubsectName" localSheetId="5">#REF!</definedName>
    <definedName name="fySubsectName" localSheetId="7">#REF!</definedName>
    <definedName name="fySubsectName" localSheetId="6">#REF!</definedName>
    <definedName name="fySubsectName">#REF!</definedName>
    <definedName name="g" localSheetId="5">#REF!</definedName>
    <definedName name="g" localSheetId="7">#REF!</definedName>
    <definedName name="g" localSheetId="6">#REF!</definedName>
    <definedName name="g">#REF!</definedName>
    <definedName name="gdhshdh" localSheetId="5">#REF!</definedName>
    <definedName name="gdhshdh" localSheetId="7">#REF!</definedName>
    <definedName name="gdhshdh" localSheetId="6">#REF!</definedName>
    <definedName name="gdhshdh">#REF!</definedName>
    <definedName name="GDTubecost" localSheetId="5">#REF!</definedName>
    <definedName name="GDTubecost" localSheetId="7">#REF!</definedName>
    <definedName name="GDTubecost" localSheetId="6">#REF!</definedName>
    <definedName name="GDTubecost">#REF!</definedName>
    <definedName name="genandadmin" localSheetId="5">#REF!</definedName>
    <definedName name="genandadmin" localSheetId="7">#REF!</definedName>
    <definedName name="genandadmin" localSheetId="6">#REF!</definedName>
    <definedName name="genandadmin">#REF!</definedName>
    <definedName name="Genesc" localSheetId="5">#REF!</definedName>
    <definedName name="Genesc" localSheetId="7">#REF!</definedName>
    <definedName name="Genesc" localSheetId="6">#REF!</definedName>
    <definedName name="Genesc">#REF!</definedName>
    <definedName name="gfjh" localSheetId="5">#REF!</definedName>
    <definedName name="gfjh" localSheetId="7">#REF!</definedName>
    <definedName name="gfjh" localSheetId="6">#REF!</definedName>
    <definedName name="gfjh">#REF!</definedName>
    <definedName name="ggfcgf" localSheetId="5">#REF!</definedName>
    <definedName name="ggfcgf" localSheetId="7">#REF!</definedName>
    <definedName name="ggfcgf" localSheetId="6">#REF!</definedName>
    <definedName name="ggfcgf">#REF!</definedName>
    <definedName name="ggg" localSheetId="5">#REF!</definedName>
    <definedName name="ggg" localSheetId="7">#REF!</definedName>
    <definedName name="ggg" localSheetId="6">#REF!</definedName>
    <definedName name="ggg">#REF!</definedName>
    <definedName name="ghghg" localSheetId="5">#REF!</definedName>
    <definedName name="ghghg" localSheetId="7">#REF!</definedName>
    <definedName name="ghghg" localSheetId="6">#REF!</definedName>
    <definedName name="ghghg">#REF!</definedName>
    <definedName name="ghghgh" localSheetId="5">#REF!</definedName>
    <definedName name="ghghgh" localSheetId="7">#REF!</definedName>
    <definedName name="ghghgh" localSheetId="6">#REF!</definedName>
    <definedName name="ghghgh">#REF!</definedName>
    <definedName name="ghjjkh" localSheetId="5">#REF!</definedName>
    <definedName name="ghjjkh" localSheetId="7">#REF!</definedName>
    <definedName name="ghjjkh" localSheetId="6">#REF!</definedName>
    <definedName name="ghjjkh">#REF!</definedName>
    <definedName name="GINPUT" localSheetId="5">#REF!</definedName>
    <definedName name="GINPUT" localSheetId="7">#REF!</definedName>
    <definedName name="GINPUT" localSheetId="6">#REF!</definedName>
    <definedName name="GINPUT">#REF!</definedName>
    <definedName name="GIpipecost" localSheetId="5">#REF!</definedName>
    <definedName name="GIpipecost" localSheetId="7">#REF!</definedName>
    <definedName name="GIpipecost" localSheetId="6">#REF!</definedName>
    <definedName name="GIpipecost">#REF!</definedName>
    <definedName name="GIpipelength" localSheetId="5">#REF!</definedName>
    <definedName name="GIpipelength" localSheetId="7">#REF!</definedName>
    <definedName name="GIpipelength" localSheetId="6">#REF!</definedName>
    <definedName name="GIpipelength">#REF!</definedName>
    <definedName name="global_rate_increase" localSheetId="5">#REF!</definedName>
    <definedName name="global_rate_increase" localSheetId="7">#REF!</definedName>
    <definedName name="global_rate_increase" localSheetId="6">#REF!</definedName>
    <definedName name="global_rate_increase">#REF!</definedName>
    <definedName name="GoCallbackImpact" localSheetId="5">#REF!</definedName>
    <definedName name="GoCallbackImpact" localSheetId="7">#REF!</definedName>
    <definedName name="GoCallbackImpact" localSheetId="6">#REF!</definedName>
    <definedName name="GoCallbackImpact">#REF!</definedName>
    <definedName name="GoDCFValuation" localSheetId="5">#REF!</definedName>
    <definedName name="GoDCFValuation" localSheetId="7">#REF!</definedName>
    <definedName name="GoDCFValuation" localSheetId="6">#REF!</definedName>
    <definedName name="GoDCFValuation">#REF!</definedName>
    <definedName name="GoFixedTelAcqCosts" localSheetId="5">#REF!</definedName>
    <definedName name="GoFixedTelAcqCosts" localSheetId="7">#REF!</definedName>
    <definedName name="GoFixedTelAcqCosts" localSheetId="6">#REF!</definedName>
    <definedName name="GoFixedTelAcqCosts">#REF!</definedName>
    <definedName name="GoFixedTelBusMarket" localSheetId="5">#REF!</definedName>
    <definedName name="GoFixedTelBusMarket" localSheetId="7">#REF!</definedName>
    <definedName name="GoFixedTelBusMarket" localSheetId="6">#REF!</definedName>
    <definedName name="GoFixedTelBusMarket">#REF!</definedName>
    <definedName name="GoFixedTelHanMarket" localSheetId="5">#REF!</definedName>
    <definedName name="GoFixedTelHanMarket" localSheetId="7">#REF!</definedName>
    <definedName name="GoFixedTelHanMarket" localSheetId="6">#REF!</definedName>
    <definedName name="GoFixedTelHanMarket">#REF!</definedName>
    <definedName name="GoFixedTelHanRev" localSheetId="5">#REF!</definedName>
    <definedName name="GoFixedTelHanRev" localSheetId="7">#REF!</definedName>
    <definedName name="GoFixedTelHanRev" localSheetId="6">#REF!</definedName>
    <definedName name="GoFixedTelHanRev">#REF!</definedName>
    <definedName name="GoFixedTelMarketAss" localSheetId="5">#REF!</definedName>
    <definedName name="GoFixedTelMarketAss" localSheetId="7">#REF!</definedName>
    <definedName name="GoFixedTelMarketAss" localSheetId="6">#REF!</definedName>
    <definedName name="GoFixedTelMarketAss">#REF!</definedName>
    <definedName name="GoFixedTelPrices" localSheetId="5">#REF!</definedName>
    <definedName name="GoFixedTelPrices" localSheetId="7">#REF!</definedName>
    <definedName name="GoFixedTelPrices" localSheetId="6">#REF!</definedName>
    <definedName name="GoFixedTelPrices">#REF!</definedName>
    <definedName name="GoFixedTelResMarket" localSheetId="5">#REF!</definedName>
    <definedName name="GoFixedTelResMarket" localSheetId="7">#REF!</definedName>
    <definedName name="GoFixedTelResMarket" localSheetId="6">#REF!</definedName>
    <definedName name="GoFixedTelResMarket">#REF!</definedName>
    <definedName name="GoHanADCRev" localSheetId="5">#REF!</definedName>
    <definedName name="GoHanADCRev" localSheetId="7">#REF!</definedName>
    <definedName name="GoHanADCRev" localSheetId="6">#REF!</definedName>
    <definedName name="GoHanADCRev">#REF!</definedName>
    <definedName name="GoHanComputerRev" localSheetId="5">#REF!</definedName>
    <definedName name="GoHanComputerRev" localSheetId="7">#REF!</definedName>
    <definedName name="GoHanComputerRev" localSheetId="6">#REF!</definedName>
    <definedName name="GoHanComputerRev">#REF!</definedName>
    <definedName name="GoHanDataRev" localSheetId="5">#REF!</definedName>
    <definedName name="GoHanDataRev" localSheetId="7">#REF!</definedName>
    <definedName name="GoHanDataRev" localSheetId="6">#REF!</definedName>
    <definedName name="GoHanDataRev">#REF!</definedName>
    <definedName name="GoHanFinancials" localSheetId="5">#REF!</definedName>
    <definedName name="GoHanFinancials" localSheetId="7">#REF!</definedName>
    <definedName name="GoHanFinancials" localSheetId="6">#REF!</definedName>
    <definedName name="GoHanFinancials">#REF!</definedName>
    <definedName name="GoHanIMSRev" localSheetId="5">#REF!</definedName>
    <definedName name="GoHanIMSRev" localSheetId="7">#REF!</definedName>
    <definedName name="GoHanIMSRev" localSheetId="6">#REF!</definedName>
    <definedName name="GoHanIMSRev">#REF!</definedName>
    <definedName name="GoHanINSRev" localSheetId="5">#REF!</definedName>
    <definedName name="GoHanINSRev" localSheetId="7">#REF!</definedName>
    <definedName name="GoHanINSRev" localSheetId="6">#REF!</definedName>
    <definedName name="GoHanINSRev">#REF!</definedName>
    <definedName name="GoHanInternetRev" localSheetId="5">#REF!</definedName>
    <definedName name="GoHanInternetRev" localSheetId="7">#REF!</definedName>
    <definedName name="GoHanInternetRev" localSheetId="6">#REF!</definedName>
    <definedName name="GoHanInternetRev">#REF!</definedName>
    <definedName name="GoHanLLRev" localSheetId="5">#REF!</definedName>
    <definedName name="GoHanLLRev" localSheetId="7">#REF!</definedName>
    <definedName name="GoHanLLRev" localSheetId="6">#REF!</definedName>
    <definedName name="GoHanLLRev">#REF!</definedName>
    <definedName name="GoHanPagingRev" localSheetId="5">#REF!</definedName>
    <definedName name="GoHanPagingRev" localSheetId="7">#REF!</definedName>
    <definedName name="GoHanPagingRev" localSheetId="6">#REF!</definedName>
    <definedName name="GoHanPagingRev">#REF!</definedName>
    <definedName name="GoHanSettlementRev" localSheetId="5">#REF!</definedName>
    <definedName name="GoHanSettlementRev" localSheetId="7">#REF!</definedName>
    <definedName name="GoHanSettlementRev" localSheetId="6">#REF!</definedName>
    <definedName name="GoHanSettlementRev">#REF!</definedName>
    <definedName name="GoHanTotalRev" localSheetId="5">#REF!</definedName>
    <definedName name="GoHanTotalRev" localSheetId="7">#REF!</definedName>
    <definedName name="GoHanTotalRev" localSheetId="6">#REF!</definedName>
    <definedName name="GoHanTotalRev">#REF!</definedName>
    <definedName name="GoHanVASRev" localSheetId="5">#REF!</definedName>
    <definedName name="GoHanVASRev" localSheetId="7">#REF!</definedName>
    <definedName name="GoHanVASRev" localSheetId="6">#REF!</definedName>
    <definedName name="GoHanVASRev">#REF!</definedName>
    <definedName name="GoIntercoHanCosts" localSheetId="5">#REF!</definedName>
    <definedName name="GoIntercoHanCosts" localSheetId="7">#REF!</definedName>
    <definedName name="GoIntercoHanCosts" localSheetId="6">#REF!</definedName>
    <definedName name="GoIntercoHanCosts">#REF!</definedName>
    <definedName name="GoIntercoHanRev" localSheetId="5">#REF!</definedName>
    <definedName name="GoIntercoHanRev" localSheetId="7">#REF!</definedName>
    <definedName name="GoIntercoHanRev" localSheetId="6">#REF!</definedName>
    <definedName name="GoIntercoHanRev">#REF!</definedName>
    <definedName name="GoIntercoHanVolume" localSheetId="5">#REF!</definedName>
    <definedName name="GoIntercoHanVolume" localSheetId="7">#REF!</definedName>
    <definedName name="GoIntercoHanVolume" localSheetId="6">#REF!</definedName>
    <definedName name="GoIntercoHanVolume">#REF!</definedName>
    <definedName name="GoMobileOne" localSheetId="5">#REF!</definedName>
    <definedName name="GoMobileOne" localSheetId="7">#REF!</definedName>
    <definedName name="GoMobileOne" localSheetId="6">#REF!</definedName>
    <definedName name="GoMobileOne">#REF!</definedName>
    <definedName name="GoMobTelBusMarket" localSheetId="5">#REF!</definedName>
    <definedName name="GoMobTelBusMarket" localSheetId="7">#REF!</definedName>
    <definedName name="GoMobTelBusMarket" localSheetId="6">#REF!</definedName>
    <definedName name="GoMobTelBusMarket">#REF!</definedName>
    <definedName name="GoMobTelHanMarket" localSheetId="5">#REF!</definedName>
    <definedName name="GoMobTelHanMarket" localSheetId="7">#REF!</definedName>
    <definedName name="GoMobTelHanMarket" localSheetId="6">#REF!</definedName>
    <definedName name="GoMobTelHanMarket">#REF!</definedName>
    <definedName name="GoMobTelHanMarketShare" localSheetId="5">#REF!</definedName>
    <definedName name="GoMobTelHanMarketShare" localSheetId="7">#REF!</definedName>
    <definedName name="GoMobTelHanMarketShare" localSheetId="6">#REF!</definedName>
    <definedName name="GoMobTelHanMarketShare">#REF!</definedName>
    <definedName name="GoMobTelHanPriceAss" localSheetId="5">#REF!</definedName>
    <definedName name="GoMobTelHanPriceAss" localSheetId="7">#REF!</definedName>
    <definedName name="GoMobTelHanPriceAss" localSheetId="6">#REF!</definedName>
    <definedName name="GoMobTelHanPriceAss">#REF!</definedName>
    <definedName name="GoMobTelHanRev" localSheetId="5">#REF!</definedName>
    <definedName name="GoMobTelHanRev" localSheetId="7">#REF!</definedName>
    <definedName name="GoMobTelHanRev" localSheetId="6">#REF!</definedName>
    <definedName name="GoMobTelHanRev">#REF!</definedName>
    <definedName name="GoMobTelMarketAss" localSheetId="5">#REF!</definedName>
    <definedName name="GoMobTelMarketAss" localSheetId="7">#REF!</definedName>
    <definedName name="GoMobTelMarketAss" localSheetId="6">#REF!</definedName>
    <definedName name="GoMobTelMarketAss">#REF!</definedName>
    <definedName name="GoMobTelPrices" localSheetId="5">#REF!</definedName>
    <definedName name="GoMobTelPrices" localSheetId="7">#REF!</definedName>
    <definedName name="GoMobTelPrices" localSheetId="6">#REF!</definedName>
    <definedName name="GoMobTelPrices">#REF!</definedName>
    <definedName name="GoMobTelResMarket" localSheetId="5">#REF!</definedName>
    <definedName name="GoMobTelResMarket" localSheetId="7">#REF!</definedName>
    <definedName name="GoMobTelResMarket" localSheetId="6">#REF!</definedName>
    <definedName name="GoMobTelResMarket">#REF!</definedName>
    <definedName name="GoScenarios" localSheetId="5">#REF!</definedName>
    <definedName name="GoScenarios" localSheetId="7">#REF!</definedName>
    <definedName name="GoScenarios" localSheetId="6">#REF!</definedName>
    <definedName name="GoScenarios">#REF!</definedName>
    <definedName name="GoTelMarketShareAss" localSheetId="5">#REF!</definedName>
    <definedName name="GoTelMarketShareAss" localSheetId="7">#REF!</definedName>
    <definedName name="GoTelMarketShareAss" localSheetId="6">#REF!</definedName>
    <definedName name="GoTelMarketShareAss">#REF!</definedName>
    <definedName name="GoTotalCosts" localSheetId="5">#REF!</definedName>
    <definedName name="GoTotalCosts" localSheetId="7">#REF!</definedName>
    <definedName name="GoTotalCosts" localSheetId="6">#REF!</definedName>
    <definedName name="GoTotalCosts">#REF!</definedName>
    <definedName name="GovtOthers" localSheetId="5">#REF!</definedName>
    <definedName name="GovtOthers" localSheetId="7">#REF!</definedName>
    <definedName name="GovtOthers" localSheetId="6">#REF!</definedName>
    <definedName name="GovtOthers">#REF!</definedName>
    <definedName name="graph1" localSheetId="5">#REF!</definedName>
    <definedName name="graph1" localSheetId="7">#REF!</definedName>
    <definedName name="graph1" localSheetId="6">#REF!</definedName>
    <definedName name="graph1">#REF!</definedName>
    <definedName name="graph2" localSheetId="5">#REF!</definedName>
    <definedName name="graph2" localSheetId="7">#REF!</definedName>
    <definedName name="graph2" localSheetId="6">#REF!</definedName>
    <definedName name="graph2">#REF!</definedName>
    <definedName name="Gross_Margin___Rs_M" localSheetId="5">#REF!</definedName>
    <definedName name="Gross_Margin___Rs_M" localSheetId="7">#REF!</definedName>
    <definedName name="Gross_Margin___Rs_M" localSheetId="6">#REF!</definedName>
    <definedName name="Gross_Margin___Rs_M">#REF!</definedName>
    <definedName name="GROUP" localSheetId="5">#REF!</definedName>
    <definedName name="GROUP" localSheetId="7">#REF!</definedName>
    <definedName name="GROUP" localSheetId="6">#REF!</definedName>
    <definedName name="GROUP">#REF!</definedName>
    <definedName name="Group4">#N/A</definedName>
    <definedName name="GroupData" localSheetId="5">#REF!</definedName>
    <definedName name="GroupData" localSheetId="7">#REF!</definedName>
    <definedName name="GroupData" localSheetId="6">#REF!</definedName>
    <definedName name="GroupData">#REF!</definedName>
    <definedName name="groupings" localSheetId="5">#REF!</definedName>
    <definedName name="groupings" localSheetId="7">#REF!</definedName>
    <definedName name="groupings" localSheetId="6">#REF!</definedName>
    <definedName name="groupings">#REF!</definedName>
    <definedName name="GRPDATA" localSheetId="5">#REF!</definedName>
    <definedName name="GRPDATA" localSheetId="7">#REF!</definedName>
    <definedName name="GRPDATA" localSheetId="6">#REF!</definedName>
    <definedName name="GRPDATA">#REF!</definedName>
    <definedName name="GTFixedPrice" localSheetId="5">#REF!</definedName>
    <definedName name="GTFixedPrice" localSheetId="7">#REF!</definedName>
    <definedName name="GTFixedPrice" localSheetId="6">#REF!</definedName>
    <definedName name="GTFixedPrice">#REF!</definedName>
    <definedName name="GTScaler" localSheetId="5">#REF!</definedName>
    <definedName name="GTScaler" localSheetId="7">#REF!</definedName>
    <definedName name="GTScaler" localSheetId="6">#REF!</definedName>
    <definedName name="GTScaler">#REF!</definedName>
    <definedName name="GTVariablePrice" localSheetId="5">#REF!</definedName>
    <definedName name="GTVariablePrice" localSheetId="7">#REF!</definedName>
    <definedName name="GTVariablePrice" localSheetId="6">#REF!</definedName>
    <definedName name="GTVariablePrice">#REF!</definedName>
    <definedName name="hardsurfacecutcost" localSheetId="5">#REF!</definedName>
    <definedName name="hardsurfacecutcost" localSheetId="7">#REF!</definedName>
    <definedName name="hardsurfacecutcost" localSheetId="6">#REF!</definedName>
    <definedName name="hardsurfacecutcost">#REF!</definedName>
    <definedName name="HDP" localSheetId="5">#REF!</definedName>
    <definedName name="HDP" localSheetId="7">#REF!</definedName>
    <definedName name="HDP" localSheetId="6">#REF!</definedName>
    <definedName name="HDP">#REF!</definedName>
    <definedName name="HDPE40mmcost" localSheetId="5">#REF!</definedName>
    <definedName name="HDPE40mmcost" localSheetId="7">#REF!</definedName>
    <definedName name="HDPE40mmcost" localSheetId="6">#REF!</definedName>
    <definedName name="HDPE40mmcost">#REF!</definedName>
    <definedName name="HEAD_GROUP" localSheetId="5">#REF!</definedName>
    <definedName name="HEAD_GROUP" localSheetId="7">#REF!</definedName>
    <definedName name="HEAD_GROUP" localSheetId="6">#REF!</definedName>
    <definedName name="HEAD_GROUP">#REF!</definedName>
    <definedName name="HEAD_SCH" localSheetId="5">#REF!</definedName>
    <definedName name="HEAD_SCH" localSheetId="7">#REF!</definedName>
    <definedName name="HEAD_SCH" localSheetId="6">#REF!</definedName>
    <definedName name="HEAD_SCH">#REF!</definedName>
    <definedName name="Header" localSheetId="5">#REF!</definedName>
    <definedName name="Header" localSheetId="7">#REF!</definedName>
    <definedName name="Header" localSheetId="6">#REF!</definedName>
    <definedName name="Header">#REF!</definedName>
    <definedName name="hjkbu" localSheetId="5">#REF!</definedName>
    <definedName name="hjkbu" localSheetId="7">#REF!</definedName>
    <definedName name="hjkbu" localSheetId="6">#REF!</definedName>
    <definedName name="hjkbu">#REF!</definedName>
    <definedName name="hkbhi" localSheetId="5">#REF!</definedName>
    <definedName name="hkbhi" localSheetId="7">#REF!</definedName>
    <definedName name="hkbhi" localSheetId="6">#REF!</definedName>
    <definedName name="hkbhi">#REF!</definedName>
    <definedName name="HQOTHER" localSheetId="5">#REF!</definedName>
    <definedName name="HQOTHER" localSheetId="7">#REF!</definedName>
    <definedName name="HQOTHER" localSheetId="6">#REF!</definedName>
    <definedName name="HQOTHER">#REF!</definedName>
    <definedName name="HR">#N/A</definedName>
    <definedName name="HRSGFlow" localSheetId="5">#REF!</definedName>
    <definedName name="HRSGFlow" localSheetId="7">#REF!</definedName>
    <definedName name="HRSGFlow" localSheetId="6">#REF!</definedName>
    <definedName name="HRSGFlow">#REF!</definedName>
    <definedName name="HTML_CodePage">1252</definedName>
    <definedName name="HTML_Control" localSheetId="5">{"'subnets'!$A$1:$F$20"}</definedName>
    <definedName name="HTML_Control" localSheetId="8">{"'subnets'!$A$1:$F$20"}</definedName>
    <definedName name="HTML_Control" localSheetId="16">{"'subnets'!$A$1:$F$20"}</definedName>
    <definedName name="HTML_Control" localSheetId="7">{"'subnets'!$A$1:$F$20"}</definedName>
    <definedName name="HTML_Control" localSheetId="2">{"'subnets'!$A$1:$F$20"}</definedName>
    <definedName name="HTML_Control" localSheetId="3">{"'subnets'!$A$1:$F$20"}</definedName>
    <definedName name="HTML_Control" localSheetId="23">{"'subnets'!$A$1:$F$20"}</definedName>
    <definedName name="HTML_Control" localSheetId="22">{"'subnets'!$A$1:$F$20"}</definedName>
    <definedName name="HTML_Control" localSheetId="24">{"'subnets'!$A$1:$F$20"}</definedName>
    <definedName name="HTML_Control" localSheetId="6">{"'subnets'!$A$1:$F$20"}</definedName>
    <definedName name="HTML_Control" localSheetId="19">{"'subnets'!$A$1:$F$20"}</definedName>
    <definedName name="HTML_Control" localSheetId="4">{"'subnets'!$A$1:$F$20"}</definedName>
    <definedName name="HTML_Control" localSheetId="20">{"'subnets'!$A$1:$F$20"}</definedName>
    <definedName name="HTML_Control" localSheetId="21">{"'subnets'!$A$1:$F$20"}</definedName>
    <definedName name="HTML_Control" localSheetId="14">{"'subnets'!$A$1:$F$20"}</definedName>
    <definedName name="HTML_Control" localSheetId="13">{"'subnets'!$A$1:$F$20"}</definedName>
    <definedName name="HTML_Control" localSheetId="12">{"'subnets'!$A$1:$F$20"}</definedName>
    <definedName name="HTML_Control" localSheetId="11">{"'subnets'!$A$1:$F$20"}</definedName>
    <definedName name="HTML_Control" localSheetId="9">{"'subnets'!$A$1:$F$20"}</definedName>
    <definedName name="HTML_Control" localSheetId="15">{"'subnets'!$A$1:$F$20"}</definedName>
    <definedName name="HTML_Control">{"'subnets'!$A$1:$F$20"}</definedName>
    <definedName name="HTML_Description">""</definedName>
    <definedName name="HTML_Email">""</definedName>
    <definedName name="HTML_Header">"SUBNETS"</definedName>
    <definedName name="HTML_LastUpdate">"01/25/2000"</definedName>
    <definedName name="HTML_LineAfter">TRUE</definedName>
    <definedName name="HTML_LineBefore">FALSE</definedName>
    <definedName name="HTML_Name">"Jerry George"</definedName>
    <definedName name="HTML_OBDlg2">TRUE</definedName>
    <definedName name="HTML_OBDlg4">TRUE</definedName>
    <definedName name="HTML_OS">0</definedName>
    <definedName name="HTML_PathFile">"C:\WWW\IT\network\subnets.htm"</definedName>
    <definedName name="HTML_Title">"Subnets"</definedName>
    <definedName name="IAfixed" localSheetId="5">#REF!</definedName>
    <definedName name="IAfixed" localSheetId="7">#REF!</definedName>
    <definedName name="IAfixed" localSheetId="6">#REF!</definedName>
    <definedName name="IAfixed">#REF!</definedName>
    <definedName name="Identifier" localSheetId="5">#REF!</definedName>
    <definedName name="Identifier" localSheetId="7">#REF!</definedName>
    <definedName name="Identifier" localSheetId="6">#REF!</definedName>
    <definedName name="Identifier">#REF!</definedName>
    <definedName name="Identifier2" localSheetId="5">#REF!</definedName>
    <definedName name="Identifier2" localSheetId="7">#REF!</definedName>
    <definedName name="Identifier2" localSheetId="6">#REF!</definedName>
    <definedName name="Identifier2">#REF!</definedName>
    <definedName name="IK" localSheetId="5">#REF!</definedName>
    <definedName name="IK" localSheetId="7">#REF!</definedName>
    <definedName name="IK" localSheetId="6">#REF!</definedName>
    <definedName name="IK">#REF!</definedName>
    <definedName name="ILT" localSheetId="5">#REF!</definedName>
    <definedName name="ILT" localSheetId="7">#REF!</definedName>
    <definedName name="ILT" localSheetId="6">#REF!</definedName>
    <definedName name="ILT">#REF!</definedName>
    <definedName name="ImportFile" localSheetId="5">#REF!</definedName>
    <definedName name="ImportFile" localSheetId="7">#REF!</definedName>
    <definedName name="ImportFile" localSheetId="6">#REF!</definedName>
    <definedName name="ImportFile">#REF!</definedName>
    <definedName name="incr" localSheetId="5">#REF!</definedName>
    <definedName name="incr" localSheetId="7">#REF!</definedName>
    <definedName name="incr" localSheetId="6">#REF!</definedName>
    <definedName name="incr">#REF!</definedName>
    <definedName name="increase_in_ospmaintenance" localSheetId="5">#REF!</definedName>
    <definedName name="increase_in_ospmaintenance" localSheetId="7">#REF!</definedName>
    <definedName name="increase_in_ospmaintenance" localSheetId="6">#REF!</definedName>
    <definedName name="increase_in_ospmaintenance">#REF!</definedName>
    <definedName name="INCREASED" localSheetId="5">#REF!</definedName>
    <definedName name="INCREASED" localSheetId="7">#REF!</definedName>
    <definedName name="INCREASED" localSheetId="6">#REF!</definedName>
    <definedName name="INCREASED">#REF!</definedName>
    <definedName name="increaseinhousesalary" localSheetId="5">#REF!</definedName>
    <definedName name="increaseinhousesalary" localSheetId="7">#REF!</definedName>
    <definedName name="increaseinhousesalary" localSheetId="6">#REF!</definedName>
    <definedName name="increaseinhousesalary">#REF!</definedName>
    <definedName name="increaseoutsourcedsalary" localSheetId="5">#REF!</definedName>
    <definedName name="increaseoutsourcedsalary" localSheetId="7">#REF!</definedName>
    <definedName name="increaseoutsourcedsalary" localSheetId="6">#REF!</definedName>
    <definedName name="increaseoutsourcedsalary">#REF!</definedName>
    <definedName name="INDIA_PLASTIC_in_KUSD" localSheetId="5">#REF!</definedName>
    <definedName name="INDIA_PLASTIC_in_KUSD" localSheetId="7">#REF!</definedName>
    <definedName name="INDIA_PLASTIC_in_KUSD" localSheetId="6">#REF!</definedName>
    <definedName name="INDIA_PLASTIC_in_KUSD">#REF!</definedName>
    <definedName name="INETOTHER" localSheetId="5">#REF!</definedName>
    <definedName name="INETOTHER" localSheetId="7">#REF!</definedName>
    <definedName name="INETOTHER" localSheetId="6">#REF!</definedName>
    <definedName name="INETOTHER">#REF!</definedName>
    <definedName name="INETPPE" localSheetId="5">#REF!</definedName>
    <definedName name="INETPPE" localSheetId="7">#REF!</definedName>
    <definedName name="INETPPE" localSheetId="6">#REF!</definedName>
    <definedName name="INETPPE">#REF!</definedName>
    <definedName name="inflind" localSheetId="5">#REF!</definedName>
    <definedName name="inflind" localSheetId="7">#REF!</definedName>
    <definedName name="inflind" localSheetId="6">#REF!</definedName>
    <definedName name="inflind">#REF!</definedName>
    <definedName name="inflUS" localSheetId="5">#REF!</definedName>
    <definedName name="inflUS" localSheetId="7">#REF!</definedName>
    <definedName name="inflUS" localSheetId="6">#REF!</definedName>
    <definedName name="inflUS">#REF!</definedName>
    <definedName name="Information" localSheetId="5">#REF!</definedName>
    <definedName name="Information" localSheetId="7">#REF!</definedName>
    <definedName name="Information" localSheetId="6">#REF!</definedName>
    <definedName name="Information">#REF!</definedName>
    <definedName name="inhousemanpowerph1a" localSheetId="5">#REF!</definedName>
    <definedName name="inhousemanpowerph1a" localSheetId="7">#REF!</definedName>
    <definedName name="inhousemanpowerph1a" localSheetId="6">#REF!</definedName>
    <definedName name="inhousemanpowerph1a">#REF!</definedName>
    <definedName name="inhousemanpowerph1b" localSheetId="5">#REF!</definedName>
    <definedName name="inhousemanpowerph1b" localSheetId="7">#REF!</definedName>
    <definedName name="inhousemanpowerph1b" localSheetId="6">#REF!</definedName>
    <definedName name="inhousemanpowerph1b">#REF!</definedName>
    <definedName name="inhousemanpowerph2" localSheetId="5">#REF!</definedName>
    <definedName name="inhousemanpowerph2" localSheetId="7">#REF!</definedName>
    <definedName name="inhousemanpowerph2" localSheetId="6">#REF!</definedName>
    <definedName name="inhousemanpowerph2">#REF!</definedName>
    <definedName name="installationcost" localSheetId="5">#REF!</definedName>
    <definedName name="installationcost" localSheetId="7">#REF!</definedName>
    <definedName name="installationcost" localSheetId="6">#REF!</definedName>
    <definedName name="installationcost">#REF!</definedName>
    <definedName name="int_rate_cash_bankbal" localSheetId="5">#REF!</definedName>
    <definedName name="int_rate_cash_bankbal" localSheetId="7">#REF!</definedName>
    <definedName name="int_rate_cash_bankbal" localSheetId="6">#REF!</definedName>
    <definedName name="int_rate_cash_bankbal">#REF!</definedName>
    <definedName name="int_rate_termloan" localSheetId="5">#REF!</definedName>
    <definedName name="int_rate_termloan" localSheetId="7">#REF!</definedName>
    <definedName name="int_rate_termloan" localSheetId="6">#REF!</definedName>
    <definedName name="int_rate_termloan">#REF!</definedName>
    <definedName name="int_rate_wcloan" localSheetId="5">#REF!</definedName>
    <definedName name="int_rate_wcloan" localSheetId="7">#REF!</definedName>
    <definedName name="int_rate_wcloan" localSheetId="6">#REF!</definedName>
    <definedName name="int_rate_wcloan">#REF!</definedName>
    <definedName name="Integ" localSheetId="5">#REF!</definedName>
    <definedName name="Integ" localSheetId="7">#REF!</definedName>
    <definedName name="Integ" localSheetId="6">#REF!</definedName>
    <definedName name="Integ">#REF!</definedName>
    <definedName name="inter_bldng" localSheetId="5">#REF!</definedName>
    <definedName name="inter_bldng" localSheetId="7">#REF!</definedName>
    <definedName name="inter_bldng" localSheetId="6">#REF!</definedName>
    <definedName name="inter_bldng">#REF!</definedName>
    <definedName name="INTEREST1" localSheetId="5">#REF!</definedName>
    <definedName name="INTEREST1" localSheetId="7">#REF!</definedName>
    <definedName name="INTEREST1" localSheetId="6">#REF!</definedName>
    <definedName name="INTEREST1">#REF!</definedName>
    <definedName name="InterestCaln" localSheetId="5">#REF!</definedName>
    <definedName name="InterestCaln" localSheetId="7">#REF!</definedName>
    <definedName name="InterestCaln" localSheetId="6">#REF!</definedName>
    <definedName name="InterestCaln">#REF!</definedName>
    <definedName name="intracirclegrowth" localSheetId="5">#REF!</definedName>
    <definedName name="intracirclegrowth" localSheetId="7">#REF!</definedName>
    <definedName name="intracirclegrowth" localSheetId="6">#REF!</definedName>
    <definedName name="intracirclegrowth">#REF!</definedName>
    <definedName name="intratetl" localSheetId="5">#REF!</definedName>
    <definedName name="intratetl" localSheetId="7">#REF!</definedName>
    <definedName name="intratetl" localSheetId="6">#REF!</definedName>
    <definedName name="intratetl">#REF!</definedName>
    <definedName name="intratewc" localSheetId="5">#REF!</definedName>
    <definedName name="intratewc" localSheetId="7">#REF!</definedName>
    <definedName name="intratewc" localSheetId="6">#REF!</definedName>
    <definedName name="intratewc">#REF!</definedName>
    <definedName name="INTRO" localSheetId="5">#REF!</definedName>
    <definedName name="INTRO" localSheetId="7">#REF!</definedName>
    <definedName name="INTRO" localSheetId="6">#REF!</definedName>
    <definedName name="INTRO">#REF!</definedName>
    <definedName name="inv_avail_best" localSheetId="5">#REF!</definedName>
    <definedName name="inv_avail_best" localSheetId="7">#REF!</definedName>
    <definedName name="inv_avail_best" localSheetId="6">#REF!</definedName>
    <definedName name="inv_avail_best">#REF!</definedName>
    <definedName name="inv_avail_del_bqs" localSheetId="5">#REF!</definedName>
    <definedName name="inv_avail_del_bqs" localSheetId="7">#REF!</definedName>
    <definedName name="inv_avail_del_bqs" localSheetId="6">#REF!</definedName>
    <definedName name="inv_avail_del_bqs">#REF!</definedName>
    <definedName name="inv_avail_del_dmrc1_bridgepanel" localSheetId="5">#REF!</definedName>
    <definedName name="inv_avail_del_dmrc1_bridgepanel" localSheetId="7">#REF!</definedName>
    <definedName name="inv_avail_del_dmrc1_bridgepanel" localSheetId="6">#REF!</definedName>
    <definedName name="inv_avail_del_dmrc1_bridgepanel">#REF!</definedName>
    <definedName name="inv_avail_del_dmrc1_hoarding" localSheetId="5">#REF!</definedName>
    <definedName name="inv_avail_del_dmrc1_hoarding" localSheetId="7">#REF!</definedName>
    <definedName name="inv_avail_del_dmrc1_hoarding" localSheetId="6">#REF!</definedName>
    <definedName name="inv_avail_del_dmrc1_hoarding">#REF!</definedName>
    <definedName name="inv_avail_del_dmrc1_mpillars" localSheetId="5">#REF!</definedName>
    <definedName name="inv_avail_del_dmrc1_mpillars" localSheetId="7">#REF!</definedName>
    <definedName name="inv_avail_del_dmrc1_mpillars" localSheetId="6">#REF!</definedName>
    <definedName name="inv_avail_del_dmrc1_mpillars">#REF!</definedName>
    <definedName name="inv_avail_del_dmrc2_bridgepanel" localSheetId="5">#REF!</definedName>
    <definedName name="inv_avail_del_dmrc2_bridgepanel" localSheetId="7">#REF!</definedName>
    <definedName name="inv_avail_del_dmrc2_bridgepanel" localSheetId="6">#REF!</definedName>
    <definedName name="inv_avail_del_dmrc2_bridgepanel">#REF!</definedName>
    <definedName name="inv_avail_del_dmrc2_hoarding" localSheetId="5">#REF!</definedName>
    <definedName name="inv_avail_del_dmrc2_hoarding" localSheetId="7">#REF!</definedName>
    <definedName name="inv_avail_del_dmrc2_hoarding" localSheetId="6">#REF!</definedName>
    <definedName name="inv_avail_del_dmrc2_hoarding">#REF!</definedName>
    <definedName name="inv_avail_del_dmrc3_mpillars" localSheetId="5">#REF!</definedName>
    <definedName name="inv_avail_del_dmrc3_mpillars" localSheetId="7">#REF!</definedName>
    <definedName name="inv_avail_del_dmrc3_mpillars" localSheetId="6">#REF!</definedName>
    <definedName name="inv_avail_del_dmrc3_mpillars">#REF!</definedName>
    <definedName name="inv_avail_del_dmrc4_mpillars" localSheetId="5">#REF!</definedName>
    <definedName name="inv_avail_del_dmrc4_mpillars" localSheetId="7">#REF!</definedName>
    <definedName name="inv_avail_del_dmrc4_mpillars" localSheetId="6">#REF!</definedName>
    <definedName name="inv_avail_del_dmrc4_mpillars">#REF!</definedName>
    <definedName name="inv_avail_del_hoarding" localSheetId="5">#REF!</definedName>
    <definedName name="inv_avail_del_hoarding" localSheetId="7">#REF!</definedName>
    <definedName name="inv_avail_del_hoarding" localSheetId="6">#REF!</definedName>
    <definedName name="inv_avail_del_hoarding">#REF!</definedName>
    <definedName name="inv_avail_del_mcd1_hoarding" localSheetId="5">#REF!</definedName>
    <definedName name="inv_avail_del_mcd1_hoarding" localSheetId="7">#REF!</definedName>
    <definedName name="inv_avail_del_mcd1_hoarding" localSheetId="6">#REF!</definedName>
    <definedName name="inv_avail_del_mcd1_hoarding">#REF!</definedName>
    <definedName name="inv_avail_del_mcd2_kiosk" localSheetId="5">#REF!</definedName>
    <definedName name="inv_avail_del_mcd2_kiosk" localSheetId="7">#REF!</definedName>
    <definedName name="inv_avail_del_mcd2_kiosk" localSheetId="6">#REF!</definedName>
    <definedName name="inv_avail_del_mcd2_kiosk">#REF!</definedName>
    <definedName name="inv_avail_del_mcd3_hoarding" localSheetId="5">#REF!</definedName>
    <definedName name="inv_avail_del_mcd3_hoarding" localSheetId="7">#REF!</definedName>
    <definedName name="inv_avail_del_mcd3_hoarding" localSheetId="6">#REF!</definedName>
    <definedName name="inv_avail_del_mcd3_hoarding">#REF!</definedName>
    <definedName name="inv_avail_del_mcd4_hoarding" localSheetId="5">#REF!</definedName>
    <definedName name="inv_avail_del_mcd4_hoarding" localSheetId="7">#REF!</definedName>
    <definedName name="inv_avail_del_mcd4_hoarding" localSheetId="6">#REF!</definedName>
    <definedName name="inv_avail_del_mcd4_hoarding">#REF!</definedName>
    <definedName name="inv_avail_del_mcd5_hoarding" localSheetId="5">#REF!</definedName>
    <definedName name="inv_avail_del_mcd5_hoarding" localSheetId="7">#REF!</definedName>
    <definedName name="inv_avail_del_mcd5_hoarding" localSheetId="6">#REF!</definedName>
    <definedName name="inv_avail_del_mcd5_hoarding">#REF!</definedName>
    <definedName name="inv_avail_del_nrdd_bridgepanel" localSheetId="5">#REF!</definedName>
    <definedName name="inv_avail_del_nrdd_bridgepanel" localSheetId="7">#REF!</definedName>
    <definedName name="inv_avail_del_nrdd_bridgepanel" localSheetId="6">#REF!</definedName>
    <definedName name="inv_avail_del_nrdd_bridgepanel">#REF!</definedName>
    <definedName name="inv_avail_del_nrdd_hoarding" localSheetId="5">#REF!</definedName>
    <definedName name="inv_avail_del_nrdd_hoarding" localSheetId="7">#REF!</definedName>
    <definedName name="inv_avail_del_nrdd_hoarding" localSheetId="6">#REF!</definedName>
    <definedName name="inv_avail_del_nrdd_hoarding">#REF!</definedName>
    <definedName name="inv_avail_del_nrdd_utility" localSheetId="5">#REF!</definedName>
    <definedName name="inv_avail_del_nrdd_utility" localSheetId="7">#REF!</definedName>
    <definedName name="inv_avail_del_nrdd_utility" localSheetId="6">#REF!</definedName>
    <definedName name="inv_avail_del_nrdd_utility">#REF!</definedName>
    <definedName name="inv_avail_del_utility" localSheetId="5">#REF!</definedName>
    <definedName name="inv_avail_del_utility" localSheetId="7">#REF!</definedName>
    <definedName name="inv_avail_del_utility" localSheetId="6">#REF!</definedName>
    <definedName name="inv_avail_del_utility">#REF!</definedName>
    <definedName name="inv_avail_kol_bqs" localSheetId="5">#REF!</definedName>
    <definedName name="inv_avail_kol_bqs" localSheetId="7">#REF!</definedName>
    <definedName name="inv_avail_kol_bqs" localSheetId="6">#REF!</definedName>
    <definedName name="inv_avail_kol_bqs">#REF!</definedName>
    <definedName name="inv_avail_kol_bridgepanel" localSheetId="5">#REF!</definedName>
    <definedName name="inv_avail_kol_bridgepanel" localSheetId="7">#REF!</definedName>
    <definedName name="inv_avail_kol_bridgepanel" localSheetId="6">#REF!</definedName>
    <definedName name="inv_avail_kol_bridgepanel">#REF!</definedName>
    <definedName name="inv_avail_kol_hoarding" localSheetId="5">#REF!</definedName>
    <definedName name="inv_avail_kol_hoarding" localSheetId="7">#REF!</definedName>
    <definedName name="inv_avail_kol_hoarding" localSheetId="6">#REF!</definedName>
    <definedName name="inv_avail_kol_hoarding">#REF!</definedName>
    <definedName name="inv_avail_kol_kiosk" localSheetId="5">#REF!</definedName>
    <definedName name="inv_avail_kol_kiosk" localSheetId="7">#REF!</definedName>
    <definedName name="inv_avail_kol_kiosk" localSheetId="6">#REF!</definedName>
    <definedName name="inv_avail_kol_kiosk">#REF!</definedName>
    <definedName name="inv_avail_kol_mpillars" localSheetId="5">#REF!</definedName>
    <definedName name="inv_avail_kol_mpillars" localSheetId="7">#REF!</definedName>
    <definedName name="inv_avail_kol_mpillars" localSheetId="6">#REF!</definedName>
    <definedName name="inv_avail_kol_mpillars">#REF!</definedName>
    <definedName name="inv_avail_kol_pillarwrap" localSheetId="5">#REF!</definedName>
    <definedName name="inv_avail_kol_pillarwrap" localSheetId="7">#REF!</definedName>
    <definedName name="inv_avail_kol_pillarwrap" localSheetId="6">#REF!</definedName>
    <definedName name="inv_avail_kol_pillarwrap">#REF!</definedName>
    <definedName name="inv_avail_kol_ts" localSheetId="5">#REF!</definedName>
    <definedName name="inv_avail_kol_ts" localSheetId="7">#REF!</definedName>
    <definedName name="inv_avail_kol_ts" localSheetId="6">#REF!</definedName>
    <definedName name="inv_avail_kol_ts">#REF!</definedName>
    <definedName name="inv_avail_mum_bqs" localSheetId="5">#REF!</definedName>
    <definedName name="inv_avail_mum_bqs" localSheetId="7">#REF!</definedName>
    <definedName name="inv_avail_mum_bqs" localSheetId="6">#REF!</definedName>
    <definedName name="inv_avail_mum_bqs">#REF!</definedName>
    <definedName name="inv_avail_mum_hoarding" localSheetId="5">#REF!</definedName>
    <definedName name="inv_avail_mum_hoarding" localSheetId="7">#REF!</definedName>
    <definedName name="inv_avail_mum_hoarding" localSheetId="6">#REF!</definedName>
    <definedName name="inv_avail_mum_hoarding">#REF!</definedName>
    <definedName name="inv_avail_mum_kiosk" localSheetId="5">#REF!</definedName>
    <definedName name="inv_avail_mum_kiosk" localSheetId="7">#REF!</definedName>
    <definedName name="inv_avail_mum_kiosk" localSheetId="6">#REF!</definedName>
    <definedName name="inv_avail_mum_kiosk">#REF!</definedName>
    <definedName name="inv_avail_mum_utility" localSheetId="5">#REF!</definedName>
    <definedName name="inv_avail_mum_utility" localSheetId="7">#REF!</definedName>
    <definedName name="inv_avail_mum_utility" localSheetId="6">#REF!</definedName>
    <definedName name="inv_avail_mum_utility">#REF!</definedName>
    <definedName name="inv_avail_pun_bqs" localSheetId="5">#REF!</definedName>
    <definedName name="inv_avail_pun_bqs" localSheetId="7">#REF!</definedName>
    <definedName name="inv_avail_pun_bqs" localSheetId="6">#REF!</definedName>
    <definedName name="inv_avail_pun_bqs">#REF!</definedName>
    <definedName name="inv_avail_pun_hoarding" localSheetId="5">#REF!</definedName>
    <definedName name="inv_avail_pun_hoarding" localSheetId="7">#REF!</definedName>
    <definedName name="inv_avail_pun_hoarding" localSheetId="6">#REF!</definedName>
    <definedName name="inv_avail_pun_hoarding">#REF!</definedName>
    <definedName name="inv_avail_pun_kiosk" localSheetId="5">#REF!</definedName>
    <definedName name="inv_avail_pun_kiosk" localSheetId="7">#REF!</definedName>
    <definedName name="inv_avail_pun_kiosk" localSheetId="6">#REF!</definedName>
    <definedName name="inv_avail_pun_kiosk">#REF!</definedName>
    <definedName name="inv_avail_pun_utility" localSheetId="5">#REF!</definedName>
    <definedName name="inv_avail_pun_utility" localSheetId="7">#REF!</definedName>
    <definedName name="inv_avail_pun_utility" localSheetId="6">#REF!</definedName>
    <definedName name="inv_avail_pun_utility">#REF!</definedName>
    <definedName name="inv_sold_best" localSheetId="5">#REF!</definedName>
    <definedName name="inv_sold_best" localSheetId="7">#REF!</definedName>
    <definedName name="inv_sold_best" localSheetId="6">#REF!</definedName>
    <definedName name="inv_sold_best">#REF!</definedName>
    <definedName name="inv_sold_best_ac" localSheetId="5">#REF!</definedName>
    <definedName name="inv_sold_best_ac" localSheetId="7">#REF!</definedName>
    <definedName name="inv_sold_best_ac" localSheetId="6">#REF!</definedName>
    <definedName name="inv_sold_best_ac">#REF!</definedName>
    <definedName name="inv_sold_best_bp" localSheetId="5">#REF!</definedName>
    <definedName name="inv_sold_best_bp" localSheetId="7">#REF!</definedName>
    <definedName name="inv_sold_best_bp" localSheetId="6">#REF!</definedName>
    <definedName name="inv_sold_best_bp">#REF!</definedName>
    <definedName name="inv_sold_best_ip" localSheetId="5">#REF!</definedName>
    <definedName name="inv_sold_best_ip" localSheetId="7">#REF!</definedName>
    <definedName name="inv_sold_best_ip" localSheetId="6">#REF!</definedName>
    <definedName name="inv_sold_best_ip">#REF!</definedName>
    <definedName name="inv_sold_best_lsp" localSheetId="5">#REF!</definedName>
    <definedName name="inv_sold_best_lsp" localSheetId="7">#REF!</definedName>
    <definedName name="inv_sold_best_lsp" localSheetId="6">#REF!</definedName>
    <definedName name="inv_sold_best_lsp">#REF!</definedName>
    <definedName name="inv_sold_best_rsp" localSheetId="5">#REF!</definedName>
    <definedName name="inv_sold_best_rsp" localSheetId="7">#REF!</definedName>
    <definedName name="inv_sold_best_rsp" localSheetId="6">#REF!</definedName>
    <definedName name="inv_sold_best_rsp">#REF!</definedName>
    <definedName name="inv_sold_best_s" localSheetId="5">#REF!</definedName>
    <definedName name="inv_sold_best_s" localSheetId="7">#REF!</definedName>
    <definedName name="inv_sold_best_s" localSheetId="6">#REF!</definedName>
    <definedName name="inv_sold_best_s">#REF!</definedName>
    <definedName name="inv_sold_del_bqs" localSheetId="5">#REF!</definedName>
    <definedName name="inv_sold_del_bqs" localSheetId="7">#REF!</definedName>
    <definedName name="inv_sold_del_bqs" localSheetId="6">#REF!</definedName>
    <definedName name="inv_sold_del_bqs">#REF!</definedName>
    <definedName name="inv_sold_del_dmrc1_bridgepanel" localSheetId="5">#REF!</definedName>
    <definedName name="inv_sold_del_dmrc1_bridgepanel" localSheetId="7">#REF!</definedName>
    <definedName name="inv_sold_del_dmrc1_bridgepanel" localSheetId="6">#REF!</definedName>
    <definedName name="inv_sold_del_dmrc1_bridgepanel">#REF!</definedName>
    <definedName name="inv_sold_del_dmrc1_hoarding" localSheetId="5">#REF!</definedName>
    <definedName name="inv_sold_del_dmrc1_hoarding" localSheetId="7">#REF!</definedName>
    <definedName name="inv_sold_del_dmrc1_hoarding" localSheetId="6">#REF!</definedName>
    <definedName name="inv_sold_del_dmrc1_hoarding">#REF!</definedName>
    <definedName name="inv_sold_del_dmrc1_mpillars" localSheetId="5">#REF!</definedName>
    <definedName name="inv_sold_del_dmrc1_mpillars" localSheetId="7">#REF!</definedName>
    <definedName name="inv_sold_del_dmrc1_mpillars" localSheetId="6">#REF!</definedName>
    <definedName name="inv_sold_del_dmrc1_mpillars">#REF!</definedName>
    <definedName name="inv_sold_del_dmrc2_bridgepanel" localSheetId="5">#REF!</definedName>
    <definedName name="inv_sold_del_dmrc2_bridgepanel" localSheetId="7">#REF!</definedName>
    <definedName name="inv_sold_del_dmrc2_bridgepanel" localSheetId="6">#REF!</definedName>
    <definedName name="inv_sold_del_dmrc2_bridgepanel">#REF!</definedName>
    <definedName name="inv_sold_del_dmrc2_hoarding" localSheetId="5">#REF!</definedName>
    <definedName name="inv_sold_del_dmrc2_hoarding" localSheetId="7">#REF!</definedName>
    <definedName name="inv_sold_del_dmrc2_hoarding" localSheetId="6">#REF!</definedName>
    <definedName name="inv_sold_del_dmrc2_hoarding">#REF!</definedName>
    <definedName name="inv_sold_del_dmrc3_mpillars" localSheetId="5">#REF!</definedName>
    <definedName name="inv_sold_del_dmrc3_mpillars" localSheetId="7">#REF!</definedName>
    <definedName name="inv_sold_del_dmrc3_mpillars" localSheetId="6">#REF!</definedName>
    <definedName name="inv_sold_del_dmrc3_mpillars">#REF!</definedName>
    <definedName name="inv_sold_del_dmrc4_mpillars" localSheetId="5">#REF!</definedName>
    <definedName name="inv_sold_del_dmrc4_mpillars" localSheetId="7">#REF!</definedName>
    <definedName name="inv_sold_del_dmrc4_mpillars" localSheetId="6">#REF!</definedName>
    <definedName name="inv_sold_del_dmrc4_mpillars">#REF!</definedName>
    <definedName name="inv_sold_del_hoarding" localSheetId="5">#REF!</definedName>
    <definedName name="inv_sold_del_hoarding" localSheetId="7">#REF!</definedName>
    <definedName name="inv_sold_del_hoarding" localSheetId="6">#REF!</definedName>
    <definedName name="inv_sold_del_hoarding">#REF!</definedName>
    <definedName name="inv_sold_del_mcd1_hoarding" localSheetId="5">#REF!</definedName>
    <definedName name="inv_sold_del_mcd1_hoarding" localSheetId="7">#REF!</definedName>
    <definedName name="inv_sold_del_mcd1_hoarding" localSheetId="6">#REF!</definedName>
    <definedName name="inv_sold_del_mcd1_hoarding">#REF!</definedName>
    <definedName name="inv_sold_del_mcd2_kiosk" localSheetId="5">#REF!</definedName>
    <definedName name="inv_sold_del_mcd2_kiosk" localSheetId="7">#REF!</definedName>
    <definedName name="inv_sold_del_mcd2_kiosk" localSheetId="6">#REF!</definedName>
    <definedName name="inv_sold_del_mcd2_kiosk">#REF!</definedName>
    <definedName name="inv_sold_del_mcd3_hoarding" localSheetId="5">#REF!</definedName>
    <definedName name="inv_sold_del_mcd3_hoarding" localSheetId="7">#REF!</definedName>
    <definedName name="inv_sold_del_mcd3_hoarding" localSheetId="6">#REF!</definedName>
    <definedName name="inv_sold_del_mcd3_hoarding">#REF!</definedName>
    <definedName name="inv_sold_del_mcd4_hoarding" localSheetId="5">#REF!</definedName>
    <definedName name="inv_sold_del_mcd4_hoarding" localSheetId="7">#REF!</definedName>
    <definedName name="inv_sold_del_mcd4_hoarding" localSheetId="6">#REF!</definedName>
    <definedName name="inv_sold_del_mcd4_hoarding">#REF!</definedName>
    <definedName name="inv_sold_del_mcd5_hoarding" localSheetId="5">#REF!</definedName>
    <definedName name="inv_sold_del_mcd5_hoarding" localSheetId="7">#REF!</definedName>
    <definedName name="inv_sold_del_mcd5_hoarding" localSheetId="6">#REF!</definedName>
    <definedName name="inv_sold_del_mcd5_hoarding">#REF!</definedName>
    <definedName name="inv_sold_del_nrdd_bridgepanel" localSheetId="5">#REF!</definedName>
    <definedName name="inv_sold_del_nrdd_bridgepanel" localSheetId="7">#REF!</definedName>
    <definedName name="inv_sold_del_nrdd_bridgepanel" localSheetId="6">#REF!</definedName>
    <definedName name="inv_sold_del_nrdd_bridgepanel">#REF!</definedName>
    <definedName name="inv_sold_del_nrdd_hoarding" localSheetId="5">#REF!</definedName>
    <definedName name="inv_sold_del_nrdd_hoarding" localSheetId="7">#REF!</definedName>
    <definedName name="inv_sold_del_nrdd_hoarding" localSheetId="6">#REF!</definedName>
    <definedName name="inv_sold_del_nrdd_hoarding">#REF!</definedName>
    <definedName name="inv_sold_del_nrdd_utility" localSheetId="5">#REF!</definedName>
    <definedName name="inv_sold_del_nrdd_utility" localSheetId="7">#REF!</definedName>
    <definedName name="inv_sold_del_nrdd_utility" localSheetId="6">#REF!</definedName>
    <definedName name="inv_sold_del_nrdd_utility">#REF!</definedName>
    <definedName name="inv_sold_del_utility" localSheetId="5">#REF!</definedName>
    <definedName name="inv_sold_del_utility" localSheetId="7">#REF!</definedName>
    <definedName name="inv_sold_del_utility" localSheetId="6">#REF!</definedName>
    <definedName name="inv_sold_del_utility">#REF!</definedName>
    <definedName name="inv_sold_kol_bqs" localSheetId="5">#REF!</definedName>
    <definedName name="inv_sold_kol_bqs" localSheetId="7">#REF!</definedName>
    <definedName name="inv_sold_kol_bqs" localSheetId="6">#REF!</definedName>
    <definedName name="inv_sold_kol_bqs">#REF!</definedName>
    <definedName name="inv_sold_kol_bridgepanel" localSheetId="5">#REF!</definedName>
    <definedName name="inv_sold_kol_bridgepanel" localSheetId="7">#REF!</definedName>
    <definedName name="inv_sold_kol_bridgepanel" localSheetId="6">#REF!</definedName>
    <definedName name="inv_sold_kol_bridgepanel">#REF!</definedName>
    <definedName name="inv_sold_kol_hoarding" localSheetId="5">#REF!</definedName>
    <definedName name="inv_sold_kol_hoarding" localSheetId="7">#REF!</definedName>
    <definedName name="inv_sold_kol_hoarding" localSheetId="6">#REF!</definedName>
    <definedName name="inv_sold_kol_hoarding">#REF!</definedName>
    <definedName name="inv_sold_kol_kiosk" localSheetId="5">#REF!</definedName>
    <definedName name="inv_sold_kol_kiosk" localSheetId="7">#REF!</definedName>
    <definedName name="inv_sold_kol_kiosk" localSheetId="6">#REF!</definedName>
    <definedName name="inv_sold_kol_kiosk">#REF!</definedName>
    <definedName name="inv_sold_kol_mpillars" localSheetId="5">#REF!</definedName>
    <definedName name="inv_sold_kol_mpillars" localSheetId="7">#REF!</definedName>
    <definedName name="inv_sold_kol_mpillars" localSheetId="6">#REF!</definedName>
    <definedName name="inv_sold_kol_mpillars">#REF!</definedName>
    <definedName name="inv_sold_kol_pillarwrap" localSheetId="5">#REF!</definedName>
    <definedName name="inv_sold_kol_pillarwrap" localSheetId="7">#REF!</definedName>
    <definedName name="inv_sold_kol_pillarwrap" localSheetId="6">#REF!</definedName>
    <definedName name="inv_sold_kol_pillarwrap">#REF!</definedName>
    <definedName name="inv_sold_kol_ts" localSheetId="5">#REF!</definedName>
    <definedName name="inv_sold_kol_ts" localSheetId="7">#REF!</definedName>
    <definedName name="inv_sold_kol_ts" localSheetId="6">#REF!</definedName>
    <definedName name="inv_sold_kol_ts">#REF!</definedName>
    <definedName name="inv_sold_mum_bqs" localSheetId="5">#REF!</definedName>
    <definedName name="inv_sold_mum_bqs" localSheetId="7">#REF!</definedName>
    <definedName name="inv_sold_mum_bqs" localSheetId="6">#REF!</definedName>
    <definedName name="inv_sold_mum_bqs">#REF!</definedName>
    <definedName name="inv_sold_mum_hoarding" localSheetId="5">#REF!</definedName>
    <definedName name="inv_sold_mum_hoarding" localSheetId="7">#REF!</definedName>
    <definedName name="inv_sold_mum_hoarding" localSheetId="6">#REF!</definedName>
    <definedName name="inv_sold_mum_hoarding">#REF!</definedName>
    <definedName name="inv_sold_mum_kiosk" localSheetId="5">#REF!</definedName>
    <definedName name="inv_sold_mum_kiosk" localSheetId="7">#REF!</definedName>
    <definedName name="inv_sold_mum_kiosk" localSheetId="6">#REF!</definedName>
    <definedName name="inv_sold_mum_kiosk">#REF!</definedName>
    <definedName name="inv_sold_mum_utility" localSheetId="5">#REF!</definedName>
    <definedName name="inv_sold_mum_utility" localSheetId="7">#REF!</definedName>
    <definedName name="inv_sold_mum_utility" localSheetId="6">#REF!</definedName>
    <definedName name="inv_sold_mum_utility">#REF!</definedName>
    <definedName name="inv_sold_new_r1" localSheetId="5">#REF!</definedName>
    <definedName name="inv_sold_new_r1" localSheetId="7">#REF!</definedName>
    <definedName name="inv_sold_new_r1" localSheetId="6">#REF!</definedName>
    <definedName name="inv_sold_new_r1">#REF!</definedName>
    <definedName name="inv_sold_new_s1" localSheetId="5">#REF!</definedName>
    <definedName name="inv_sold_new_s1" localSheetId="7">#REF!</definedName>
    <definedName name="inv_sold_new_s1" localSheetId="6">#REF!</definedName>
    <definedName name="inv_sold_new_s1">#REF!</definedName>
    <definedName name="inv_sold_new_s2" localSheetId="5">#REF!</definedName>
    <definedName name="inv_sold_new_s2" localSheetId="7">#REF!</definedName>
    <definedName name="inv_sold_new_s2" localSheetId="6">#REF!</definedName>
    <definedName name="inv_sold_new_s2">#REF!</definedName>
    <definedName name="inv_sold_new_sf1" localSheetId="5">#REF!</definedName>
    <definedName name="inv_sold_new_sf1" localSheetId="7">#REF!</definedName>
    <definedName name="inv_sold_new_sf1" localSheetId="6">#REF!</definedName>
    <definedName name="inv_sold_new_sf1">#REF!</definedName>
    <definedName name="inv_sold_new_sf2" localSheetId="5">#REF!</definedName>
    <definedName name="inv_sold_new_sf2" localSheetId="7">#REF!</definedName>
    <definedName name="inv_sold_new_sf2" localSheetId="6">#REF!</definedName>
    <definedName name="inv_sold_new_sf2">#REF!</definedName>
    <definedName name="inv_sold_new_sf3" localSheetId="5">#REF!</definedName>
    <definedName name="inv_sold_new_sf3" localSheetId="7">#REF!</definedName>
    <definedName name="inv_sold_new_sf3" localSheetId="6">#REF!</definedName>
    <definedName name="inv_sold_new_sf3">#REF!</definedName>
    <definedName name="inv_sold_pun_bqs" localSheetId="5">#REF!</definedName>
    <definedName name="inv_sold_pun_bqs" localSheetId="7">#REF!</definedName>
    <definedName name="inv_sold_pun_bqs" localSheetId="6">#REF!</definedName>
    <definedName name="inv_sold_pun_bqs">#REF!</definedName>
    <definedName name="inv_sold_pun_hoarding" localSheetId="5">#REF!</definedName>
    <definedName name="inv_sold_pun_hoarding" localSheetId="7">#REF!</definedName>
    <definedName name="inv_sold_pun_hoarding" localSheetId="6">#REF!</definedName>
    <definedName name="inv_sold_pun_hoarding">#REF!</definedName>
    <definedName name="inv_sold_pun_kiosk" localSheetId="5">#REF!</definedName>
    <definedName name="inv_sold_pun_kiosk" localSheetId="7">#REF!</definedName>
    <definedName name="inv_sold_pun_kiosk" localSheetId="6">#REF!</definedName>
    <definedName name="inv_sold_pun_kiosk">#REF!</definedName>
    <definedName name="inv_sold_pun_utility" localSheetId="5">#REF!</definedName>
    <definedName name="inv_sold_pun_utility" localSheetId="7">#REF!</definedName>
    <definedName name="inv_sold_pun_utility" localSheetId="6">#REF!</definedName>
    <definedName name="inv_sold_pun_utility">#REF!</definedName>
    <definedName name="IOC" localSheetId="5">#REF!</definedName>
    <definedName name="IOC" localSheetId="7">#REF!</definedName>
    <definedName name="IOC" localSheetId="6">#REF!</definedName>
    <definedName name="IOC">#REF!</definedName>
    <definedName name="iop" localSheetId="5">#REF!</definedName>
    <definedName name="iop" localSheetId="7">#REF!</definedName>
    <definedName name="iop" localSheetId="6">#REF!</definedName>
    <definedName name="iop">#REF!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39191.5891666667</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T" localSheetId="5">#REF!</definedName>
    <definedName name="IT" localSheetId="7">#REF!</definedName>
    <definedName name="IT" localSheetId="6">#REF!</definedName>
    <definedName name="IT">#REF!</definedName>
    <definedName name="itdep" localSheetId="5">#REF!</definedName>
    <definedName name="itdep" localSheetId="7">#REF!</definedName>
    <definedName name="itdep" localSheetId="6">#REF!</definedName>
    <definedName name="itdep">#REF!</definedName>
    <definedName name="Jambu" localSheetId="5">#REF!</definedName>
    <definedName name="Jambu" localSheetId="7">#REF!</definedName>
    <definedName name="Jambu" localSheetId="6">#REF!</definedName>
    <definedName name="Jambu">#REF!</definedName>
    <definedName name="Jan" localSheetId="5">#REF!</definedName>
    <definedName name="Jan" localSheetId="7">#REF!</definedName>
    <definedName name="Jan" localSheetId="6">#REF!</definedName>
    <definedName name="Jan">#REF!</definedName>
    <definedName name="JANDATA?" localSheetId="5">#REF!</definedName>
    <definedName name="JANDATA?" localSheetId="7">#REF!</definedName>
    <definedName name="JANDATA?" localSheetId="6">#REF!</definedName>
    <definedName name="JANDATA?">#REF!</definedName>
    <definedName name="jh" localSheetId="5">#REF!</definedName>
    <definedName name="jh" localSheetId="7">#REF!</definedName>
    <definedName name="jh" localSheetId="6">#REF!</definedName>
    <definedName name="jh">#REF!</definedName>
    <definedName name="jjjjjjjjjjjjj" localSheetId="5">#REF!</definedName>
    <definedName name="jjjjjjjjjjjjj" localSheetId="7">#REF!</definedName>
    <definedName name="jjjjjjjjjjjjj" localSheetId="6">#REF!</definedName>
    <definedName name="jjjjjjjjjjjjj">#REF!</definedName>
    <definedName name="jjkh" localSheetId="5">#REF!</definedName>
    <definedName name="jjkh" localSheetId="7">#REF!</definedName>
    <definedName name="jjkh" localSheetId="6">#REF!</definedName>
    <definedName name="jjkh">#REF!</definedName>
    <definedName name="jkbk" localSheetId="5">#REF!</definedName>
    <definedName name="jkbk" localSheetId="7">#REF!</definedName>
    <definedName name="jkbk" localSheetId="6">#REF!</definedName>
    <definedName name="jkbk">#REF!</definedName>
    <definedName name="jkbkhb" localSheetId="5">#REF!</definedName>
    <definedName name="jkbkhb" localSheetId="7">#REF!</definedName>
    <definedName name="jkbkhb" localSheetId="6">#REF!</definedName>
    <definedName name="jkbkhb">#REF!</definedName>
    <definedName name="jkkb" localSheetId="5">#REF!</definedName>
    <definedName name="jkkb" localSheetId="7">#REF!</definedName>
    <definedName name="jkkb" localSheetId="6">#REF!</definedName>
    <definedName name="jkkb">#REF!</definedName>
    <definedName name="jkkkklkl" localSheetId="5">#REF!</definedName>
    <definedName name="jkkkklkl" localSheetId="7">#REF!</definedName>
    <definedName name="jkkkklkl" localSheetId="6">#REF!</definedName>
    <definedName name="jkkkklkl">#REF!</definedName>
    <definedName name="johnny_5_is_alive" localSheetId="5">#REF!</definedName>
    <definedName name="johnny_5_is_alive" localSheetId="7">#REF!</definedName>
    <definedName name="johnny_5_is_alive" localSheetId="6">#REF!</definedName>
    <definedName name="johnny_5_is_alive">#REF!</definedName>
    <definedName name="johnny_6_is_alive" localSheetId="5">#REF!</definedName>
    <definedName name="johnny_6_is_alive" localSheetId="7">#REF!</definedName>
    <definedName name="johnny_6_is_alive" localSheetId="6">#REF!</definedName>
    <definedName name="johnny_6_is_alive">#REF!</definedName>
    <definedName name="Jul" localSheetId="5">#REF!</definedName>
    <definedName name="Jul" localSheetId="7">#REF!</definedName>
    <definedName name="Jul" localSheetId="6">#REF!</definedName>
    <definedName name="Jul">#REF!</definedName>
    <definedName name="JULDATA?" localSheetId="5">#REF!</definedName>
    <definedName name="JULDATA?" localSheetId="7">#REF!</definedName>
    <definedName name="JULDATA?" localSheetId="6">#REF!</definedName>
    <definedName name="JULDATA?">#REF!</definedName>
    <definedName name="Jun" localSheetId="5">#REF!</definedName>
    <definedName name="Jun" localSheetId="7">#REF!</definedName>
    <definedName name="Jun" localSheetId="6">#REF!</definedName>
    <definedName name="Jun">#REF!</definedName>
    <definedName name="junctionboxcost" localSheetId="5">#REF!</definedName>
    <definedName name="junctionboxcost" localSheetId="7">#REF!</definedName>
    <definedName name="junctionboxcost" localSheetId="6">#REF!</definedName>
    <definedName name="junctionboxcost">#REF!</definedName>
    <definedName name="JUNDATA?" localSheetId="5">#REF!</definedName>
    <definedName name="JUNDATA?" localSheetId="7">#REF!</definedName>
    <definedName name="JUNDATA?" localSheetId="6">#REF!</definedName>
    <definedName name="JUNDATA?">#REF!</definedName>
    <definedName name="jvbjgv" localSheetId="5">#REF!</definedName>
    <definedName name="jvbjgv" localSheetId="7">#REF!</definedName>
    <definedName name="jvbjgv" localSheetId="6">#REF!</definedName>
    <definedName name="jvbjgv">#REF!</definedName>
    <definedName name="jvjvg" localSheetId="5">#REF!</definedName>
    <definedName name="jvjvg" localSheetId="7">#REF!</definedName>
    <definedName name="jvjvg" localSheetId="6">#REF!</definedName>
    <definedName name="jvjvg">#REF!</definedName>
    <definedName name="k" localSheetId="5">#REF!</definedName>
    <definedName name="k" localSheetId="7">#REF!</definedName>
    <definedName name="k" localSheetId="6">#REF!</definedName>
    <definedName name="k">#REF!</definedName>
    <definedName name="KeyRatios" localSheetId="5">#REF!</definedName>
    <definedName name="KeyRatios" localSheetId="7">#REF!</definedName>
    <definedName name="KeyRatios" localSheetId="6">#REF!</definedName>
    <definedName name="KeyRatios">#REF!</definedName>
    <definedName name="KGP" localSheetId="5">#REF!</definedName>
    <definedName name="KGP" localSheetId="7">#REF!</definedName>
    <definedName name="KGP" localSheetId="6">#REF!</definedName>
    <definedName name="KGP">#REF!</definedName>
    <definedName name="khhj" localSheetId="5">#REF!</definedName>
    <definedName name="khhj" localSheetId="7">#REF!</definedName>
    <definedName name="khhj" localSheetId="6">#REF!</definedName>
    <definedName name="khhj">#REF!</definedName>
    <definedName name="KI_Dev_QA" localSheetId="5">#REF!</definedName>
    <definedName name="KI_Dev_QA" localSheetId="7">#REF!</definedName>
    <definedName name="KI_Dev_QA" localSheetId="6">#REF!</definedName>
    <definedName name="KI_Dev_QA">#REF!</definedName>
    <definedName name="kjvjg" localSheetId="5">#REF!</definedName>
    <definedName name="kjvjg" localSheetId="7">#REF!</definedName>
    <definedName name="kjvjg" localSheetId="6">#REF!</definedName>
    <definedName name="kjvjg">#REF!</definedName>
    <definedName name="kol_num_bqs" localSheetId="5">#REF!</definedName>
    <definedName name="kol_num_bqs" localSheetId="7">#REF!</definedName>
    <definedName name="kol_num_bqs" localSheetId="6">#REF!</definedName>
    <definedName name="kol_num_bqs">#REF!</definedName>
    <definedName name="kol_num_bridgepanel" localSheetId="5">#REF!</definedName>
    <definedName name="kol_num_bridgepanel" localSheetId="7">#REF!</definedName>
    <definedName name="kol_num_bridgepanel" localSheetId="6">#REF!</definedName>
    <definedName name="kol_num_bridgepanel">#REF!</definedName>
    <definedName name="kol_num_hoarding" localSheetId="5">#REF!</definedName>
    <definedName name="kol_num_hoarding" localSheetId="7">#REF!</definedName>
    <definedName name="kol_num_hoarding" localSheetId="6">#REF!</definedName>
    <definedName name="kol_num_hoarding">#REF!</definedName>
    <definedName name="kol_num_kiosk" localSheetId="5">#REF!</definedName>
    <definedName name="kol_num_kiosk" localSheetId="7">#REF!</definedName>
    <definedName name="kol_num_kiosk" localSheetId="6">#REF!</definedName>
    <definedName name="kol_num_kiosk">#REF!</definedName>
    <definedName name="kol_num_mpillars" localSheetId="5">#REF!</definedName>
    <definedName name="kol_num_mpillars" localSheetId="7">#REF!</definedName>
    <definedName name="kol_num_mpillars" localSheetId="6">#REF!</definedName>
    <definedName name="kol_num_mpillars">#REF!</definedName>
    <definedName name="kol_num_pillarwrap" localSheetId="5">#REF!</definedName>
    <definedName name="kol_num_pillarwrap" localSheetId="7">#REF!</definedName>
    <definedName name="kol_num_pillarwrap" localSheetId="6">#REF!</definedName>
    <definedName name="kol_num_pillarwrap">#REF!</definedName>
    <definedName name="kol_num_ts" localSheetId="5">#REF!</definedName>
    <definedName name="kol_num_ts" localSheetId="7">#REF!</definedName>
    <definedName name="kol_num_ts" localSheetId="6">#REF!</definedName>
    <definedName name="kol_num_ts">#REF!</definedName>
    <definedName name="kol_occrate_bqs" localSheetId="5">#REF!</definedName>
    <definedName name="kol_occrate_bqs" localSheetId="7">#REF!</definedName>
    <definedName name="kol_occrate_bqs" localSheetId="6">#REF!</definedName>
    <definedName name="kol_occrate_bqs">#REF!</definedName>
    <definedName name="kol_occrate_bridgepanel" localSheetId="5">#REF!</definedName>
    <definedName name="kol_occrate_bridgepanel" localSheetId="7">#REF!</definedName>
    <definedName name="kol_occrate_bridgepanel" localSheetId="6">#REF!</definedName>
    <definedName name="kol_occrate_bridgepanel">#REF!</definedName>
    <definedName name="kol_occrate_hoarding" localSheetId="5">#REF!</definedName>
    <definedName name="kol_occrate_hoarding" localSheetId="7">#REF!</definedName>
    <definedName name="kol_occrate_hoarding" localSheetId="6">#REF!</definedName>
    <definedName name="kol_occrate_hoarding">#REF!</definedName>
    <definedName name="kol_occrate_kiosk" localSheetId="5">#REF!</definedName>
    <definedName name="kol_occrate_kiosk" localSheetId="7">#REF!</definedName>
    <definedName name="kol_occrate_kiosk" localSheetId="6">#REF!</definedName>
    <definedName name="kol_occrate_kiosk">#REF!</definedName>
    <definedName name="kol_occrate_mpillars" localSheetId="5">#REF!</definedName>
    <definedName name="kol_occrate_mpillars" localSheetId="7">#REF!</definedName>
    <definedName name="kol_occrate_mpillars" localSheetId="6">#REF!</definedName>
    <definedName name="kol_occrate_mpillars">#REF!</definedName>
    <definedName name="kol_occrate_pillarwrap" localSheetId="5">#REF!</definedName>
    <definedName name="kol_occrate_pillarwrap" localSheetId="7">#REF!</definedName>
    <definedName name="kol_occrate_pillarwrap" localSheetId="6">#REF!</definedName>
    <definedName name="kol_occrate_pillarwrap">#REF!</definedName>
    <definedName name="kol_occrate_ts" localSheetId="5">#REF!</definedName>
    <definedName name="kol_occrate_ts" localSheetId="7">#REF!</definedName>
    <definedName name="kol_occrate_ts" localSheetId="6">#REF!</definedName>
    <definedName name="kol_occrate_ts">#REF!</definedName>
    <definedName name="KOREA_PLASTIC_in_KUSD" localSheetId="5">#REF!</definedName>
    <definedName name="KOREA_PLASTIC_in_KUSD" localSheetId="7">#REF!</definedName>
    <definedName name="KOREA_PLASTIC_in_KUSD" localSheetId="6">#REF!</definedName>
    <definedName name="KOREA_PLASTIC_in_KUSD">#REF!</definedName>
    <definedName name="l" localSheetId="5">#REF!</definedName>
    <definedName name="l" localSheetId="7">#REF!</definedName>
    <definedName name="l" localSheetId="6">#REF!</definedName>
    <definedName name="l">#REF!</definedName>
    <definedName name="L_TCost" localSheetId="5">#REF!</definedName>
    <definedName name="L_TCost" localSheetId="7">#REF!</definedName>
    <definedName name="L_TCost" localSheetId="6">#REF!</definedName>
    <definedName name="L_TCost">#REF!</definedName>
    <definedName name="LABOR3" localSheetId="5">#REF!</definedName>
    <definedName name="LABOR3" localSheetId="7">#REF!</definedName>
    <definedName name="LABOR3" localSheetId="6">#REF!</definedName>
    <definedName name="LABOR3">#REF!</definedName>
    <definedName name="LAC" localSheetId="5">#REF!</definedName>
    <definedName name="LAC" localSheetId="7">#REF!</definedName>
    <definedName name="LAC" localSheetId="6">#REF!</definedName>
    <definedName name="LAC">#REF!</definedName>
    <definedName name="lakdjg" localSheetId="5">#REF!</definedName>
    <definedName name="lakdjg" localSheetId="7">#REF!</definedName>
    <definedName name="lakdjg" localSheetId="6">#REF!</definedName>
    <definedName name="lakdjg">#REF!</definedName>
    <definedName name="Lakh" localSheetId="5">#REF!</definedName>
    <definedName name="Lakh" localSheetId="7">#REF!</definedName>
    <definedName name="Lakh" localSheetId="6">#REF!</definedName>
    <definedName name="Lakh">#REF!</definedName>
    <definedName name="launchexpense" localSheetId="5">#REF!</definedName>
    <definedName name="launchexpense" localSheetId="7">#REF!</definedName>
    <definedName name="launchexpense" localSheetId="6">#REF!</definedName>
    <definedName name="launchexpense">#REF!</definedName>
    <definedName name="LC" localSheetId="5">#REF!</definedName>
    <definedName name="LC" localSheetId="7">#REF!</definedName>
    <definedName name="LC" localSheetId="6">#REF!</definedName>
    <definedName name="LC">#REF!</definedName>
    <definedName name="lemu6" localSheetId="5">#REF!</definedName>
    <definedName name="lemu6" localSheetId="7">#REF!</definedName>
    <definedName name="lemu6" localSheetId="6">#REF!</definedName>
    <definedName name="lemu6">#REF!</definedName>
    <definedName name="lesa8" localSheetId="5">#REF!</definedName>
    <definedName name="lesa8" localSheetId="7">#REF!</definedName>
    <definedName name="lesa8" localSheetId="6">#REF!</definedName>
    <definedName name="lesa8">#REF!</definedName>
    <definedName name="LevMaint_" localSheetId="5">#REF!</definedName>
    <definedName name="LevMaint_" localSheetId="7">#REF!</definedName>
    <definedName name="LevMaint_" localSheetId="6">#REF!</definedName>
    <definedName name="LevMaint_">#REF!</definedName>
    <definedName name="linesprovidedperbldg" localSheetId="5">#REF!</definedName>
    <definedName name="linesprovidedperbldg" localSheetId="7">#REF!</definedName>
    <definedName name="linesprovidedperbldg" localSheetId="6">#REF!</definedName>
    <definedName name="linesprovidedperbldg">#REF!</definedName>
    <definedName name="ListNames" localSheetId="5">#REF!</definedName>
    <definedName name="ListNames" localSheetId="7">#REF!</definedName>
    <definedName name="ListNames" localSheetId="6">#REF!</definedName>
    <definedName name="ListNames">#REF!</definedName>
    <definedName name="lk" localSheetId="5">#REF!</definedName>
    <definedName name="lk" localSheetId="7">#REF!</definedName>
    <definedName name="lk" localSheetId="6">#REF!</definedName>
    <definedName name="lk">#REF!</definedName>
    <definedName name="lkjadsoij" localSheetId="5">#REF!</definedName>
    <definedName name="lkjadsoij" localSheetId="7">#REF!</definedName>
    <definedName name="lkjadsoij" localSheetId="6">#REF!</definedName>
    <definedName name="lkjadsoij">#REF!</definedName>
    <definedName name="lll" localSheetId="5">#REF!</definedName>
    <definedName name="lll" localSheetId="7">#REF!</definedName>
    <definedName name="lll" localSheetId="6">#REF!</definedName>
    <definedName name="lll">#REF!</definedName>
    <definedName name="llllasdg" localSheetId="5">#REF!</definedName>
    <definedName name="llllasdg" localSheetId="7">#REF!</definedName>
    <definedName name="llllasdg" localSheetId="6">#REF!</definedName>
    <definedName name="llllasdg">#REF!</definedName>
    <definedName name="lnjklbk" localSheetId="5">#REF!</definedName>
    <definedName name="lnjklbk" localSheetId="7">#REF!</definedName>
    <definedName name="lnjklbk" localSheetId="6">#REF!</definedName>
    <definedName name="lnjklbk">#REF!</definedName>
    <definedName name="Locations" localSheetId="5">OFFSET(#REF!,0,0,(COUNTA(#REF!)-1),1)</definedName>
    <definedName name="Locations" localSheetId="7">OFFSET(#REF!,0,0,(COUNTA(#REF!)-1),1)</definedName>
    <definedName name="Locations" localSheetId="6">OFFSET(#REF!,0,0,(COUNTA(#REF!)-1),1)</definedName>
    <definedName name="Locations">OFFSET(#REF!,0,0,(COUNTA(#REF!)-1),1)</definedName>
    <definedName name="lomif" localSheetId="5">#REF!</definedName>
    <definedName name="lomif" localSheetId="7">#REF!</definedName>
    <definedName name="lomif" localSheetId="6">#REF!</definedName>
    <definedName name="lomif">#REF!</definedName>
    <definedName name="lomifcable" localSheetId="5">#REF!</definedName>
    <definedName name="lomifcable" localSheetId="7">#REF!</definedName>
    <definedName name="lomifcable" localSheetId="6">#REF!</definedName>
    <definedName name="lomifcable">#REF!</definedName>
    <definedName name="lomifcard" localSheetId="5">#REF!</definedName>
    <definedName name="lomifcard" localSheetId="7">#REF!</definedName>
    <definedName name="lomifcard" localSheetId="6">#REF!</definedName>
    <definedName name="lomifcard">#REF!</definedName>
    <definedName name="lomifcble" localSheetId="5">#REF!</definedName>
    <definedName name="lomifcble" localSheetId="7">#REF!</definedName>
    <definedName name="lomifcble" localSheetId="6">#REF!</definedName>
    <definedName name="lomifcble">#REF!</definedName>
    <definedName name="Low_Sub" localSheetId="5">#REF!</definedName>
    <definedName name="Low_Sub" localSheetId="7">#REF!</definedName>
    <definedName name="Low_Sub" localSheetId="6">#REF!</definedName>
    <definedName name="Low_Sub">#REF!</definedName>
    <definedName name="Low_Sub1" localSheetId="5">#REF!</definedName>
    <definedName name="Low_Sub1" localSheetId="7">#REF!</definedName>
    <definedName name="Low_Sub1" localSheetId="6">#REF!</definedName>
    <definedName name="Low_Sub1">#REF!</definedName>
    <definedName name="Low_Tariff" localSheetId="5">#REF!</definedName>
    <definedName name="Low_Tariff" localSheetId="7">#REF!</definedName>
    <definedName name="Low_Tariff" localSheetId="6">#REF!</definedName>
    <definedName name="Low_Tariff">#REF!</definedName>
    <definedName name="Low_Use" localSheetId="5">#REF!</definedName>
    <definedName name="Low_Use" localSheetId="7">#REF!</definedName>
    <definedName name="Low_Use" localSheetId="6">#REF!</definedName>
    <definedName name="Low_Use">#REF!</definedName>
    <definedName name="Lowk" localSheetId="5">#REF!</definedName>
    <definedName name="Lowk" localSheetId="7">#REF!</definedName>
    <definedName name="Lowk" localSheetId="6">#REF!</definedName>
    <definedName name="Lowk">#REF!</definedName>
    <definedName name="LP" localSheetId="5">#REF!</definedName>
    <definedName name="LP" localSheetId="7">#REF!</definedName>
    <definedName name="LP" localSheetId="6">#REF!</definedName>
    <definedName name="LP">#REF!</definedName>
    <definedName name="M_ACost" localSheetId="5">#REF!</definedName>
    <definedName name="M_ACost" localSheetId="7">#REF!</definedName>
    <definedName name="M_ACost" localSheetId="6">#REF!</definedName>
    <definedName name="M_ACost">#REF!</definedName>
    <definedName name="mahesh" localSheetId="5">#REF!</definedName>
    <definedName name="mahesh" localSheetId="7">#REF!</definedName>
    <definedName name="mahesh" localSheetId="6">#REF!</definedName>
    <definedName name="mahesh">#REF!</definedName>
    <definedName name="mainrkcost" localSheetId="5">#REF!</definedName>
    <definedName name="mainrkcost" localSheetId="7">#REF!</definedName>
    <definedName name="mainrkcost" localSheetId="6">#REF!</definedName>
    <definedName name="mainrkcost">#REF!</definedName>
    <definedName name="MAJOR" localSheetId="5">#REF!</definedName>
    <definedName name="MAJOR" localSheetId="7">#REF!</definedName>
    <definedName name="MAJOR" localSheetId="6">#REF!</definedName>
    <definedName name="MAJOR">#REF!</definedName>
    <definedName name="MAJORFUND" localSheetId="5">#REF!</definedName>
    <definedName name="MAJORFUND" localSheetId="7">#REF!</definedName>
    <definedName name="MAJORFUND" localSheetId="6">#REF!</definedName>
    <definedName name="MAJORFUND">#REF!</definedName>
    <definedName name="MakeUpGPH" localSheetId="5">#REF!</definedName>
    <definedName name="MakeUpGPH" localSheetId="7">#REF!</definedName>
    <definedName name="MakeUpGPH" localSheetId="6">#REF!</definedName>
    <definedName name="MakeUpGPH">#REF!</definedName>
    <definedName name="Mar" localSheetId="5">#REF!</definedName>
    <definedName name="Mar" localSheetId="7">#REF!</definedName>
    <definedName name="Mar" localSheetId="6">#REF!</definedName>
    <definedName name="Mar">#REF!</definedName>
    <definedName name="MARDATA?" localSheetId="5">#REF!</definedName>
    <definedName name="MARDATA?" localSheetId="7">#REF!</definedName>
    <definedName name="MARDATA?" localSheetId="6">#REF!</definedName>
    <definedName name="MARDATA?">#REF!</definedName>
    <definedName name="Margin" localSheetId="5">#REF!</definedName>
    <definedName name="Margin" localSheetId="7">#REF!</definedName>
    <definedName name="Margin" localSheetId="6">#REF!</definedName>
    <definedName name="Margin">#REF!</definedName>
    <definedName name="mat" localSheetId="5">#REF!</definedName>
    <definedName name="mat" localSheetId="7">#REF!</definedName>
    <definedName name="mat" localSheetId="6">#REF!</definedName>
    <definedName name="mat">#REF!</definedName>
    <definedName name="May" localSheetId="5">#REF!</definedName>
    <definedName name="May" localSheetId="7">#REF!</definedName>
    <definedName name="May" localSheetId="6">#REF!</definedName>
    <definedName name="May">#REF!</definedName>
    <definedName name="MAYDATA?" localSheetId="5">#REF!</definedName>
    <definedName name="MAYDATA?" localSheetId="7">#REF!</definedName>
    <definedName name="MAYDATA?" localSheetId="6">#REF!</definedName>
    <definedName name="MAYDATA?">#REF!</definedName>
    <definedName name="MDEVISES" localSheetId="5">#REF!,#REF!,#REF!</definedName>
    <definedName name="MDEVISES" localSheetId="7">#REF!,#REF!,#REF!</definedName>
    <definedName name="MDEVISES" localSheetId="6">#REF!,#REF!,#REF!</definedName>
    <definedName name="MDEVISES">#REF!,#REF!,#REF!</definedName>
    <definedName name="me">"Button 5"</definedName>
    <definedName name="MethodAcc" localSheetId="5">#REF!</definedName>
    <definedName name="MethodAcc" localSheetId="7">#REF!</definedName>
    <definedName name="MethodAcc" localSheetId="6">#REF!</definedName>
    <definedName name="MethodAcc">#REF!</definedName>
    <definedName name="MFRF" localSheetId="5">#REF!,#REF!,#REF!,#REF!,#REF!</definedName>
    <definedName name="MFRF" localSheetId="7">#REF!,#REF!,#REF!,#REF!,#REF!</definedName>
    <definedName name="MFRF" localSheetId="6">#REF!,#REF!,#REF!,#REF!,#REF!</definedName>
    <definedName name="MFRF">#REF!,#REF!,#REF!,#REF!,#REF!</definedName>
    <definedName name="MHELP" localSheetId="5">#REF!</definedName>
    <definedName name="MHELP" localSheetId="7">#REF!</definedName>
    <definedName name="MHELP" localSheetId="6">#REF!</definedName>
    <definedName name="MHELP">#REF!</definedName>
    <definedName name="min_licensefee_s1" localSheetId="5">#REF!</definedName>
    <definedName name="min_licensefee_s1" localSheetId="7">#REF!</definedName>
    <definedName name="min_licensefee_s1" localSheetId="6">#REF!</definedName>
    <definedName name="min_licensefee_s1">#REF!</definedName>
    <definedName name="min_licensefee_s2" localSheetId="5">#REF!</definedName>
    <definedName name="min_licensefee_s2" localSheetId="7">#REF!</definedName>
    <definedName name="min_licensefee_s2" localSheetId="6">#REF!</definedName>
    <definedName name="min_licensefee_s2">#REF!</definedName>
    <definedName name="mkl" localSheetId="5">#REF!</definedName>
    <definedName name="mkl" localSheetId="7">#REF!</definedName>
    <definedName name="mkl" localSheetId="6">#REF!</definedName>
    <definedName name="mkl">#REF!</definedName>
    <definedName name="mkmk" localSheetId="5">#REF!</definedName>
    <definedName name="mkmk" localSheetId="7">#REF!</definedName>
    <definedName name="mkmk" localSheetId="6">#REF!</definedName>
    <definedName name="mkmk">#REF!</definedName>
    <definedName name="mktcoveredph1a" localSheetId="5">#REF!</definedName>
    <definedName name="mktcoveredph1a" localSheetId="7">#REF!</definedName>
    <definedName name="mktcoveredph1a" localSheetId="6">#REF!</definedName>
    <definedName name="mktcoveredph1a">#REF!</definedName>
    <definedName name="mktcoveredph1b" localSheetId="5">#REF!</definedName>
    <definedName name="mktcoveredph1b" localSheetId="7">#REF!</definedName>
    <definedName name="mktcoveredph1b" localSheetId="6">#REF!</definedName>
    <definedName name="mktcoveredph1b">#REF!</definedName>
    <definedName name="mktcoveredph2" localSheetId="5">#REF!</definedName>
    <definedName name="mktcoveredph2" localSheetId="7">#REF!</definedName>
    <definedName name="mktcoveredph2" localSheetId="6">#REF!</definedName>
    <definedName name="mktcoveredph2">#REF!</definedName>
    <definedName name="MM" localSheetId="5">#REF!</definedName>
    <definedName name="MM" localSheetId="7">#REF!</definedName>
    <definedName name="MM" localSheetId="6">#REF!</definedName>
    <definedName name="MM">#REF!</definedName>
    <definedName name="MMLB_SO_DECEMBE" localSheetId="5">#REF!</definedName>
    <definedName name="MMLB_SO_DECEMBE" localSheetId="7">#REF!</definedName>
    <definedName name="MMLB_SO_DECEMBE" localSheetId="6">#REF!</definedName>
    <definedName name="MMLB_SO_DECEMBE">#REF!</definedName>
    <definedName name="MMLB_SO_FEBRUAR" localSheetId="5">#REF!</definedName>
    <definedName name="MMLB_SO_FEBRUAR" localSheetId="7">#REF!</definedName>
    <definedName name="MMLB_SO_FEBRUAR" localSheetId="6">#REF!</definedName>
    <definedName name="MMLB_SO_FEBRUAR">#REF!</definedName>
    <definedName name="MMLB_SO_JANUARY" localSheetId="5">#REF!</definedName>
    <definedName name="MMLB_SO_JANUARY" localSheetId="7">#REF!</definedName>
    <definedName name="MMLB_SO_JANUARY" localSheetId="6">#REF!</definedName>
    <definedName name="MMLB_SO_JANUARY">#REF!</definedName>
    <definedName name="MMLB_SO_NOVEMBE" localSheetId="5">#REF!</definedName>
    <definedName name="MMLB_SO_NOVEMBE" localSheetId="7">#REF!</definedName>
    <definedName name="MMLB_SO_NOVEMBE" localSheetId="6">#REF!</definedName>
    <definedName name="MMLB_SO_NOVEMBE">#REF!</definedName>
    <definedName name="MMLB_SO_OCTOBER" localSheetId="5">#REF!</definedName>
    <definedName name="MMLB_SO_OCTOBER" localSheetId="7">#REF!</definedName>
    <definedName name="MMLB_SO_OCTOBER" localSheetId="6">#REF!</definedName>
    <definedName name="MMLB_SO_OCTOBER">#REF!</definedName>
    <definedName name="MMLB_SO_SEPTEMB" localSheetId="5">#REF!</definedName>
    <definedName name="MMLB_SO_SEPTEMB" localSheetId="7">#REF!</definedName>
    <definedName name="MMLB_SO_SEPTEMB" localSheetId="6">#REF!</definedName>
    <definedName name="MMLB_SO_SEPTEMB">#REF!</definedName>
    <definedName name="MMLB_SOLD_ANNUA" localSheetId="5">#REF!</definedName>
    <definedName name="MMLB_SOLD_ANNUA" localSheetId="7">#REF!</definedName>
    <definedName name="MMLB_SOLD_ANNUA" localSheetId="6">#REF!</definedName>
    <definedName name="MMLB_SOLD_ANNUA">#REF!</definedName>
    <definedName name="MMLB_SOLD_APRIL" localSheetId="5">#REF!</definedName>
    <definedName name="MMLB_SOLD_APRIL" localSheetId="7">#REF!</definedName>
    <definedName name="MMLB_SOLD_APRIL" localSheetId="6">#REF!</definedName>
    <definedName name="MMLB_SOLD_APRIL">#REF!</definedName>
    <definedName name="MMLB_SOLD_AUGUS" localSheetId="5">#REF!</definedName>
    <definedName name="MMLB_SOLD_AUGUS" localSheetId="7">#REF!</definedName>
    <definedName name="MMLB_SOLD_AUGUS" localSheetId="6">#REF!</definedName>
    <definedName name="MMLB_SOLD_AUGUS">#REF!</definedName>
    <definedName name="MMLB_SOLD_JULY" localSheetId="5">#REF!</definedName>
    <definedName name="MMLB_SOLD_JULY" localSheetId="7">#REF!</definedName>
    <definedName name="MMLB_SOLD_JULY" localSheetId="6">#REF!</definedName>
    <definedName name="MMLB_SOLD_JULY">#REF!</definedName>
    <definedName name="MMLB_SOLD_JUNE" localSheetId="5">#REF!</definedName>
    <definedName name="MMLB_SOLD_JUNE" localSheetId="7">#REF!</definedName>
    <definedName name="MMLB_SOLD_JUNE" localSheetId="6">#REF!</definedName>
    <definedName name="MMLB_SOLD_JUNE">#REF!</definedName>
    <definedName name="MMLB_SOLD_MARCH" localSheetId="5">#REF!</definedName>
    <definedName name="MMLB_SOLD_MARCH" localSheetId="7">#REF!</definedName>
    <definedName name="MMLB_SOLD_MARCH" localSheetId="6">#REF!</definedName>
    <definedName name="MMLB_SOLD_MARCH">#REF!</definedName>
    <definedName name="MMLB_SOLD_MAY" localSheetId="5">#REF!</definedName>
    <definedName name="MMLB_SOLD_MAY" localSheetId="7">#REF!</definedName>
    <definedName name="MMLB_SOLD_MAY" localSheetId="6">#REF!</definedName>
    <definedName name="MMLB_SOLD_MAY">#REF!</definedName>
    <definedName name="mmm" localSheetId="5">#REF!</definedName>
    <definedName name="mmm" localSheetId="7">#REF!</definedName>
    <definedName name="mmm" localSheetId="6">#REF!</definedName>
    <definedName name="mmm">#REF!</definedName>
    <definedName name="Module" localSheetId="5">#REF!</definedName>
    <definedName name="Module" localSheetId="7">#REF!</definedName>
    <definedName name="Module" localSheetId="6">#REF!</definedName>
    <definedName name="Module">#REF!</definedName>
    <definedName name="MONTH" localSheetId="5">#REF!</definedName>
    <definedName name="MONTH" localSheetId="7">#REF!</definedName>
    <definedName name="MONTH" localSheetId="6">#REF!</definedName>
    <definedName name="MONTH">#REF!</definedName>
    <definedName name="monthinr" localSheetId="5">#REF!</definedName>
    <definedName name="monthinr" localSheetId="7">#REF!</definedName>
    <definedName name="monthinr" localSheetId="6">#REF!</definedName>
    <definedName name="monthinr">#REF!</definedName>
    <definedName name="monthusd" localSheetId="5">#REF!</definedName>
    <definedName name="monthusd" localSheetId="7">#REF!</definedName>
    <definedName name="monthusd" localSheetId="6">#REF!</definedName>
    <definedName name="monthusd">#REF!</definedName>
    <definedName name="MStVal" localSheetId="5">#REF!</definedName>
    <definedName name="MStVal" localSheetId="7">#REF!</definedName>
    <definedName name="MStVal" localSheetId="6">#REF!</definedName>
    <definedName name="MStVal">#REF!</definedName>
    <definedName name="MSVPP_FT1" localSheetId="5">#REF!</definedName>
    <definedName name="MSVPP_FT1" localSheetId="7">#REF!</definedName>
    <definedName name="MSVPP_FT1" localSheetId="6">#REF!</definedName>
    <definedName name="MSVPP_FT1">#REF!</definedName>
    <definedName name="MSVPP_T1" localSheetId="5">#REF!</definedName>
    <definedName name="MSVPP_T1" localSheetId="7">#REF!</definedName>
    <definedName name="MSVPP_T1" localSheetId="6">#REF!</definedName>
    <definedName name="MSVPP_T1">#REF!</definedName>
    <definedName name="msy5onwards" localSheetId="5">#REF!</definedName>
    <definedName name="msy5onwards" localSheetId="7">#REF!</definedName>
    <definedName name="msy5onwards" localSheetId="6">#REF!</definedName>
    <definedName name="msy5onwards">#REF!</definedName>
    <definedName name="mth" localSheetId="5">#REF!</definedName>
    <definedName name="mth" localSheetId="7">#REF!</definedName>
    <definedName name="mth" localSheetId="6">#REF!</definedName>
    <definedName name="mth">#REF!</definedName>
    <definedName name="mum_num_bqs" localSheetId="5">#REF!</definedName>
    <definedName name="mum_num_bqs" localSheetId="7">#REF!</definedName>
    <definedName name="mum_num_bqs" localSheetId="6">#REF!</definedName>
    <definedName name="mum_num_bqs">#REF!</definedName>
    <definedName name="mum_num_hoarding" localSheetId="5">#REF!</definedName>
    <definedName name="mum_num_hoarding" localSheetId="7">#REF!</definedName>
    <definedName name="mum_num_hoarding" localSheetId="6">#REF!</definedName>
    <definedName name="mum_num_hoarding">#REF!</definedName>
    <definedName name="mum_num_kiosk" localSheetId="5">#REF!</definedName>
    <definedName name="mum_num_kiosk" localSheetId="7">#REF!</definedName>
    <definedName name="mum_num_kiosk" localSheetId="6">#REF!</definedName>
    <definedName name="mum_num_kiosk">#REF!</definedName>
    <definedName name="mum_num_utility" localSheetId="5">#REF!</definedName>
    <definedName name="mum_num_utility" localSheetId="7">#REF!</definedName>
    <definedName name="mum_num_utility" localSheetId="6">#REF!</definedName>
    <definedName name="mum_num_utility">#REF!</definedName>
    <definedName name="mum_occrate_bqs" localSheetId="5">#REF!</definedName>
    <definedName name="mum_occrate_bqs" localSheetId="7">#REF!</definedName>
    <definedName name="mum_occrate_bqs" localSheetId="6">#REF!</definedName>
    <definedName name="mum_occrate_bqs">#REF!</definedName>
    <definedName name="mum_occrate_hoarding" localSheetId="5">#REF!</definedName>
    <definedName name="mum_occrate_hoarding" localSheetId="7">#REF!</definedName>
    <definedName name="mum_occrate_hoarding" localSheetId="6">#REF!</definedName>
    <definedName name="mum_occrate_hoarding">#REF!</definedName>
    <definedName name="mum_occrate_kiosk" localSheetId="5">#REF!</definedName>
    <definedName name="mum_occrate_kiosk" localSheetId="7">#REF!</definedName>
    <definedName name="mum_occrate_kiosk" localSheetId="6">#REF!</definedName>
    <definedName name="mum_occrate_kiosk">#REF!</definedName>
    <definedName name="mum_occrate_utility" localSheetId="5">#REF!</definedName>
    <definedName name="mum_occrate_utility" localSheetId="7">#REF!</definedName>
    <definedName name="mum_occrate_utility" localSheetId="6">#REF!</definedName>
    <definedName name="mum_occrate_utility">#REF!</definedName>
    <definedName name="Murty" localSheetId="5">#REF!</definedName>
    <definedName name="Murty" localSheetId="7">#REF!</definedName>
    <definedName name="Murty" localSheetId="6">#REF!</definedName>
    <definedName name="Murty">#REF!</definedName>
    <definedName name="MWScale" localSheetId="5">#REF!</definedName>
    <definedName name="MWScale" localSheetId="7">#REF!</definedName>
    <definedName name="MWScale" localSheetId="6">#REF!</definedName>
    <definedName name="MWScale">#REF!</definedName>
    <definedName name="Name3" localSheetId="5">#REF!</definedName>
    <definedName name="Name3" localSheetId="7">#REF!</definedName>
    <definedName name="Name3" localSheetId="6">#REF!</definedName>
    <definedName name="Name3">#REF!</definedName>
    <definedName name="NATP" localSheetId="5">#REF!</definedName>
    <definedName name="NATP" localSheetId="7">#REF!</definedName>
    <definedName name="NATP" localSheetId="6">#REF!</definedName>
    <definedName name="NATP">#REF!</definedName>
    <definedName name="NatureBusiness" localSheetId="5">#REF!</definedName>
    <definedName name="NatureBusiness" localSheetId="7">#REF!</definedName>
    <definedName name="NatureBusiness" localSheetId="6">#REF!</definedName>
    <definedName name="NatureBusiness">#REF!</definedName>
    <definedName name="NBS2A">#N/A</definedName>
    <definedName name="NBS2B">#N/A</definedName>
    <definedName name="NBSA1A">#N/A</definedName>
    <definedName name="NBSA1B">#N/A</definedName>
    <definedName name="NBSL1A">#N/A</definedName>
    <definedName name="NBSL1B">#N/A</definedName>
    <definedName name="New" localSheetId="5">#REF!</definedName>
    <definedName name="New" localSheetId="7">#REF!</definedName>
    <definedName name="New" localSheetId="6">#REF!</definedName>
    <definedName name="New">#REF!</definedName>
    <definedName name="new_num_r1" localSheetId="5">#REF!</definedName>
    <definedName name="new_num_r1" localSheetId="7">#REF!</definedName>
    <definedName name="new_num_r1" localSheetId="6">#REF!</definedName>
    <definedName name="new_num_r1">#REF!</definedName>
    <definedName name="new_num_s1" localSheetId="5">#REF!</definedName>
    <definedName name="new_num_s1" localSheetId="7">#REF!</definedName>
    <definedName name="new_num_s1" localSheetId="6">#REF!</definedName>
    <definedName name="new_num_s1">#REF!</definedName>
    <definedName name="new_num_s2" localSheetId="5">#REF!</definedName>
    <definedName name="new_num_s2" localSheetId="7">#REF!</definedName>
    <definedName name="new_num_s2" localSheetId="6">#REF!</definedName>
    <definedName name="new_num_s2">#REF!</definedName>
    <definedName name="new_num_sf1" localSheetId="5">#REF!</definedName>
    <definedName name="new_num_sf1" localSheetId="7">#REF!</definedName>
    <definedName name="new_num_sf1" localSheetId="6">#REF!</definedName>
    <definedName name="new_num_sf1">#REF!</definedName>
    <definedName name="new_num_sf2" localSheetId="5">#REF!</definedName>
    <definedName name="new_num_sf2" localSheetId="7">#REF!</definedName>
    <definedName name="new_num_sf2" localSheetId="6">#REF!</definedName>
    <definedName name="new_num_sf2">#REF!</definedName>
    <definedName name="new_num_sf3" localSheetId="5">#REF!</definedName>
    <definedName name="new_num_sf3" localSheetId="7">#REF!</definedName>
    <definedName name="new_num_sf3" localSheetId="6">#REF!</definedName>
    <definedName name="new_num_sf3">#REF!</definedName>
    <definedName name="new_occrate_r1" localSheetId="5">#REF!</definedName>
    <definedName name="new_occrate_r1" localSheetId="7">#REF!</definedName>
    <definedName name="new_occrate_r1" localSheetId="6">#REF!</definedName>
    <definedName name="new_occrate_r1">#REF!</definedName>
    <definedName name="new_occrate_s1" localSheetId="5">#REF!</definedName>
    <definedName name="new_occrate_s1" localSheetId="7">#REF!</definedName>
    <definedName name="new_occrate_s1" localSheetId="6">#REF!</definedName>
    <definedName name="new_occrate_s1">#REF!</definedName>
    <definedName name="new_occrate_s2" localSheetId="5">#REF!</definedName>
    <definedName name="new_occrate_s2" localSheetId="7">#REF!</definedName>
    <definedName name="new_occrate_s2" localSheetId="6">#REF!</definedName>
    <definedName name="new_occrate_s2">#REF!</definedName>
    <definedName name="new_occrate_sf1" localSheetId="5">#REF!</definedName>
    <definedName name="new_occrate_sf1" localSheetId="7">#REF!</definedName>
    <definedName name="new_occrate_sf1" localSheetId="6">#REF!</definedName>
    <definedName name="new_occrate_sf1">#REF!</definedName>
    <definedName name="new_occrate_sf2" localSheetId="5">#REF!</definedName>
    <definedName name="new_occrate_sf2" localSheetId="7">#REF!</definedName>
    <definedName name="new_occrate_sf2" localSheetId="6">#REF!</definedName>
    <definedName name="new_occrate_sf2">#REF!</definedName>
    <definedName name="new_occrate_sf3" localSheetId="5">#REF!</definedName>
    <definedName name="new_occrate_sf3" localSheetId="7">#REF!</definedName>
    <definedName name="new_occrate_sf3" localSheetId="6">#REF!</definedName>
    <definedName name="new_occrate_sf3">#REF!</definedName>
    <definedName name="newmar99" localSheetId="5">#REF!</definedName>
    <definedName name="newmar99" localSheetId="7">#REF!</definedName>
    <definedName name="newmar99" localSheetId="6">#REF!</definedName>
    <definedName name="newmar99">#REF!</definedName>
    <definedName name="newpast" localSheetId="5">#REF!</definedName>
    <definedName name="newpast" localSheetId="7">#REF!</definedName>
    <definedName name="newpast" localSheetId="6">#REF!</definedName>
    <definedName name="newpast">#REF!</definedName>
    <definedName name="nldvoicegrowthyr1" localSheetId="5">#REF!</definedName>
    <definedName name="nldvoicegrowthyr1" localSheetId="7">#REF!</definedName>
    <definedName name="nldvoicegrowthyr1" localSheetId="6">#REF!</definedName>
    <definedName name="nldvoicegrowthyr1">#REF!</definedName>
    <definedName name="nldvoicegrowthyr2" localSheetId="5">#REF!</definedName>
    <definedName name="nldvoicegrowthyr2" localSheetId="7">#REF!</definedName>
    <definedName name="nldvoicegrowthyr2" localSheetId="6">#REF!</definedName>
    <definedName name="nldvoicegrowthyr2">#REF!</definedName>
    <definedName name="nldvoicegrowthyr3" localSheetId="5">#REF!</definedName>
    <definedName name="nldvoicegrowthyr3" localSheetId="7">#REF!</definedName>
    <definedName name="nldvoicegrowthyr3" localSheetId="6">#REF!</definedName>
    <definedName name="nldvoicegrowthyr3">#REF!</definedName>
    <definedName name="nldvoicegrowthyr4" localSheetId="5">#REF!</definedName>
    <definedName name="nldvoicegrowthyr4" localSheetId="7">#REF!</definedName>
    <definedName name="nldvoicegrowthyr4" localSheetId="6">#REF!</definedName>
    <definedName name="nldvoicegrowthyr4">#REF!</definedName>
    <definedName name="nldvoicegrowthyr5onwards" localSheetId="5">#REF!</definedName>
    <definedName name="nldvoicegrowthyr5onwards" localSheetId="7">#REF!</definedName>
    <definedName name="nldvoicegrowthyr5onwards" localSheetId="6">#REF!</definedName>
    <definedName name="nldvoicegrowthyr5onwards">#REF!</definedName>
    <definedName name="NMWH_ANNUAL" localSheetId="5">#REF!</definedName>
    <definedName name="NMWH_ANNUAL" localSheetId="7">#REF!</definedName>
    <definedName name="NMWH_ANNUAL" localSheetId="6">#REF!</definedName>
    <definedName name="NMWH_ANNUAL">#REF!</definedName>
    <definedName name="NMWH_APRIL" localSheetId="5">#REF!</definedName>
    <definedName name="NMWH_APRIL" localSheetId="7">#REF!</definedName>
    <definedName name="NMWH_APRIL" localSheetId="6">#REF!</definedName>
    <definedName name="NMWH_APRIL">#REF!</definedName>
    <definedName name="NMWH_AUGUST" localSheetId="5">#REF!</definedName>
    <definedName name="NMWH_AUGUST" localSheetId="7">#REF!</definedName>
    <definedName name="NMWH_AUGUST" localSheetId="6">#REF!</definedName>
    <definedName name="NMWH_AUGUST">#REF!</definedName>
    <definedName name="NMWH_DECEMBER" localSheetId="5">#REF!</definedName>
    <definedName name="NMWH_DECEMBER" localSheetId="7">#REF!</definedName>
    <definedName name="NMWH_DECEMBER" localSheetId="6">#REF!</definedName>
    <definedName name="NMWH_DECEMBER">#REF!</definedName>
    <definedName name="NMWH_FEBRUARY" localSheetId="5">#REF!</definedName>
    <definedName name="NMWH_FEBRUARY" localSheetId="7">#REF!</definedName>
    <definedName name="NMWH_FEBRUARY" localSheetId="6">#REF!</definedName>
    <definedName name="NMWH_FEBRUARY">#REF!</definedName>
    <definedName name="NMWH_JANUARY" localSheetId="5">#REF!</definedName>
    <definedName name="NMWH_JANUARY" localSheetId="7">#REF!</definedName>
    <definedName name="NMWH_JANUARY" localSheetId="6">#REF!</definedName>
    <definedName name="NMWH_JANUARY">#REF!</definedName>
    <definedName name="NMWH_JULY" localSheetId="5">#REF!</definedName>
    <definedName name="NMWH_JULY" localSheetId="7">#REF!</definedName>
    <definedName name="NMWH_JULY" localSheetId="6">#REF!</definedName>
    <definedName name="NMWH_JULY">#REF!</definedName>
    <definedName name="NMWH_JUNE" localSheetId="5">#REF!</definedName>
    <definedName name="NMWH_JUNE" localSheetId="7">#REF!</definedName>
    <definedName name="NMWH_JUNE" localSheetId="6">#REF!</definedName>
    <definedName name="NMWH_JUNE">#REF!</definedName>
    <definedName name="NMWH_MARCH" localSheetId="5">#REF!</definedName>
    <definedName name="NMWH_MARCH" localSheetId="7">#REF!</definedName>
    <definedName name="NMWH_MARCH" localSheetId="6">#REF!</definedName>
    <definedName name="NMWH_MARCH">#REF!</definedName>
    <definedName name="NMWH_MAY" localSheetId="5">#REF!</definedName>
    <definedName name="NMWH_MAY" localSheetId="7">#REF!</definedName>
    <definedName name="NMWH_MAY" localSheetId="6">#REF!</definedName>
    <definedName name="NMWH_MAY">#REF!</definedName>
    <definedName name="NMWH_NOVEMBER" localSheetId="5">#REF!</definedName>
    <definedName name="NMWH_NOVEMBER" localSheetId="7">#REF!</definedName>
    <definedName name="NMWH_NOVEMBER" localSheetId="6">#REF!</definedName>
    <definedName name="NMWH_NOVEMBER">#REF!</definedName>
    <definedName name="NMWH_OCTOBER" localSheetId="5">#REF!</definedName>
    <definedName name="NMWH_OCTOBER" localSheetId="7">#REF!</definedName>
    <definedName name="NMWH_OCTOBER" localSheetId="6">#REF!</definedName>
    <definedName name="NMWH_OCTOBER">#REF!</definedName>
    <definedName name="NMWH_SEPTEMBER" localSheetId="5">#REF!</definedName>
    <definedName name="NMWH_SEPTEMBER" localSheetId="7">#REF!</definedName>
    <definedName name="NMWH_SEPTEMBER" localSheetId="6">#REF!</definedName>
    <definedName name="NMWH_SEPTEMBER">#REF!</definedName>
    <definedName name="nnn" localSheetId="5">#REF!</definedName>
    <definedName name="nnn" localSheetId="7">#REF!</definedName>
    <definedName name="nnn" localSheetId="6">#REF!</definedName>
    <definedName name="nnn">#REF!</definedName>
    <definedName name="NO" localSheetId="5">#REF!</definedName>
    <definedName name="NO" localSheetId="7">#REF!</definedName>
    <definedName name="NO" localSheetId="6">#REF!</definedName>
    <definedName name="NO">#REF!</definedName>
    <definedName name="no_dys_yr_BEST" localSheetId="5">#REF!</definedName>
    <definedName name="no_dys_yr_BEST" localSheetId="7">#REF!</definedName>
    <definedName name="no_dys_yr_BEST" localSheetId="6">#REF!</definedName>
    <definedName name="no_dys_yr_BEST">#REF!</definedName>
    <definedName name="noj" localSheetId="5">#REF!</definedName>
    <definedName name="noj" localSheetId="7">#REF!</definedName>
    <definedName name="noj" localSheetId="6">#REF!</definedName>
    <definedName name="noj">#REF!</definedName>
    <definedName name="normalcapex" localSheetId="5">#REF!</definedName>
    <definedName name="normalcapex" localSheetId="7">#REF!</definedName>
    <definedName name="normalcapex" localSheetId="6">#REF!</definedName>
    <definedName name="normalcapex">#REF!</definedName>
    <definedName name="NOTE_1" localSheetId="5">#REF!</definedName>
    <definedName name="NOTE_1" localSheetId="7">#REF!</definedName>
    <definedName name="NOTE_1" localSheetId="6">#REF!</definedName>
    <definedName name="NOTE_1">#REF!</definedName>
    <definedName name="Nov" localSheetId="5">#REF!</definedName>
    <definedName name="Nov" localSheetId="7">#REF!</definedName>
    <definedName name="Nov" localSheetId="6">#REF!</definedName>
    <definedName name="Nov">#REF!</definedName>
    <definedName name="NOVDATA?" localSheetId="5">#REF!</definedName>
    <definedName name="NOVDATA?" localSheetId="7">#REF!</definedName>
    <definedName name="NOVDATA?" localSheetId="6">#REF!</definedName>
    <definedName name="NOVDATA?">#REF!</definedName>
    <definedName name="num_days_creditors" localSheetId="5">#REF!</definedName>
    <definedName name="num_days_creditors" localSheetId="7">#REF!</definedName>
    <definedName name="num_days_creditors" localSheetId="6">#REF!</definedName>
    <definedName name="num_days_creditors">#REF!</definedName>
    <definedName name="num_days_debtors" localSheetId="5">#REF!</definedName>
    <definedName name="num_days_debtors" localSheetId="7">#REF!</definedName>
    <definedName name="num_days_debtors" localSheetId="6">#REF!</definedName>
    <definedName name="num_days_debtors">#REF!</definedName>
    <definedName name="num_days_del_bqs" localSheetId="5">#REF!</definedName>
    <definedName name="num_days_del_bqs" localSheetId="7">#REF!</definedName>
    <definedName name="num_days_del_bqs" localSheetId="6">#REF!</definedName>
    <definedName name="num_days_del_bqs">#REF!</definedName>
    <definedName name="num_days_del_dmrc1" localSheetId="5">#REF!</definedName>
    <definedName name="num_days_del_dmrc1" localSheetId="7">#REF!</definedName>
    <definedName name="num_days_del_dmrc1" localSheetId="6">#REF!</definedName>
    <definedName name="num_days_del_dmrc1">#REF!</definedName>
    <definedName name="num_days_del_dmrc2" localSheetId="5">#REF!</definedName>
    <definedName name="num_days_del_dmrc2" localSheetId="7">#REF!</definedName>
    <definedName name="num_days_del_dmrc2" localSheetId="6">#REF!</definedName>
    <definedName name="num_days_del_dmrc2">#REF!</definedName>
    <definedName name="num_days_del_dmrc3" localSheetId="5">#REF!</definedName>
    <definedName name="num_days_del_dmrc3" localSheetId="7">#REF!</definedName>
    <definedName name="num_days_del_dmrc3" localSheetId="6">#REF!</definedName>
    <definedName name="num_days_del_dmrc3">#REF!</definedName>
    <definedName name="num_days_del_dmrc4" localSheetId="5">#REF!</definedName>
    <definedName name="num_days_del_dmrc4" localSheetId="7">#REF!</definedName>
    <definedName name="num_days_del_dmrc4" localSheetId="6">#REF!</definedName>
    <definedName name="num_days_del_dmrc4">#REF!</definedName>
    <definedName name="num_days_del_hoarding" localSheetId="5">#REF!</definedName>
    <definedName name="num_days_del_hoarding" localSheetId="7">#REF!</definedName>
    <definedName name="num_days_del_hoarding" localSheetId="6">#REF!</definedName>
    <definedName name="num_days_del_hoarding">#REF!</definedName>
    <definedName name="num_days_del_mcd1" localSheetId="5">#REF!</definedName>
    <definedName name="num_days_del_mcd1" localSheetId="7">#REF!</definedName>
    <definedName name="num_days_del_mcd1" localSheetId="6">#REF!</definedName>
    <definedName name="num_days_del_mcd1">#REF!</definedName>
    <definedName name="num_days_del_mcd2" localSheetId="5">#REF!</definedName>
    <definedName name="num_days_del_mcd2" localSheetId="7">#REF!</definedName>
    <definedName name="num_days_del_mcd2" localSheetId="6">#REF!</definedName>
    <definedName name="num_days_del_mcd2">#REF!</definedName>
    <definedName name="num_days_del_mcd3" localSheetId="5">#REF!</definedName>
    <definedName name="num_days_del_mcd3" localSheetId="7">#REF!</definedName>
    <definedName name="num_days_del_mcd3" localSheetId="6">#REF!</definedName>
    <definedName name="num_days_del_mcd3">#REF!</definedName>
    <definedName name="num_days_del_mcd4" localSheetId="5">#REF!</definedName>
    <definedName name="num_days_del_mcd4" localSheetId="7">#REF!</definedName>
    <definedName name="num_days_del_mcd4" localSheetId="6">#REF!</definedName>
    <definedName name="num_days_del_mcd4">#REF!</definedName>
    <definedName name="num_days_del_mcd5" localSheetId="5">#REF!</definedName>
    <definedName name="num_days_del_mcd5" localSheetId="7">#REF!</definedName>
    <definedName name="num_days_del_mcd5" localSheetId="6">#REF!</definedName>
    <definedName name="num_days_del_mcd5">#REF!</definedName>
    <definedName name="num_days_del_nrdd" localSheetId="5">#REF!</definedName>
    <definedName name="num_days_del_nrdd" localSheetId="7">#REF!</definedName>
    <definedName name="num_days_del_nrdd" localSheetId="6">#REF!</definedName>
    <definedName name="num_days_del_nrdd">#REF!</definedName>
    <definedName name="num_days_del_utility" localSheetId="5">#REF!</definedName>
    <definedName name="num_days_del_utility" localSheetId="7">#REF!</definedName>
    <definedName name="num_days_del_utility" localSheetId="6">#REF!</definedName>
    <definedName name="num_days_del_utility">#REF!</definedName>
    <definedName name="num_days_inventory" localSheetId="5">#REF!</definedName>
    <definedName name="num_days_inventory" localSheetId="7">#REF!</definedName>
    <definedName name="num_days_inventory" localSheetId="6">#REF!</definedName>
    <definedName name="num_days_inventory">#REF!</definedName>
    <definedName name="num_days_kol_bqs" localSheetId="5">#REF!</definedName>
    <definedName name="num_days_kol_bqs" localSheetId="7">#REF!</definedName>
    <definedName name="num_days_kol_bqs" localSheetId="6">#REF!</definedName>
    <definedName name="num_days_kol_bqs">#REF!</definedName>
    <definedName name="num_days_kol_bridgepanel" localSheetId="5">#REF!</definedName>
    <definedName name="num_days_kol_bridgepanel" localSheetId="7">#REF!</definedName>
    <definedName name="num_days_kol_bridgepanel" localSheetId="6">#REF!</definedName>
    <definedName name="num_days_kol_bridgepanel">#REF!</definedName>
    <definedName name="num_days_kol_hoarding" localSheetId="5">#REF!</definedName>
    <definedName name="num_days_kol_hoarding" localSheetId="7">#REF!</definedName>
    <definedName name="num_days_kol_hoarding" localSheetId="6">#REF!</definedName>
    <definedName name="num_days_kol_hoarding">#REF!</definedName>
    <definedName name="num_days_kol_kiosk" localSheetId="5">#REF!</definedName>
    <definedName name="num_days_kol_kiosk" localSheetId="7">#REF!</definedName>
    <definedName name="num_days_kol_kiosk" localSheetId="6">#REF!</definedName>
    <definedName name="num_days_kol_kiosk">#REF!</definedName>
    <definedName name="num_days_kol_mpillars" localSheetId="5">#REF!</definedName>
    <definedName name="num_days_kol_mpillars" localSheetId="7">#REF!</definedName>
    <definedName name="num_days_kol_mpillars" localSheetId="6">#REF!</definedName>
    <definedName name="num_days_kol_mpillars">#REF!</definedName>
    <definedName name="num_days_kol_pillarwrap" localSheetId="5">#REF!</definedName>
    <definedName name="num_days_kol_pillarwrap" localSheetId="7">#REF!</definedName>
    <definedName name="num_days_kol_pillarwrap" localSheetId="6">#REF!</definedName>
    <definedName name="num_days_kol_pillarwrap">#REF!</definedName>
    <definedName name="num_days_kol_ts" localSheetId="5">#REF!</definedName>
    <definedName name="num_days_kol_ts" localSheetId="7">#REF!</definedName>
    <definedName name="num_days_kol_ts" localSheetId="6">#REF!</definedName>
    <definedName name="num_days_kol_ts">#REF!</definedName>
    <definedName name="num_days_mum_bqs" localSheetId="5">#REF!</definedName>
    <definedName name="num_days_mum_bqs" localSheetId="7">#REF!</definedName>
    <definedName name="num_days_mum_bqs" localSheetId="6">#REF!</definedName>
    <definedName name="num_days_mum_bqs">#REF!</definedName>
    <definedName name="num_days_mum_hoarding" localSheetId="5">#REF!</definedName>
    <definedName name="num_days_mum_hoarding" localSheetId="7">#REF!</definedName>
    <definedName name="num_days_mum_hoarding" localSheetId="6">#REF!</definedName>
    <definedName name="num_days_mum_hoarding">#REF!</definedName>
    <definedName name="num_days_mum_kiosk" localSheetId="5">#REF!</definedName>
    <definedName name="num_days_mum_kiosk" localSheetId="7">#REF!</definedName>
    <definedName name="num_days_mum_kiosk" localSheetId="6">#REF!</definedName>
    <definedName name="num_days_mum_kiosk">#REF!</definedName>
    <definedName name="num_days_mum_utility" localSheetId="5">#REF!</definedName>
    <definedName name="num_days_mum_utility" localSheetId="7">#REF!</definedName>
    <definedName name="num_days_mum_utility" localSheetId="6">#REF!</definedName>
    <definedName name="num_days_mum_utility">#REF!</definedName>
    <definedName name="num_days_new_r1" localSheetId="5">#REF!</definedName>
    <definedName name="num_days_new_r1" localSheetId="7">#REF!</definedName>
    <definedName name="num_days_new_r1" localSheetId="6">#REF!</definedName>
    <definedName name="num_days_new_r1">#REF!</definedName>
    <definedName name="num_days_new_s1" localSheetId="5">#REF!</definedName>
    <definedName name="num_days_new_s1" localSheetId="7">#REF!</definedName>
    <definedName name="num_days_new_s1" localSheetId="6">#REF!</definedName>
    <definedName name="num_days_new_s1">#REF!</definedName>
    <definedName name="num_days_new_s2" localSheetId="5">#REF!</definedName>
    <definedName name="num_days_new_s2" localSheetId="7">#REF!</definedName>
    <definedName name="num_days_new_s2" localSheetId="6">#REF!</definedName>
    <definedName name="num_days_new_s2">#REF!</definedName>
    <definedName name="num_days_new_sf1" localSheetId="5">#REF!</definedName>
    <definedName name="num_days_new_sf1" localSheetId="7">#REF!</definedName>
    <definedName name="num_days_new_sf1" localSheetId="6">#REF!</definedName>
    <definedName name="num_days_new_sf1">#REF!</definedName>
    <definedName name="num_days_new_sf2" localSheetId="5">#REF!</definedName>
    <definedName name="num_days_new_sf2" localSheetId="7">#REF!</definedName>
    <definedName name="num_days_new_sf2" localSheetId="6">#REF!</definedName>
    <definedName name="num_days_new_sf2">#REF!</definedName>
    <definedName name="num_days_new_sf3" localSheetId="5">#REF!</definedName>
    <definedName name="num_days_new_sf3" localSheetId="7">#REF!</definedName>
    <definedName name="num_days_new_sf3" localSheetId="6">#REF!</definedName>
    <definedName name="num_days_new_sf3">#REF!</definedName>
    <definedName name="num_days_pun_bqs" localSheetId="5">#REF!</definedName>
    <definedName name="num_days_pun_bqs" localSheetId="7">#REF!</definedName>
    <definedName name="num_days_pun_bqs" localSheetId="6">#REF!</definedName>
    <definedName name="num_days_pun_bqs">#REF!</definedName>
    <definedName name="num_days_pun_hoarding" localSheetId="5">#REF!</definedName>
    <definedName name="num_days_pun_hoarding" localSheetId="7">#REF!</definedName>
    <definedName name="num_days_pun_hoarding" localSheetId="6">#REF!</definedName>
    <definedName name="num_days_pun_hoarding">#REF!</definedName>
    <definedName name="num_days_pun_kiosk" localSheetId="5">#REF!</definedName>
    <definedName name="num_days_pun_kiosk" localSheetId="7">#REF!</definedName>
    <definedName name="num_days_pun_kiosk" localSheetId="6">#REF!</definedName>
    <definedName name="num_days_pun_kiosk">#REF!</definedName>
    <definedName name="num_days_pun_utility" localSheetId="5">#REF!</definedName>
    <definedName name="num_days_pun_utility" localSheetId="7">#REF!</definedName>
    <definedName name="num_days_pun_utility" localSheetId="6">#REF!</definedName>
    <definedName name="num_days_pun_utility">#REF!</definedName>
    <definedName name="num_days_year" localSheetId="5">#REF!</definedName>
    <definedName name="num_days_year" localSheetId="7">#REF!</definedName>
    <definedName name="num_days_year" localSheetId="6">#REF!</definedName>
    <definedName name="num_days_year">#REF!</definedName>
    <definedName name="Oct" localSheetId="5">#REF!</definedName>
    <definedName name="Oct" localSheetId="7">#REF!</definedName>
    <definedName name="Oct" localSheetId="6">#REF!</definedName>
    <definedName name="Oct">#REF!</definedName>
    <definedName name="OCTDATA?" localSheetId="5">#REF!</definedName>
    <definedName name="OCTDATA?" localSheetId="7">#REF!</definedName>
    <definedName name="OCTDATA?" localSheetId="6">#REF!</definedName>
    <definedName name="OCTDATA?">#REF!</definedName>
    <definedName name="Offers" localSheetId="5">#REF!</definedName>
    <definedName name="Offers" localSheetId="7">#REF!</definedName>
    <definedName name="Offers" localSheetId="6">#REF!</definedName>
    <definedName name="Offers">#REF!</definedName>
    <definedName name="oldCoverDate" localSheetId="5">#REF!</definedName>
    <definedName name="oldCoverDate" localSheetId="7">#REF!</definedName>
    <definedName name="oldCoverDate" localSheetId="6">#REF!</definedName>
    <definedName name="oldCoverDate">#REF!</definedName>
    <definedName name="OPCAP" localSheetId="5">#REF!</definedName>
    <definedName name="OPCAP" localSheetId="7">#REF!</definedName>
    <definedName name="OPCAP" localSheetId="6">#REF!</definedName>
    <definedName name="OPCAP">#REF!</definedName>
    <definedName name="OperatingHrs" localSheetId="5">#REF!</definedName>
    <definedName name="OperatingHrs" localSheetId="7">#REF!</definedName>
    <definedName name="OperatingHrs" localSheetId="6">#REF!</definedName>
    <definedName name="OperatingHrs">#REF!</definedName>
    <definedName name="Operations" localSheetId="5">#REF!</definedName>
    <definedName name="Operations" localSheetId="7">#REF!</definedName>
    <definedName name="Operations" localSheetId="6">#REF!</definedName>
    <definedName name="Operations">#REF!</definedName>
    <definedName name="OPTexponents">"0 3 6"</definedName>
    <definedName name="optpatchcord" localSheetId="5">#REF!</definedName>
    <definedName name="optpatchcord" localSheetId="7">#REF!</definedName>
    <definedName name="optpatchcord" localSheetId="6">#REF!</definedName>
    <definedName name="optpatchcord">#REF!</definedName>
    <definedName name="OPTvec">"1 1 1 3 0 0 0 0 0 0 1 8 2 1 0 30 1 1 0 0 1 0 1 0 0 1 0 0 0 0 0 0 100 300 0 0 0 0 15 0 0 0 0"</definedName>
    <definedName name="ospmaintenance" localSheetId="5">#REF!</definedName>
    <definedName name="ospmaintenance" localSheetId="7">#REF!</definedName>
    <definedName name="ospmaintenance" localSheetId="6">#REF!</definedName>
    <definedName name="ospmaintenance">#REF!</definedName>
    <definedName name="otherfinancialcharge" localSheetId="5">#REF!</definedName>
    <definedName name="otherfinancialcharge" localSheetId="7">#REF!</definedName>
    <definedName name="otherfinancialcharge" localSheetId="6">#REF!</definedName>
    <definedName name="otherfinancialcharge">#REF!</definedName>
    <definedName name="otherinterconnectperldca" localSheetId="5">#REF!</definedName>
    <definedName name="otherinterconnectperldca" localSheetId="7">#REF!</definedName>
    <definedName name="otherinterconnectperldca" localSheetId="6">#REF!</definedName>
    <definedName name="otherinterconnectperldca">#REF!</definedName>
    <definedName name="othernwtfcy1" localSheetId="5">#REF!</definedName>
    <definedName name="othernwtfcy1" localSheetId="7">#REF!</definedName>
    <definedName name="othernwtfcy1" localSheetId="6">#REF!</definedName>
    <definedName name="othernwtfcy1">#REF!</definedName>
    <definedName name="othernwtfcy2" localSheetId="5">#REF!</definedName>
    <definedName name="othernwtfcy2" localSheetId="7">#REF!</definedName>
    <definedName name="othernwtfcy2" localSheetId="6">#REF!</definedName>
    <definedName name="othernwtfcy2">#REF!</definedName>
    <definedName name="othernwtfcy3" localSheetId="5">#REF!</definedName>
    <definedName name="othernwtfcy3" localSheetId="7">#REF!</definedName>
    <definedName name="othernwtfcy3" localSheetId="6">#REF!</definedName>
    <definedName name="othernwtfcy3">#REF!</definedName>
    <definedName name="othernwtfcy4" localSheetId="5">#REF!</definedName>
    <definedName name="othernwtfcy4" localSheetId="7">#REF!</definedName>
    <definedName name="othernwtfcy4" localSheetId="6">#REF!</definedName>
    <definedName name="othernwtfcy4">#REF!</definedName>
    <definedName name="othernwtfcy5onwards" localSheetId="5">#REF!</definedName>
    <definedName name="othernwtfcy5onwards" localSheetId="7">#REF!</definedName>
    <definedName name="othernwtfcy5onwards" localSheetId="6">#REF!</definedName>
    <definedName name="othernwtfcy5onwards">#REF!</definedName>
    <definedName name="others" localSheetId="5">#REF!</definedName>
    <definedName name="others" localSheetId="7">#REF!</definedName>
    <definedName name="others" localSheetId="6">#REF!</definedName>
    <definedName name="others">#REF!</definedName>
    <definedName name="Output_currency" localSheetId="5">#REF!</definedName>
    <definedName name="Output_currency" localSheetId="7">#REF!</definedName>
    <definedName name="Output_currency" localSheetId="6">#REF!</definedName>
    <definedName name="Output_currency">#REF!</definedName>
    <definedName name="outsourcedmanpowerph1a" localSheetId="5">#REF!</definedName>
    <definedName name="outsourcedmanpowerph1a" localSheetId="7">#REF!</definedName>
    <definedName name="outsourcedmanpowerph1a" localSheetId="6">#REF!</definedName>
    <definedName name="outsourcedmanpowerph1a">#REF!</definedName>
    <definedName name="outsourcedmanpowerph1b" localSheetId="5">#REF!</definedName>
    <definedName name="outsourcedmanpowerph1b" localSheetId="7">#REF!</definedName>
    <definedName name="outsourcedmanpowerph1b" localSheetId="6">#REF!</definedName>
    <definedName name="outsourcedmanpowerph1b">#REF!</definedName>
    <definedName name="outsourcedmanpowerph2" localSheetId="5">#REF!</definedName>
    <definedName name="outsourcedmanpowerph2" localSheetId="7">#REF!</definedName>
    <definedName name="outsourcedmanpowerph2" localSheetId="6">#REF!</definedName>
    <definedName name="outsourcedmanpowerph2">#REF!</definedName>
    <definedName name="OVERVIEW" localSheetId="5">#REF!</definedName>
    <definedName name="OVERVIEW" localSheetId="7">#REF!</definedName>
    <definedName name="OVERVIEW" localSheetId="6">#REF!</definedName>
    <definedName name="OVERVIEW">#REF!</definedName>
    <definedName name="P" localSheetId="5">#REF!</definedName>
    <definedName name="P" localSheetId="7">#REF!</definedName>
    <definedName name="P" localSheetId="6">#REF!</definedName>
    <definedName name="P">#REF!</definedName>
    <definedName name="P___L___Statement" localSheetId="5">#REF!</definedName>
    <definedName name="P___L___Statement" localSheetId="7">#REF!</definedName>
    <definedName name="P___L___Statement" localSheetId="6">#REF!</definedName>
    <definedName name="P___L___Statement">#REF!</definedName>
    <definedName name="PAge1" localSheetId="5">#REF!</definedName>
    <definedName name="PAge1" localSheetId="7">#REF!</definedName>
    <definedName name="PAge1" localSheetId="6">#REF!</definedName>
    <definedName name="PAge1">#REF!</definedName>
    <definedName name="page2" localSheetId="5">#REF!</definedName>
    <definedName name="page2" localSheetId="7">#REF!</definedName>
    <definedName name="page2" localSheetId="6">#REF!</definedName>
    <definedName name="page2">#REF!</definedName>
    <definedName name="PAGE22" localSheetId="5">#REF!</definedName>
    <definedName name="PAGE22" localSheetId="7">#REF!</definedName>
    <definedName name="PAGE22" localSheetId="6">#REF!</definedName>
    <definedName name="PAGE22">#REF!</definedName>
    <definedName name="page3" localSheetId="5">#REF!</definedName>
    <definedName name="page3" localSheetId="7">#REF!</definedName>
    <definedName name="page3" localSheetId="6">#REF!</definedName>
    <definedName name="page3">#REF!</definedName>
    <definedName name="page4" localSheetId="5">#REF!</definedName>
    <definedName name="page4" localSheetId="7">#REF!</definedName>
    <definedName name="page4" localSheetId="6">#REF!</definedName>
    <definedName name="page4">#REF!</definedName>
    <definedName name="page5" localSheetId="5">#REF!</definedName>
    <definedName name="page5" localSheetId="7">#REF!</definedName>
    <definedName name="page5" localSheetId="6">#REF!</definedName>
    <definedName name="page5">#REF!</definedName>
    <definedName name="page6" localSheetId="5">#REF!</definedName>
    <definedName name="page6" localSheetId="7">#REF!</definedName>
    <definedName name="page6" localSheetId="6">#REF!</definedName>
    <definedName name="page6">#REF!</definedName>
    <definedName name="page7" localSheetId="5">#REF!</definedName>
    <definedName name="page7" localSheetId="7">#REF!</definedName>
    <definedName name="page7" localSheetId="6">#REF!</definedName>
    <definedName name="page7">#REF!</definedName>
    <definedName name="PAN" localSheetId="5">#REF!</definedName>
    <definedName name="PAN" localSheetId="7">#REF!</definedName>
    <definedName name="PAN" localSheetId="6">#REF!</definedName>
    <definedName name="PAN">#REF!</definedName>
    <definedName name="PartDesignation" localSheetId="5">#REF!</definedName>
    <definedName name="PartDesignation" localSheetId="7">#REF!</definedName>
    <definedName name="PartDesignation" localSheetId="6">#REF!</definedName>
    <definedName name="PartDesignation">#REF!</definedName>
    <definedName name="past" localSheetId="5">#REF!</definedName>
    <definedName name="past" localSheetId="7">#REF!</definedName>
    <definedName name="past" localSheetId="6">#REF!</definedName>
    <definedName name="past">#REF!</definedName>
    <definedName name="PBinstalcost" localSheetId="5">#REF!</definedName>
    <definedName name="PBinstalcost" localSheetId="7">#REF!</definedName>
    <definedName name="PBinstalcost" localSheetId="6">#REF!</definedName>
    <definedName name="PBinstalcost">#REF!</definedName>
    <definedName name="pconv" localSheetId="5">#REF!</definedName>
    <definedName name="pconv" localSheetId="7">#REF!</definedName>
    <definedName name="pconv" localSheetId="6">#REF!</definedName>
    <definedName name="pconv">#REF!</definedName>
    <definedName name="pconvcable" localSheetId="5">#REF!</definedName>
    <definedName name="pconvcable" localSheetId="7">#REF!</definedName>
    <definedName name="pconvcable" localSheetId="6">#REF!</definedName>
    <definedName name="pconvcable">#REF!</definedName>
    <definedName name="percentagemarketcoveredph2" localSheetId="5">#REF!</definedName>
    <definedName name="percentagemarketcoveredph2" localSheetId="7">#REF!</definedName>
    <definedName name="percentagemarketcoveredph2" localSheetId="6">#REF!</definedName>
    <definedName name="percentagemarketcoveredph2">#REF!</definedName>
    <definedName name="percentagemktcoveredph1a" localSheetId="5">#REF!</definedName>
    <definedName name="percentagemktcoveredph1a" localSheetId="7">#REF!</definedName>
    <definedName name="percentagemktcoveredph1a" localSheetId="6">#REF!</definedName>
    <definedName name="percentagemktcoveredph1a">#REF!</definedName>
    <definedName name="percentagemktcoveredph1b" localSheetId="5">#REF!</definedName>
    <definedName name="percentagemktcoveredph1b" localSheetId="7">#REF!</definedName>
    <definedName name="percentagemktcoveredph1b" localSheetId="6">#REF!</definedName>
    <definedName name="percentagemktcoveredph1b">#REF!</definedName>
    <definedName name="percentcables" localSheetId="5">#REF!</definedName>
    <definedName name="percentcables" localSheetId="7">#REF!</definedName>
    <definedName name="percentcables" localSheetId="6">#REF!</definedName>
    <definedName name="percentcables">#REF!</definedName>
    <definedName name="percentcivil" localSheetId="5">#REF!</definedName>
    <definedName name="percentcivil" localSheetId="7">#REF!</definedName>
    <definedName name="percentcivil" localSheetId="6">#REF!</definedName>
    <definedName name="percentcivil">#REF!</definedName>
    <definedName name="percentducts" localSheetId="5">#REF!</definedName>
    <definedName name="percentducts" localSheetId="7">#REF!</definedName>
    <definedName name="percentducts" localSheetId="6">#REF!</definedName>
    <definedName name="percentducts">#REF!</definedName>
    <definedName name="percentelectro" localSheetId="5">#REF!</definedName>
    <definedName name="percentelectro" localSheetId="7">#REF!</definedName>
    <definedName name="percentelectro" localSheetId="6">#REF!</definedName>
    <definedName name="percentelectro">#REF!</definedName>
    <definedName name="percentland" localSheetId="5">#REF!</definedName>
    <definedName name="percentland" localSheetId="7">#REF!</definedName>
    <definedName name="percentland" localSheetId="6">#REF!</definedName>
    <definedName name="percentland">#REF!</definedName>
    <definedName name="percentothers" localSheetId="5">#REF!</definedName>
    <definedName name="percentothers" localSheetId="7">#REF!</definedName>
    <definedName name="percentothers" localSheetId="6">#REF!</definedName>
    <definedName name="percentothers">#REF!</definedName>
    <definedName name="percentrow" localSheetId="5">#REF!</definedName>
    <definedName name="percentrow" localSheetId="7">#REF!</definedName>
    <definedName name="percentrow" localSheetId="6">#REF!</definedName>
    <definedName name="percentrow">#REF!</definedName>
    <definedName name="PG_2" localSheetId="5">#REF!</definedName>
    <definedName name="PG_2" localSheetId="7">#REF!</definedName>
    <definedName name="PG_2" localSheetId="6">#REF!</definedName>
    <definedName name="PG_2">#REF!</definedName>
    <definedName name="PG_4" localSheetId="5">#REF!</definedName>
    <definedName name="PG_4" localSheetId="7">#REF!</definedName>
    <definedName name="PG_4" localSheetId="6">#REF!</definedName>
    <definedName name="PG_4">#REF!</definedName>
    <definedName name="PG_5" localSheetId="5">#REF!</definedName>
    <definedName name="PG_5" localSheetId="7">#REF!</definedName>
    <definedName name="PG_5" localSheetId="6">#REF!</definedName>
    <definedName name="PG_5">#REF!</definedName>
    <definedName name="piu" localSheetId="5">#REF!</definedName>
    <definedName name="piu" localSheetId="7">#REF!</definedName>
    <definedName name="piu" localSheetId="6">#REF!</definedName>
    <definedName name="piu">#REF!</definedName>
    <definedName name="PkgBrlFlow" localSheetId="5">#REF!</definedName>
    <definedName name="PkgBrlFlow" localSheetId="7">#REF!</definedName>
    <definedName name="PkgBrlFlow" localSheetId="6">#REF!</definedName>
    <definedName name="PkgBrlFlow">#REF!</definedName>
    <definedName name="pl" localSheetId="5">#REF!</definedName>
    <definedName name="pl" localSheetId="7">#REF!</definedName>
    <definedName name="pl" localSheetId="6">#REF!</definedName>
    <definedName name="pl">#REF!</definedName>
    <definedName name="PL1A">#N/A</definedName>
    <definedName name="PL1B">#N/A</definedName>
    <definedName name="PL2A">#N/A</definedName>
    <definedName name="PL2B">#N/A</definedName>
    <definedName name="PL3A">#N/A</definedName>
    <definedName name="PL3B">#N/A</definedName>
    <definedName name="PLAccount" localSheetId="5">#REF!</definedName>
    <definedName name="PLAccount" localSheetId="7">#REF!</definedName>
    <definedName name="PLAccount" localSheetId="6">#REF!</definedName>
    <definedName name="PLAccount">#REF!</definedName>
    <definedName name="populationgrowthrate" localSheetId="5">#REF!</definedName>
    <definedName name="populationgrowthrate" localSheetId="7">#REF!</definedName>
    <definedName name="populationgrowthrate" localSheetId="6">#REF!</definedName>
    <definedName name="populationgrowthrate">#REF!</definedName>
    <definedName name="pots30if" localSheetId="5">#REF!</definedName>
    <definedName name="pots30if" localSheetId="7">#REF!</definedName>
    <definedName name="pots30if" localSheetId="6">#REF!</definedName>
    <definedName name="pots30if">#REF!</definedName>
    <definedName name="potscable" localSheetId="5">#REF!</definedName>
    <definedName name="potscable" localSheetId="7">#REF!</definedName>
    <definedName name="potscable" localSheetId="6">#REF!</definedName>
    <definedName name="potscable">#REF!</definedName>
    <definedName name="potsif" localSheetId="5">#REF!</definedName>
    <definedName name="potsif" localSheetId="7">#REF!</definedName>
    <definedName name="potsif" localSheetId="6">#REF!</definedName>
    <definedName name="potsif">#REF!</definedName>
    <definedName name="premises" localSheetId="5">#REF!</definedName>
    <definedName name="premises" localSheetId="7">#REF!</definedName>
    <definedName name="premises" localSheetId="6">#REF!</definedName>
    <definedName name="premises">#REF!</definedName>
    <definedName name="price" localSheetId="5">#REF!</definedName>
    <definedName name="price" localSheetId="7">#REF!</definedName>
    <definedName name="price" localSheetId="6">#REF!</definedName>
    <definedName name="price">#REF!</definedName>
    <definedName name="_xlnm.Print_Area" localSheetId="5">#REF!</definedName>
    <definedName name="_xlnm.Print_Area" localSheetId="7">#REF!</definedName>
    <definedName name="_xlnm.Print_Area" localSheetId="6">#REF!</definedName>
    <definedName name="_xlnm.Print_Area" localSheetId="9">'Subs Detailed Exp Summary'!$B$4:$J$159</definedName>
    <definedName name="_xlnm.Print_Area">#REF!</definedName>
    <definedName name="Print_Area_MI" localSheetId="5">#REF!</definedName>
    <definedName name="Print_Area_MI" localSheetId="7">#REF!</definedName>
    <definedName name="Print_Area_MI" localSheetId="6">#REF!</definedName>
    <definedName name="Print_Area_MI">#REF!</definedName>
    <definedName name="PRINT_SUMMARY" localSheetId="5">#REF!</definedName>
    <definedName name="PRINT_SUMMARY" localSheetId="7">#REF!</definedName>
    <definedName name="PRINT_SUMMARY" localSheetId="6">#REF!</definedName>
    <definedName name="PRINT_SUMMARY">#REF!</definedName>
    <definedName name="_xlnm.Print_Titles" localSheetId="5">#REF!,#REF!</definedName>
    <definedName name="_xlnm.Print_Titles" localSheetId="7">#REF!,#REF!</definedName>
    <definedName name="_xlnm.Print_Titles" localSheetId="6">#REF!,#REF!</definedName>
    <definedName name="_xlnm.Print_Titles">#REF!,#REF!</definedName>
    <definedName name="Print_Titles_MI" localSheetId="5">#REF!,#REF!</definedName>
    <definedName name="Print_Titles_MI" localSheetId="7">#REF!,#REF!</definedName>
    <definedName name="Print_Titles_MI" localSheetId="6">#REF!,#REF!</definedName>
    <definedName name="Print_Titles_MI">#REF!,#REF!</definedName>
    <definedName name="Print1" localSheetId="5">#REF!</definedName>
    <definedName name="Print1" localSheetId="7">#REF!</definedName>
    <definedName name="Print1" localSheetId="6">#REF!</definedName>
    <definedName name="Print1">#REF!</definedName>
    <definedName name="PrintHanBusinessModel" localSheetId="5">#REF!</definedName>
    <definedName name="PrintHanBusinessModel" localSheetId="7">#REF!</definedName>
    <definedName name="PrintHanBusinessModel" localSheetId="6">#REF!</definedName>
    <definedName name="PrintHanBusinessModel">#REF!</definedName>
    <definedName name="PROFIT" localSheetId="5">#REF!</definedName>
    <definedName name="PROFIT" localSheetId="7">#REF!</definedName>
    <definedName name="PROFIT" localSheetId="6">#REF!</definedName>
    <definedName name="PROFIT">#REF!</definedName>
    <definedName name="Profit_Loss" localSheetId="5">#REF!</definedName>
    <definedName name="Profit_Loss" localSheetId="7">#REF!</definedName>
    <definedName name="Profit_Loss" localSheetId="6">#REF!</definedName>
    <definedName name="Profit_Loss">#REF!</definedName>
    <definedName name="ProImportExport.ImportFile" localSheetId="5">#REF!</definedName>
    <definedName name="ProImportExport.ImportFile" localSheetId="7">#REF!</definedName>
    <definedName name="ProImportExport.ImportFile" localSheetId="6">#REF!</definedName>
    <definedName name="ProImportExport.ImportFile">#REF!</definedName>
    <definedName name="ProImportExport.SaveNewFile" localSheetId="5">#REF!</definedName>
    <definedName name="ProImportExport.SaveNewFile" localSheetId="7">#REF!</definedName>
    <definedName name="ProImportExport.SaveNewFile" localSheetId="6">#REF!</definedName>
    <definedName name="ProImportExport.SaveNewFile">#REF!</definedName>
    <definedName name="proj" localSheetId="5">#REF!</definedName>
    <definedName name="proj" localSheetId="7">#REF!</definedName>
    <definedName name="proj" localSheetId="6">#REF!</definedName>
    <definedName name="proj">#REF!</definedName>
    <definedName name="ProjDesc" localSheetId="5">#REF!</definedName>
    <definedName name="ProjDesc" localSheetId="7">#REF!</definedName>
    <definedName name="ProjDesc" localSheetId="6">#REF!</definedName>
    <definedName name="ProjDesc">#REF!</definedName>
    <definedName name="PROJECT" localSheetId="5">#REF!</definedName>
    <definedName name="PROJECT" localSheetId="7">#REF!</definedName>
    <definedName name="PROJECT" localSheetId="6">#REF!</definedName>
    <definedName name="PROJECT">#REF!</definedName>
    <definedName name="PROJECT_NAME" localSheetId="5">#REF!</definedName>
    <definedName name="PROJECT_NAME" localSheetId="7">#REF!</definedName>
    <definedName name="PROJECT_NAME" localSheetId="6">#REF!</definedName>
    <definedName name="PROJECT_NAME">#REF!</definedName>
    <definedName name="projected" localSheetId="5">#REF!</definedName>
    <definedName name="projected" localSheetId="7">#REF!</definedName>
    <definedName name="projected" localSheetId="6">#REF!</definedName>
    <definedName name="projected">#REF!</definedName>
    <definedName name="ProjectName" localSheetId="5">{"Client Name or Project Name"}</definedName>
    <definedName name="ProjectName" localSheetId="8">{"Client Name or Project Name"}</definedName>
    <definedName name="ProjectName" localSheetId="16">{"Client Name or Project Name"}</definedName>
    <definedName name="ProjectName" localSheetId="7">{"Client Name or Project Name"}</definedName>
    <definedName name="ProjectName" localSheetId="2">{"Client Name or Project Name"}</definedName>
    <definedName name="ProjectName" localSheetId="3">{"Client Name or Project Name"}</definedName>
    <definedName name="ProjectName" localSheetId="23">{"Client Name or Project Name"}</definedName>
    <definedName name="ProjectName" localSheetId="22">{"Client Name or Project Name"}</definedName>
    <definedName name="ProjectName" localSheetId="24">{"Client Name or Project Name"}</definedName>
    <definedName name="ProjectName" localSheetId="6">{"Client Name or Project Name"}</definedName>
    <definedName name="ProjectName" localSheetId="19">{"Client Name or Project Name"}</definedName>
    <definedName name="ProjectName" localSheetId="4">{"Client Name or Project Name"}</definedName>
    <definedName name="ProjectName" localSheetId="20">{"Client Name or Project Name"}</definedName>
    <definedName name="ProjectName" localSheetId="21">{"Client Name or Project Name"}</definedName>
    <definedName name="ProjectName" localSheetId="14">{"Client Name or Project Name"}</definedName>
    <definedName name="ProjectName" localSheetId="13">{"Client Name or Project Name"}</definedName>
    <definedName name="ProjectName" localSheetId="12">{"Client Name or Project Name"}</definedName>
    <definedName name="ProjectName" localSheetId="11">{"Client Name or Project Name"}</definedName>
    <definedName name="ProjectName" localSheetId="9">{"Client Name or Project Name"}</definedName>
    <definedName name="ProjectName" localSheetId="15">{"Client Name or Project Name"}</definedName>
    <definedName name="ProjectName">{"Client Name or Project Name"}</definedName>
    <definedName name="ProjName" localSheetId="5">#REF!</definedName>
    <definedName name="ProjName" localSheetId="7">#REF!</definedName>
    <definedName name="ProjName" localSheetId="6">#REF!</definedName>
    <definedName name="ProjName">#REF!</definedName>
    <definedName name="provision" localSheetId="5">#REF!</definedName>
    <definedName name="provision" localSheetId="7">#REF!</definedName>
    <definedName name="provision" localSheetId="6">#REF!</definedName>
    <definedName name="provision">#REF!</definedName>
    <definedName name="PrtMajMaint" localSheetId="5">#REF!</definedName>
    <definedName name="PrtMajMaint" localSheetId="7">#REF!</definedName>
    <definedName name="PrtMajMaint" localSheetId="6">#REF!</definedName>
    <definedName name="PrtMajMaint">#REF!</definedName>
    <definedName name="PrtOffsite" localSheetId="5">#REF!</definedName>
    <definedName name="PrtOffsite" localSheetId="7">#REF!</definedName>
    <definedName name="PrtOffsite" localSheetId="6">#REF!</definedName>
    <definedName name="PrtOffsite">#REF!</definedName>
    <definedName name="PrtPrecomm" localSheetId="5">#REF!</definedName>
    <definedName name="PrtPrecomm" localSheetId="7">#REF!</definedName>
    <definedName name="PrtPrecomm" localSheetId="6">#REF!</definedName>
    <definedName name="PrtPrecomm">#REF!</definedName>
    <definedName name="PrtSetup" localSheetId="5">#REF!</definedName>
    <definedName name="PrtSetup" localSheetId="7">#REF!</definedName>
    <definedName name="PrtSetup" localSheetId="6">#REF!</definedName>
    <definedName name="PrtSetup">#REF!</definedName>
    <definedName name="Ptas" localSheetId="5">#REF!</definedName>
    <definedName name="Ptas" localSheetId="7">#REF!</definedName>
    <definedName name="Ptas" localSheetId="6">#REF!</definedName>
    <definedName name="Ptas">#REF!</definedName>
    <definedName name="pullingcost" localSheetId="5">#REF!</definedName>
    <definedName name="pullingcost" localSheetId="7">#REF!</definedName>
    <definedName name="pullingcost" localSheetId="6">#REF!</definedName>
    <definedName name="pullingcost">#REF!</definedName>
    <definedName name="pun_num_bqs" localSheetId="5">#REF!</definedName>
    <definedName name="pun_num_bqs" localSheetId="7">#REF!</definedName>
    <definedName name="pun_num_bqs" localSheetId="6">#REF!</definedName>
    <definedName name="pun_num_bqs">#REF!</definedName>
    <definedName name="pun_num_hoarding" localSheetId="5">#REF!</definedName>
    <definedName name="pun_num_hoarding" localSheetId="7">#REF!</definedName>
    <definedName name="pun_num_hoarding" localSheetId="6">#REF!</definedName>
    <definedName name="pun_num_hoarding">#REF!</definedName>
    <definedName name="pun_num_kiosk" localSheetId="5">#REF!</definedName>
    <definedName name="pun_num_kiosk" localSheetId="7">#REF!</definedName>
    <definedName name="pun_num_kiosk" localSheetId="6">#REF!</definedName>
    <definedName name="pun_num_kiosk">#REF!</definedName>
    <definedName name="pun_num_utility" localSheetId="5">#REF!</definedName>
    <definedName name="pun_num_utility" localSheetId="7">#REF!</definedName>
    <definedName name="pun_num_utility" localSheetId="6">#REF!</definedName>
    <definedName name="pun_num_utility">#REF!</definedName>
    <definedName name="pun_occrate_bqs" localSheetId="5">#REF!</definedName>
    <definedName name="pun_occrate_bqs" localSheetId="7">#REF!</definedName>
    <definedName name="pun_occrate_bqs" localSheetId="6">#REF!</definedName>
    <definedName name="pun_occrate_bqs">#REF!</definedName>
    <definedName name="pun_occrate_hoarding" localSheetId="5">#REF!</definedName>
    <definedName name="pun_occrate_hoarding" localSheetId="7">#REF!</definedName>
    <definedName name="pun_occrate_hoarding" localSheetId="6">#REF!</definedName>
    <definedName name="pun_occrate_hoarding">#REF!</definedName>
    <definedName name="pun_occrate_kiosk" localSheetId="5">#REF!</definedName>
    <definedName name="pun_occrate_kiosk" localSheetId="7">#REF!</definedName>
    <definedName name="pun_occrate_kiosk" localSheetId="6">#REF!</definedName>
    <definedName name="pun_occrate_kiosk">#REF!</definedName>
    <definedName name="pun_occrate_utility" localSheetId="5">#REF!</definedName>
    <definedName name="pun_occrate_utility" localSheetId="7">#REF!</definedName>
    <definedName name="pun_occrate_utility" localSheetId="6">#REF!</definedName>
    <definedName name="pun_occrate_utility">#REF!</definedName>
    <definedName name="Q" localSheetId="5">#REF!</definedName>
    <definedName name="Q" localSheetId="7">#REF!</definedName>
    <definedName name="Q" localSheetId="6">#REF!</definedName>
    <definedName name="Q">#REF!</definedName>
    <definedName name="Q1Vsmonths" localSheetId="5">#REF!</definedName>
    <definedName name="Q1Vsmonths" localSheetId="7">#REF!</definedName>
    <definedName name="Q1Vsmonths" localSheetId="6">#REF!</definedName>
    <definedName name="Q1Vsmonths">#REF!</definedName>
    <definedName name="qwe" localSheetId="5">#REF!</definedName>
    <definedName name="qwe" localSheetId="7">#REF!</definedName>
    <definedName name="qwe" localSheetId="6">#REF!</definedName>
    <definedName name="qwe">#REF!</definedName>
    <definedName name="qzqzqz10" localSheetId="5">#REF!</definedName>
    <definedName name="qzqzqz10" localSheetId="7">#REF!</definedName>
    <definedName name="qzqzqz10" localSheetId="6">#REF!</definedName>
    <definedName name="qzqzqz10">#REF!</definedName>
    <definedName name="qzqzqz11" localSheetId="5">#REF!</definedName>
    <definedName name="qzqzqz11" localSheetId="7">#REF!</definedName>
    <definedName name="qzqzqz11" localSheetId="6">#REF!</definedName>
    <definedName name="qzqzqz11">#REF!</definedName>
    <definedName name="qzqzqz12" localSheetId="5">#REF!</definedName>
    <definedName name="qzqzqz12" localSheetId="7">#REF!</definedName>
    <definedName name="qzqzqz12" localSheetId="6">#REF!</definedName>
    <definedName name="qzqzqz12">#REF!</definedName>
    <definedName name="qzqzqz13" localSheetId="5">#REF!</definedName>
    <definedName name="qzqzqz13" localSheetId="7">#REF!</definedName>
    <definedName name="qzqzqz13" localSheetId="6">#REF!</definedName>
    <definedName name="qzqzqz13">#REF!</definedName>
    <definedName name="qzqzqz14" localSheetId="5">#REF!</definedName>
    <definedName name="qzqzqz14" localSheetId="7">#REF!</definedName>
    <definedName name="qzqzqz14" localSheetId="6">#REF!</definedName>
    <definedName name="qzqzqz14">#REF!</definedName>
    <definedName name="qzqzqz15" localSheetId="5">#REF!</definedName>
    <definedName name="qzqzqz15" localSheetId="7">#REF!</definedName>
    <definedName name="qzqzqz15" localSheetId="6">#REF!</definedName>
    <definedName name="qzqzqz15">#REF!</definedName>
    <definedName name="qzqzqz16" localSheetId="5">#REF!</definedName>
    <definedName name="qzqzqz16" localSheetId="7">#REF!</definedName>
    <definedName name="qzqzqz16" localSheetId="6">#REF!</definedName>
    <definedName name="qzqzqz16">#REF!</definedName>
    <definedName name="qzqzqz17" localSheetId="5">#REF!</definedName>
    <definedName name="qzqzqz17" localSheetId="7">#REF!</definedName>
    <definedName name="qzqzqz17" localSheetId="6">#REF!</definedName>
    <definedName name="qzqzqz17">#REF!</definedName>
    <definedName name="qzqzqz18" localSheetId="5">#REF!</definedName>
    <definedName name="qzqzqz18" localSheetId="7">#REF!</definedName>
    <definedName name="qzqzqz18" localSheetId="6">#REF!</definedName>
    <definedName name="qzqzqz18">#REF!</definedName>
    <definedName name="qzqzqz19" localSheetId="5">#REF!</definedName>
    <definedName name="qzqzqz19" localSheetId="7">#REF!</definedName>
    <definedName name="qzqzqz19" localSheetId="6">#REF!</definedName>
    <definedName name="qzqzqz19">#REF!</definedName>
    <definedName name="qzqzqz20" localSheetId="5">#REF!</definedName>
    <definedName name="qzqzqz20" localSheetId="7">#REF!</definedName>
    <definedName name="qzqzqz20" localSheetId="6">#REF!</definedName>
    <definedName name="qzqzqz20">#REF!</definedName>
    <definedName name="qzqzqz21" localSheetId="5">#REF!</definedName>
    <definedName name="qzqzqz21" localSheetId="7">#REF!</definedName>
    <definedName name="qzqzqz21" localSheetId="6">#REF!</definedName>
    <definedName name="qzqzqz21">#REF!</definedName>
    <definedName name="qzqzqz22" localSheetId="5">#REF!</definedName>
    <definedName name="qzqzqz22" localSheetId="7">#REF!</definedName>
    <definedName name="qzqzqz22" localSheetId="6">#REF!</definedName>
    <definedName name="qzqzqz22">#REF!</definedName>
    <definedName name="qzqzqz23" localSheetId="5">#REF!</definedName>
    <definedName name="qzqzqz23" localSheetId="7">#REF!</definedName>
    <definedName name="qzqzqz23" localSheetId="6">#REF!</definedName>
    <definedName name="qzqzqz23">#REF!</definedName>
    <definedName name="qzqzqz24" localSheetId="5">#REF!</definedName>
    <definedName name="qzqzqz24" localSheetId="7">#REF!</definedName>
    <definedName name="qzqzqz24" localSheetId="6">#REF!</definedName>
    <definedName name="qzqzqz24">#REF!</definedName>
    <definedName name="qzqzqz25" localSheetId="5">#REF!</definedName>
    <definedName name="qzqzqz25" localSheetId="7">#REF!</definedName>
    <definedName name="qzqzqz25" localSheetId="6">#REF!</definedName>
    <definedName name="qzqzqz25">#REF!</definedName>
    <definedName name="qzqzqz26" localSheetId="5">#REF!</definedName>
    <definedName name="qzqzqz26" localSheetId="7">#REF!</definedName>
    <definedName name="qzqzqz26" localSheetId="6">#REF!</definedName>
    <definedName name="qzqzqz26">#REF!</definedName>
    <definedName name="qzqzqz27" localSheetId="5">#REF!</definedName>
    <definedName name="qzqzqz27" localSheetId="7">#REF!</definedName>
    <definedName name="qzqzqz27" localSheetId="6">#REF!</definedName>
    <definedName name="qzqzqz27">#REF!</definedName>
    <definedName name="qzqzqz28" localSheetId="5">#REF!</definedName>
    <definedName name="qzqzqz28" localSheetId="7">#REF!</definedName>
    <definedName name="qzqzqz28" localSheetId="6">#REF!</definedName>
    <definedName name="qzqzqz28">#REF!</definedName>
    <definedName name="qzqzqz29" localSheetId="5">#REF!</definedName>
    <definedName name="qzqzqz29" localSheetId="7">#REF!</definedName>
    <definedName name="qzqzqz29" localSheetId="6">#REF!</definedName>
    <definedName name="qzqzqz29">#REF!</definedName>
    <definedName name="qzqzqz30" localSheetId="5">#REF!</definedName>
    <definedName name="qzqzqz30" localSheetId="7">#REF!</definedName>
    <definedName name="qzqzqz30" localSheetId="6">#REF!</definedName>
    <definedName name="qzqzqz30">#REF!</definedName>
    <definedName name="qzqzqz31" localSheetId="5">#REF!</definedName>
    <definedName name="qzqzqz31" localSheetId="7">#REF!</definedName>
    <definedName name="qzqzqz31" localSheetId="6">#REF!</definedName>
    <definedName name="qzqzqz31">#REF!</definedName>
    <definedName name="qzqzqz32" localSheetId="5">#REF!</definedName>
    <definedName name="qzqzqz32" localSheetId="7">#REF!</definedName>
    <definedName name="qzqzqz32" localSheetId="6">#REF!</definedName>
    <definedName name="qzqzqz32">#REF!</definedName>
    <definedName name="qzqzqz33" localSheetId="5">#REF!</definedName>
    <definedName name="qzqzqz33" localSheetId="7">#REF!</definedName>
    <definedName name="qzqzqz33" localSheetId="6">#REF!</definedName>
    <definedName name="qzqzqz33">#REF!</definedName>
    <definedName name="qzqzqz34" localSheetId="5">#REF!</definedName>
    <definedName name="qzqzqz34" localSheetId="7">#REF!</definedName>
    <definedName name="qzqzqz34" localSheetId="6">#REF!</definedName>
    <definedName name="qzqzqz34">#REF!</definedName>
    <definedName name="qzqzqz35" localSheetId="5">#REF!</definedName>
    <definedName name="qzqzqz35" localSheetId="7">#REF!</definedName>
    <definedName name="qzqzqz35" localSheetId="6">#REF!</definedName>
    <definedName name="qzqzqz35">#REF!</definedName>
    <definedName name="qzqzqz36" localSheetId="5">#REF!</definedName>
    <definedName name="qzqzqz36" localSheetId="7">#REF!</definedName>
    <definedName name="qzqzqz36" localSheetId="6">#REF!</definedName>
    <definedName name="qzqzqz36">#REF!</definedName>
    <definedName name="qzqzqz37" localSheetId="5">#REF!</definedName>
    <definedName name="qzqzqz37" localSheetId="7">#REF!</definedName>
    <definedName name="qzqzqz37" localSheetId="6">#REF!</definedName>
    <definedName name="qzqzqz37">#REF!</definedName>
    <definedName name="qzqzqz38" localSheetId="5">#REF!</definedName>
    <definedName name="qzqzqz38" localSheetId="7">#REF!</definedName>
    <definedName name="qzqzqz38" localSheetId="6">#REF!</definedName>
    <definedName name="qzqzqz38">#REF!</definedName>
    <definedName name="qzqzqz39" localSheetId="5">#REF!</definedName>
    <definedName name="qzqzqz39" localSheetId="7">#REF!</definedName>
    <definedName name="qzqzqz39" localSheetId="6">#REF!</definedName>
    <definedName name="qzqzqz39">#REF!</definedName>
    <definedName name="qzqzqz40" localSheetId="5">#REF!</definedName>
    <definedName name="qzqzqz40" localSheetId="7">#REF!</definedName>
    <definedName name="qzqzqz40" localSheetId="6">#REF!</definedName>
    <definedName name="qzqzqz40">#REF!</definedName>
    <definedName name="qzqzqz41" localSheetId="5">#REF!</definedName>
    <definedName name="qzqzqz41" localSheetId="7">#REF!</definedName>
    <definedName name="qzqzqz41" localSheetId="6">#REF!</definedName>
    <definedName name="qzqzqz41">#REF!</definedName>
    <definedName name="qzqzqz42" localSheetId="5">#REF!</definedName>
    <definedName name="qzqzqz42" localSheetId="7">#REF!</definedName>
    <definedName name="qzqzqz42" localSheetId="6">#REF!</definedName>
    <definedName name="qzqzqz42">#REF!</definedName>
    <definedName name="qzqzqz43" localSheetId="5">#REF!</definedName>
    <definedName name="qzqzqz43" localSheetId="7">#REF!</definedName>
    <definedName name="qzqzqz43" localSheetId="6">#REF!</definedName>
    <definedName name="qzqzqz43">#REF!</definedName>
    <definedName name="qzqzqz44" localSheetId="5">#REF!</definedName>
    <definedName name="qzqzqz44" localSheetId="7">#REF!</definedName>
    <definedName name="qzqzqz44" localSheetId="6">#REF!</definedName>
    <definedName name="qzqzqz44">#REF!</definedName>
    <definedName name="qzqzqz45" localSheetId="5">#REF!</definedName>
    <definedName name="qzqzqz45" localSheetId="7">#REF!</definedName>
    <definedName name="qzqzqz45" localSheetId="6">#REF!</definedName>
    <definedName name="qzqzqz45">#REF!</definedName>
    <definedName name="qzqzqz46" localSheetId="5">#REF!</definedName>
    <definedName name="qzqzqz46" localSheetId="7">#REF!</definedName>
    <definedName name="qzqzqz46" localSheetId="6">#REF!</definedName>
    <definedName name="qzqzqz46">#REF!</definedName>
    <definedName name="qzqzqz47" localSheetId="5">#REF!</definedName>
    <definedName name="qzqzqz47" localSheetId="7">#REF!</definedName>
    <definedName name="qzqzqz47" localSheetId="6">#REF!</definedName>
    <definedName name="qzqzqz47">#REF!</definedName>
    <definedName name="qzqzqz48" localSheetId="5">#REF!</definedName>
    <definedName name="qzqzqz48" localSheetId="7">#REF!</definedName>
    <definedName name="qzqzqz48" localSheetId="6">#REF!</definedName>
    <definedName name="qzqzqz48">#REF!</definedName>
    <definedName name="qzqzqz49" localSheetId="5">#REF!</definedName>
    <definedName name="qzqzqz49" localSheetId="7">#REF!</definedName>
    <definedName name="qzqzqz49" localSheetId="6">#REF!</definedName>
    <definedName name="qzqzqz49">#REF!</definedName>
    <definedName name="qzqzqz50" localSheetId="5">#REF!</definedName>
    <definedName name="qzqzqz50" localSheetId="7">#REF!</definedName>
    <definedName name="qzqzqz50" localSheetId="6">#REF!</definedName>
    <definedName name="qzqzqz50">#REF!</definedName>
    <definedName name="qzqzqz51" localSheetId="5">#REF!</definedName>
    <definedName name="qzqzqz51" localSheetId="7">#REF!</definedName>
    <definedName name="qzqzqz51" localSheetId="6">#REF!</definedName>
    <definedName name="qzqzqz51">#REF!</definedName>
    <definedName name="qzqzqz52" localSheetId="5">#REF!</definedName>
    <definedName name="qzqzqz52" localSheetId="7">#REF!</definedName>
    <definedName name="qzqzqz52" localSheetId="6">#REF!</definedName>
    <definedName name="qzqzqz52">#REF!</definedName>
    <definedName name="qzqzqz53" localSheetId="5">#REF!</definedName>
    <definedName name="qzqzqz53" localSheetId="7">#REF!</definedName>
    <definedName name="qzqzqz53" localSheetId="6">#REF!</definedName>
    <definedName name="qzqzqz53">#REF!</definedName>
    <definedName name="qzqzqz54" localSheetId="5">#REF!</definedName>
    <definedName name="qzqzqz54" localSheetId="7">#REF!</definedName>
    <definedName name="qzqzqz54" localSheetId="6">#REF!</definedName>
    <definedName name="qzqzqz54">#REF!</definedName>
    <definedName name="qzqzqz55" localSheetId="5">#REF!</definedName>
    <definedName name="qzqzqz55" localSheetId="7">#REF!</definedName>
    <definedName name="qzqzqz55" localSheetId="6">#REF!</definedName>
    <definedName name="qzqzqz55">#REF!</definedName>
    <definedName name="qzqzqz56" localSheetId="5">#REF!</definedName>
    <definedName name="qzqzqz56" localSheetId="7">#REF!</definedName>
    <definedName name="qzqzqz56" localSheetId="6">#REF!</definedName>
    <definedName name="qzqzqz56">#REF!</definedName>
    <definedName name="qzqzqz57" localSheetId="5">#REF!</definedName>
    <definedName name="qzqzqz57" localSheetId="7">#REF!</definedName>
    <definedName name="qzqzqz57" localSheetId="6">#REF!</definedName>
    <definedName name="qzqzqz57">#REF!</definedName>
    <definedName name="qzqzqz58" localSheetId="5">#REF!</definedName>
    <definedName name="qzqzqz58" localSheetId="7">#REF!</definedName>
    <definedName name="qzqzqz58" localSheetId="6">#REF!</definedName>
    <definedName name="qzqzqz58">#REF!</definedName>
    <definedName name="qzqzqz59" localSheetId="5">#REF!</definedName>
    <definedName name="qzqzqz59" localSheetId="7">#REF!</definedName>
    <definedName name="qzqzqz59" localSheetId="6">#REF!</definedName>
    <definedName name="qzqzqz59">#REF!</definedName>
    <definedName name="qzqzqz6" localSheetId="5">#REF!</definedName>
    <definedName name="qzqzqz6" localSheetId="7">#REF!</definedName>
    <definedName name="qzqzqz6" localSheetId="6">#REF!</definedName>
    <definedName name="qzqzqz6">#REF!</definedName>
    <definedName name="qzqzqz60" localSheetId="5">#REF!</definedName>
    <definedName name="qzqzqz60" localSheetId="7">#REF!</definedName>
    <definedName name="qzqzqz60" localSheetId="6">#REF!</definedName>
    <definedName name="qzqzqz60">#REF!</definedName>
    <definedName name="qzqzqz61" localSheetId="5">#REF!</definedName>
    <definedName name="qzqzqz61" localSheetId="7">#REF!</definedName>
    <definedName name="qzqzqz61" localSheetId="6">#REF!</definedName>
    <definedName name="qzqzqz61">#REF!</definedName>
    <definedName name="qzqzqz7" localSheetId="5">#REF!</definedName>
    <definedName name="qzqzqz7" localSheetId="7">#REF!</definedName>
    <definedName name="qzqzqz7" localSheetId="6">#REF!</definedName>
    <definedName name="qzqzqz7">#REF!</definedName>
    <definedName name="qzqzqz8" localSheetId="5">#REF!</definedName>
    <definedName name="qzqzqz8" localSheetId="7">#REF!</definedName>
    <definedName name="qzqzqz8" localSheetId="6">#REF!</definedName>
    <definedName name="qzqzqz8">#REF!</definedName>
    <definedName name="qzqzqz9" localSheetId="5">#REF!</definedName>
    <definedName name="qzqzqz9" localSheetId="7">#REF!</definedName>
    <definedName name="qzqzqz9" localSheetId="6">#REF!</definedName>
    <definedName name="qzqzqz9">#REF!</definedName>
    <definedName name="rate_dep_acplant" localSheetId="5">#REF!</definedName>
    <definedName name="rate_dep_acplant" localSheetId="7">#REF!</definedName>
    <definedName name="rate_dep_acplant" localSheetId="6">#REF!</definedName>
    <definedName name="rate_dep_acplant">#REF!</definedName>
    <definedName name="rate_dep_building" localSheetId="5">#REF!</definedName>
    <definedName name="rate_dep_building" localSheetId="7">#REF!</definedName>
    <definedName name="rate_dep_building" localSheetId="6">#REF!</definedName>
    <definedName name="rate_dep_building">#REF!</definedName>
    <definedName name="rate_dep_computer" localSheetId="5">#REF!</definedName>
    <definedName name="rate_dep_computer" localSheetId="7">#REF!</definedName>
    <definedName name="rate_dep_computer" localSheetId="6">#REF!</definedName>
    <definedName name="rate_dep_computer">#REF!</definedName>
    <definedName name="rate_dep_ff" localSheetId="5">#REF!</definedName>
    <definedName name="rate_dep_ff" localSheetId="7">#REF!</definedName>
    <definedName name="rate_dep_ff" localSheetId="6">#REF!</definedName>
    <definedName name="rate_dep_ff">#REF!</definedName>
    <definedName name="rate_dep_land" localSheetId="5">#REF!</definedName>
    <definedName name="rate_dep_land" localSheetId="7">#REF!</definedName>
    <definedName name="rate_dep_land" localSheetId="6">#REF!</definedName>
    <definedName name="rate_dep_land">#REF!</definedName>
    <definedName name="rate_dep_manualentries" localSheetId="5">#REF!</definedName>
    <definedName name="rate_dep_manualentries" localSheetId="7">#REF!</definedName>
    <definedName name="rate_dep_manualentries" localSheetId="6">#REF!</definedName>
    <definedName name="rate_dep_manualentries">#REF!</definedName>
    <definedName name="rate_dep_moulddies" localSheetId="5">#REF!</definedName>
    <definedName name="rate_dep_moulddies" localSheetId="7">#REF!</definedName>
    <definedName name="rate_dep_moulddies" localSheetId="6">#REF!</definedName>
    <definedName name="rate_dep_moulddies">#REF!</definedName>
    <definedName name="rate_dep_off_equipment" localSheetId="5">#REF!</definedName>
    <definedName name="rate_dep_off_equipment" localSheetId="7">#REF!</definedName>
    <definedName name="rate_dep_off_equipment" localSheetId="6">#REF!</definedName>
    <definedName name="rate_dep_off_equipment">#REF!</definedName>
    <definedName name="rate_dep_plantequipment" localSheetId="5">#REF!</definedName>
    <definedName name="rate_dep_plantequipment" localSheetId="7">#REF!</definedName>
    <definedName name="rate_dep_plantequipment" localSheetId="6">#REF!</definedName>
    <definedName name="rate_dep_plantequipment">#REF!</definedName>
    <definedName name="rate_dep_trademarks" localSheetId="5">#REF!</definedName>
    <definedName name="rate_dep_trademarks" localSheetId="7">#REF!</definedName>
    <definedName name="rate_dep_trademarks" localSheetId="6">#REF!</definedName>
    <definedName name="rate_dep_trademarks">#REF!</definedName>
    <definedName name="rate_dep_vehicle" localSheetId="5">#REF!</definedName>
    <definedName name="rate_dep_vehicle" localSheetId="7">#REF!</definedName>
    <definedName name="rate_dep_vehicle" localSheetId="6">#REF!</definedName>
    <definedName name="rate_dep_vehicle">#REF!</definedName>
    <definedName name="Rate_Half" localSheetId="5">#REF!</definedName>
    <definedName name="Rate_Half" localSheetId="7">#REF!</definedName>
    <definedName name="Rate_Half" localSheetId="6">#REF!</definedName>
    <definedName name="Rate_Half">#REF!</definedName>
    <definedName name="Rate_Peak" localSheetId="5">#REF!</definedName>
    <definedName name="Rate_Peak" localSheetId="7">#REF!</definedName>
    <definedName name="Rate_Peak" localSheetId="6">#REF!</definedName>
    <definedName name="Rate_Peak">#REF!</definedName>
    <definedName name="Rate_Std" localSheetId="5">#REF!</definedName>
    <definedName name="Rate_Std" localSheetId="7">#REF!</definedName>
    <definedName name="Rate_Std" localSheetId="6">#REF!</definedName>
    <definedName name="Rate_Std">#REF!</definedName>
    <definedName name="ratio_adtax_revenues" localSheetId="5">#REF!</definedName>
    <definedName name="ratio_adtax_revenues" localSheetId="7">#REF!</definedName>
    <definedName name="ratio_adtax_revenues" localSheetId="6">#REF!</definedName>
    <definedName name="ratio_adtax_revenues">#REF!</definedName>
    <definedName name="ratio_displaycharges_revenues" localSheetId="5">#REF!</definedName>
    <definedName name="ratio_displaycharges_revenues" localSheetId="7">#REF!</definedName>
    <definedName name="ratio_displaycharges_revenues" localSheetId="6">#REF!</definedName>
    <definedName name="ratio_displaycharges_revenues">#REF!</definedName>
    <definedName name="ratio_hoardingexp_revenues" localSheetId="5">#REF!</definedName>
    <definedName name="ratio_hoardingexp_revenues" localSheetId="7">#REF!</definedName>
    <definedName name="ratio_hoardingexp_revenues" localSheetId="6">#REF!</definedName>
    <definedName name="ratio_hoardingexp_revenues">#REF!</definedName>
    <definedName name="ratio_illumcharges_revenues" localSheetId="5">#REF!</definedName>
    <definedName name="ratio_illumcharges_revenues" localSheetId="7">#REF!</definedName>
    <definedName name="ratio_illumcharges_revenues" localSheetId="6">#REF!</definedName>
    <definedName name="ratio_illumcharges_revenues">#REF!</definedName>
    <definedName name="ratio_maintcharges_revenues" localSheetId="5">#REF!</definedName>
    <definedName name="ratio_maintcharges_revenues" localSheetId="7">#REF!</definedName>
    <definedName name="ratio_maintcharges_revenues" localSheetId="6">#REF!</definedName>
    <definedName name="ratio_maintcharges_revenues">#REF!</definedName>
    <definedName name="ratio_paintingcharges_revenues" localSheetId="5">#REF!</definedName>
    <definedName name="ratio_paintingcharges_revenues" localSheetId="7">#REF!</definedName>
    <definedName name="ratio_paintingcharges_revenues" localSheetId="6">#REF!</definedName>
    <definedName name="ratio_paintingcharges_revenues">#REF!</definedName>
    <definedName name="RawData" localSheetId="5">#REF!</definedName>
    <definedName name="RawData" localSheetId="7">#REF!</definedName>
    <definedName name="RawData" localSheetId="6">#REF!</definedName>
    <definedName name="RawData">#REF!</definedName>
    <definedName name="RawHeader" localSheetId="5">#REF!</definedName>
    <definedName name="RawHeader" localSheetId="7">#REF!</definedName>
    <definedName name="RawHeader" localSheetId="6">#REF!</definedName>
    <definedName name="RawHeader">#REF!</definedName>
    <definedName name="Realisations_salevalue" localSheetId="5">#REF!</definedName>
    <definedName name="Realisations_salevalue" localSheetId="7">#REF!</definedName>
    <definedName name="Realisations_salevalue" localSheetId="6">#REF!</definedName>
    <definedName name="Realisations_salevalue">#REF!</definedName>
    <definedName name="Rec" localSheetId="5">#REF!</definedName>
    <definedName name="Rec" localSheetId="7">#REF!</definedName>
    <definedName name="Rec" localSheetId="6">#REF!</definedName>
    <definedName name="Rec">#REF!</definedName>
    <definedName name="recon" localSheetId="5">#REF!</definedName>
    <definedName name="recon" localSheetId="7">#REF!</definedName>
    <definedName name="recon" localSheetId="6">#REF!</definedName>
    <definedName name="recon">#REF!</definedName>
    <definedName name="redep" localSheetId="5">#REF!</definedName>
    <definedName name="redep" localSheetId="7">#REF!</definedName>
    <definedName name="redep" localSheetId="6">#REF!</definedName>
    <definedName name="redep">#REF!</definedName>
    <definedName name="Reductioningrowthrate" localSheetId="5">#REF!</definedName>
    <definedName name="Reductioningrowthrate" localSheetId="7">#REF!</definedName>
    <definedName name="Reductioningrowthrate" localSheetId="6">#REF!</definedName>
    <definedName name="Reductioningrowthrate">#REF!</definedName>
    <definedName name="Ref_6" localSheetId="5">#REF!</definedName>
    <definedName name="Ref_6" localSheetId="7">#REF!</definedName>
    <definedName name="Ref_6" localSheetId="6">#REF!</definedName>
    <definedName name="Ref_6">#REF!</definedName>
    <definedName name="Ref_8" localSheetId="5">#REF!</definedName>
    <definedName name="Ref_8" localSheetId="7">#REF!</definedName>
    <definedName name="Ref_8" localSheetId="6">#REF!</definedName>
    <definedName name="Ref_8">#REF!</definedName>
    <definedName name="Ref_9" localSheetId="5">#REF!</definedName>
    <definedName name="Ref_9" localSheetId="7">#REF!</definedName>
    <definedName name="Ref_9" localSheetId="6">#REF!</definedName>
    <definedName name="Ref_9">#REF!</definedName>
    <definedName name="Refund" localSheetId="5">#REF!</definedName>
    <definedName name="Refund" localSheetId="7">#REF!</definedName>
    <definedName name="Refund" localSheetId="6">#REF!</definedName>
    <definedName name="Refund">#REF!</definedName>
    <definedName name="RegenCost" localSheetId="5">#REF!</definedName>
    <definedName name="RegenCost" localSheetId="7">#REF!</definedName>
    <definedName name="RegenCost" localSheetId="6">#REF!</definedName>
    <definedName name="RegenCost">#REF!</definedName>
    <definedName name="rentadv" localSheetId="5">#REF!</definedName>
    <definedName name="rentadv" localSheetId="7">#REF!</definedName>
    <definedName name="rentadv" localSheetId="6">#REF!</definedName>
    <definedName name="rentadv">#REF!</definedName>
    <definedName name="repayment" localSheetId="5">#REF!</definedName>
    <definedName name="repayment" localSheetId="7">#REF!</definedName>
    <definedName name="repayment" localSheetId="6">#REF!</definedName>
    <definedName name="repayment">#REF!</definedName>
    <definedName name="Residual_difference" localSheetId="5">#REF!</definedName>
    <definedName name="Residual_difference" localSheetId="7">#REF!</definedName>
    <definedName name="Residual_difference" localSheetId="6">#REF!</definedName>
    <definedName name="Residual_difference">#REF!</definedName>
    <definedName name="restorationcost" localSheetId="5">#REF!</definedName>
    <definedName name="restorationcost" localSheetId="7">#REF!</definedName>
    <definedName name="restorationcost" localSheetId="6">#REF!</definedName>
    <definedName name="restorationcost">#REF!</definedName>
    <definedName name="rev_del_bqs" localSheetId="5">#REF!</definedName>
    <definedName name="rev_del_bqs" localSheetId="7">#REF!</definedName>
    <definedName name="rev_del_bqs" localSheetId="6">#REF!</definedName>
    <definedName name="rev_del_bqs">#REF!</definedName>
    <definedName name="rev_del_dmrc1" localSheetId="5">#REF!</definedName>
    <definedName name="rev_del_dmrc1" localSheetId="7">#REF!</definedName>
    <definedName name="rev_del_dmrc1" localSheetId="6">#REF!</definedName>
    <definedName name="rev_del_dmrc1">#REF!</definedName>
    <definedName name="rev_del_dmrc2" localSheetId="5">#REF!</definedName>
    <definedName name="rev_del_dmrc2" localSheetId="7">#REF!</definedName>
    <definedName name="rev_del_dmrc2" localSheetId="6">#REF!</definedName>
    <definedName name="rev_del_dmrc2">#REF!</definedName>
    <definedName name="rev_del_dmrc3" localSheetId="5">#REF!</definedName>
    <definedName name="rev_del_dmrc3" localSheetId="7">#REF!</definedName>
    <definedName name="rev_del_dmrc3" localSheetId="6">#REF!</definedName>
    <definedName name="rev_del_dmrc3">#REF!</definedName>
    <definedName name="rev_del_dmrc4" localSheetId="5">#REF!</definedName>
    <definedName name="rev_del_dmrc4" localSheetId="7">#REF!</definedName>
    <definedName name="rev_del_dmrc4" localSheetId="6">#REF!</definedName>
    <definedName name="rev_del_dmrc4">#REF!</definedName>
    <definedName name="rev_del_hoarding" localSheetId="5">#REF!</definedName>
    <definedName name="rev_del_hoarding" localSheetId="7">#REF!</definedName>
    <definedName name="rev_del_hoarding" localSheetId="6">#REF!</definedName>
    <definedName name="rev_del_hoarding">#REF!</definedName>
    <definedName name="rev_del_mcd1" localSheetId="5">#REF!</definedName>
    <definedName name="rev_del_mcd1" localSheetId="7">#REF!</definedName>
    <definedName name="rev_del_mcd1" localSheetId="6">#REF!</definedName>
    <definedName name="rev_del_mcd1">#REF!</definedName>
    <definedName name="rev_del_mcd2" localSheetId="5">#REF!</definedName>
    <definedName name="rev_del_mcd2" localSheetId="7">#REF!</definedName>
    <definedName name="rev_del_mcd2" localSheetId="6">#REF!</definedName>
    <definedName name="rev_del_mcd2">#REF!</definedName>
    <definedName name="rev_del_mcd3" localSheetId="5">#REF!</definedName>
    <definedName name="rev_del_mcd3" localSheetId="7">#REF!</definedName>
    <definedName name="rev_del_mcd3" localSheetId="6">#REF!</definedName>
    <definedName name="rev_del_mcd3">#REF!</definedName>
    <definedName name="rev_del_mcd4" localSheetId="5">#REF!</definedName>
    <definedName name="rev_del_mcd4" localSheetId="7">#REF!</definedName>
    <definedName name="rev_del_mcd4" localSheetId="6">#REF!</definedName>
    <definedName name="rev_del_mcd4">#REF!</definedName>
    <definedName name="rev_del_mcd5" localSheetId="5">#REF!</definedName>
    <definedName name="rev_del_mcd5" localSheetId="7">#REF!</definedName>
    <definedName name="rev_del_mcd5" localSheetId="6">#REF!</definedName>
    <definedName name="rev_del_mcd5">#REF!</definedName>
    <definedName name="rev_del_nrdd" localSheetId="5">#REF!</definedName>
    <definedName name="rev_del_nrdd" localSheetId="7">#REF!</definedName>
    <definedName name="rev_del_nrdd" localSheetId="6">#REF!</definedName>
    <definedName name="rev_del_nrdd">#REF!</definedName>
    <definedName name="rev_del_utility" localSheetId="5">#REF!</definedName>
    <definedName name="rev_del_utility" localSheetId="7">#REF!</definedName>
    <definedName name="rev_del_utility" localSheetId="6">#REF!</definedName>
    <definedName name="rev_del_utility">#REF!</definedName>
    <definedName name="rev_kol_bqs" localSheetId="5">#REF!</definedName>
    <definedName name="rev_kol_bqs" localSheetId="7">#REF!</definedName>
    <definedName name="rev_kol_bqs" localSheetId="6">#REF!</definedName>
    <definedName name="rev_kol_bqs">#REF!</definedName>
    <definedName name="rev_kol_hoarding" localSheetId="5">#REF!</definedName>
    <definedName name="rev_kol_hoarding" localSheetId="7">#REF!</definedName>
    <definedName name="rev_kol_hoarding" localSheetId="6">#REF!</definedName>
    <definedName name="rev_kol_hoarding">#REF!</definedName>
    <definedName name="rev_kol_kiosk" localSheetId="5">#REF!</definedName>
    <definedName name="rev_kol_kiosk" localSheetId="7">#REF!</definedName>
    <definedName name="rev_kol_kiosk" localSheetId="6">#REF!</definedName>
    <definedName name="rev_kol_kiosk">#REF!</definedName>
    <definedName name="rev_kol_mpillars" localSheetId="5">#REF!</definedName>
    <definedName name="rev_kol_mpillars" localSheetId="7">#REF!</definedName>
    <definedName name="rev_kol_mpillars" localSheetId="6">#REF!</definedName>
    <definedName name="rev_kol_mpillars">#REF!</definedName>
    <definedName name="rev_kol_pillarwrap" localSheetId="5">#REF!</definedName>
    <definedName name="rev_kol_pillarwrap" localSheetId="7">#REF!</definedName>
    <definedName name="rev_kol_pillarwrap" localSheetId="6">#REF!</definedName>
    <definedName name="rev_kol_pillarwrap">#REF!</definedName>
    <definedName name="rev_mum_bestbus" localSheetId="5">#REF!</definedName>
    <definedName name="rev_mum_bestbus" localSheetId="7">#REF!</definedName>
    <definedName name="rev_mum_bestbus" localSheetId="6">#REF!</definedName>
    <definedName name="rev_mum_bestbus">#REF!</definedName>
    <definedName name="rev_mum_bqs" localSheetId="5">#REF!</definedName>
    <definedName name="rev_mum_bqs" localSheetId="7">#REF!</definedName>
    <definedName name="rev_mum_bqs" localSheetId="6">#REF!</definedName>
    <definedName name="rev_mum_bqs">#REF!</definedName>
    <definedName name="rev_mum_hoarding" localSheetId="5">#REF!</definedName>
    <definedName name="rev_mum_hoarding" localSheetId="7">#REF!</definedName>
    <definedName name="rev_mum_hoarding" localSheetId="6">#REF!</definedName>
    <definedName name="rev_mum_hoarding">#REF!</definedName>
    <definedName name="rev_mum_kiosk" localSheetId="5">#REF!</definedName>
    <definedName name="rev_mum_kiosk" localSheetId="7">#REF!</definedName>
    <definedName name="rev_mum_kiosk" localSheetId="6">#REF!</definedName>
    <definedName name="rev_mum_kiosk">#REF!</definedName>
    <definedName name="reva" localSheetId="5">#REF!</definedName>
    <definedName name="reva" localSheetId="7">#REF!</definedName>
    <definedName name="reva" localSheetId="6">#REF!</definedName>
    <definedName name="reva">#REF!</definedName>
    <definedName name="revloss1anoncolocation" localSheetId="5">#REF!</definedName>
    <definedName name="revloss1anoncolocation" localSheetId="7">#REF!</definedName>
    <definedName name="revloss1anoncolocation" localSheetId="6">#REF!</definedName>
    <definedName name="revloss1anoncolocation">#REF!</definedName>
    <definedName name="revloss1bnoncolocation" localSheetId="5">#REF!</definedName>
    <definedName name="revloss1bnoncolocation" localSheetId="7">#REF!</definedName>
    <definedName name="revloss1bnoncolocation" localSheetId="6">#REF!</definedName>
    <definedName name="revloss1bnoncolocation">#REF!</definedName>
    <definedName name="revloss2noncolocation" localSheetId="5">#REF!</definedName>
    <definedName name="revloss2noncolocation" localSheetId="7">#REF!</definedName>
    <definedName name="revloss2noncolocation" localSheetId="6">#REF!</definedName>
    <definedName name="revloss2noncolocation">#REF!</definedName>
    <definedName name="Revq1" localSheetId="5">#REF!</definedName>
    <definedName name="Revq1" localSheetId="7">#REF!</definedName>
    <definedName name="Revq1" localSheetId="6">#REF!</definedName>
    <definedName name="Revq1">#REF!</definedName>
    <definedName name="revq2" localSheetId="5">#REF!</definedName>
    <definedName name="revq2" localSheetId="7">#REF!</definedName>
    <definedName name="revq2" localSheetId="6">#REF!</definedName>
    <definedName name="revq2">#REF!</definedName>
    <definedName name="revq3" localSheetId="5">#REF!</definedName>
    <definedName name="revq3" localSheetId="7">#REF!</definedName>
    <definedName name="revq3" localSheetId="6">#REF!</definedName>
    <definedName name="revq3">#REF!</definedName>
    <definedName name="revq4" localSheetId="5">#REF!</definedName>
    <definedName name="revq4" localSheetId="7">#REF!</definedName>
    <definedName name="revq4" localSheetId="6">#REF!</definedName>
    <definedName name="revq4">#REF!</definedName>
    <definedName name="revshare" localSheetId="5">#REF!</definedName>
    <definedName name="revshare" localSheetId="7">#REF!</definedName>
    <definedName name="revshare" localSheetId="6">#REF!</definedName>
    <definedName name="revshare">#REF!</definedName>
    <definedName name="revsharebasis" localSheetId="5">#REF!</definedName>
    <definedName name="revsharebasis" localSheetId="7">#REF!</definedName>
    <definedName name="revsharebasis" localSheetId="6">#REF!</definedName>
    <definedName name="revsharebasis">#REF!</definedName>
    <definedName name="revshareSDCAtfc" localSheetId="5">#REF!</definedName>
    <definedName name="revshareSDCAtfc" localSheetId="7">#REF!</definedName>
    <definedName name="revshareSDCAtfc" localSheetId="6">#REF!</definedName>
    <definedName name="revshareSDCAtfc">#REF!</definedName>
    <definedName name="rilmkt" localSheetId="5">#REF!</definedName>
    <definedName name="rilmkt" localSheetId="7">#REF!</definedName>
    <definedName name="rilmkt" localSheetId="6">#REF!</definedName>
    <definedName name="rilmkt">#REF!</definedName>
    <definedName name="RMB" localSheetId="5">#REF!</definedName>
    <definedName name="RMB" localSheetId="7">#REF!</definedName>
    <definedName name="RMB" localSheetId="6">#REF!</definedName>
    <definedName name="RMB">#REF!</definedName>
    <definedName name="RO?" localSheetId="5">#REF!</definedName>
    <definedName name="RO?" localSheetId="7">#REF!</definedName>
    <definedName name="RO?" localSheetId="6">#REF!</definedName>
    <definedName name="RO?">#REF!</definedName>
    <definedName name="RunDate" localSheetId="5">#REF!</definedName>
    <definedName name="RunDate" localSheetId="7">#REF!</definedName>
    <definedName name="RunDate" localSheetId="6">#REF!</definedName>
    <definedName name="RunDate">#REF!</definedName>
    <definedName name="RunName" localSheetId="5">#REF!</definedName>
    <definedName name="RunName" localSheetId="7">#REF!</definedName>
    <definedName name="RunName" localSheetId="6">#REF!</definedName>
    <definedName name="RunName">#REF!</definedName>
    <definedName name="Ruraltitle" localSheetId="5">#REF!</definedName>
    <definedName name="Ruraltitle" localSheetId="7">#REF!</definedName>
    <definedName name="Ruraltitle" localSheetId="6">#REF!</definedName>
    <definedName name="Ruraltitle">#REF!</definedName>
    <definedName name="s" localSheetId="5">{"'subnets'!$A$1:$F$20"}</definedName>
    <definedName name="s" localSheetId="8">{"'subnets'!$A$1:$F$20"}</definedName>
    <definedName name="s" localSheetId="16">{"'subnets'!$A$1:$F$20"}</definedName>
    <definedName name="s" localSheetId="7">{"'subnets'!$A$1:$F$20"}</definedName>
    <definedName name="s" localSheetId="2">{"'subnets'!$A$1:$F$20"}</definedName>
    <definedName name="s" localSheetId="3">{"'subnets'!$A$1:$F$20"}</definedName>
    <definedName name="s" localSheetId="23">{"'subnets'!$A$1:$F$20"}</definedName>
    <definedName name="s" localSheetId="22">{"'subnets'!$A$1:$F$20"}</definedName>
    <definedName name="s" localSheetId="24">{"'subnets'!$A$1:$F$20"}</definedName>
    <definedName name="s" localSheetId="6">{"'subnets'!$A$1:$F$20"}</definedName>
    <definedName name="s" localSheetId="19">{"'subnets'!$A$1:$F$20"}</definedName>
    <definedName name="s" localSheetId="4">{"'subnets'!$A$1:$F$20"}</definedName>
    <definedName name="s" localSheetId="20">{"'subnets'!$A$1:$F$20"}</definedName>
    <definedName name="s" localSheetId="21">{"'subnets'!$A$1:$F$20"}</definedName>
    <definedName name="s" localSheetId="14">{"'subnets'!$A$1:$F$20"}</definedName>
    <definedName name="s" localSheetId="13">{"'subnets'!$A$1:$F$20"}</definedName>
    <definedName name="s" localSheetId="12">{"'subnets'!$A$1:$F$20"}</definedName>
    <definedName name="s" localSheetId="11">{"'subnets'!$A$1:$F$20"}</definedName>
    <definedName name="s" localSheetId="9">{"'subnets'!$A$1:$F$20"}</definedName>
    <definedName name="s" localSheetId="15">{"'subnets'!$A$1:$F$20"}</definedName>
    <definedName name="s">{"'subnets'!$A$1:$F$20"}</definedName>
    <definedName name="S_AcctDes" localSheetId="5">#REF!</definedName>
    <definedName name="S_AcctDes" localSheetId="7">#REF!</definedName>
    <definedName name="S_AcctDes" localSheetId="6">#REF!</definedName>
    <definedName name="S_AcctDes">#REF!</definedName>
    <definedName name="S_AcctNum" localSheetId="5">#REF!</definedName>
    <definedName name="S_AcctNum" localSheetId="7">#REF!</definedName>
    <definedName name="S_AcctNum" localSheetId="6">#REF!</definedName>
    <definedName name="S_AcctNum">#REF!</definedName>
    <definedName name="S_Adjust" localSheetId="5">#REF!</definedName>
    <definedName name="S_Adjust" localSheetId="7">#REF!</definedName>
    <definedName name="S_Adjust" localSheetId="6">#REF!</definedName>
    <definedName name="S_Adjust">#REF!</definedName>
    <definedName name="S_Adjust_Data" localSheetId="5">#REF!</definedName>
    <definedName name="S_Adjust_Data" localSheetId="7">#REF!</definedName>
    <definedName name="S_Adjust_Data" localSheetId="6">#REF!</definedName>
    <definedName name="S_Adjust_Data">#REF!</definedName>
    <definedName name="S_Adjust_GT" localSheetId="5">#REF!</definedName>
    <definedName name="S_Adjust_GT" localSheetId="7">#REF!</definedName>
    <definedName name="S_Adjust_GT" localSheetId="6">#REF!</definedName>
    <definedName name="S_Adjust_GT">#REF!</definedName>
    <definedName name="S_AJE_Tot" localSheetId="5">#REF!</definedName>
    <definedName name="S_AJE_Tot" localSheetId="7">#REF!</definedName>
    <definedName name="S_AJE_Tot" localSheetId="6">#REF!</definedName>
    <definedName name="S_AJE_Tot">#REF!</definedName>
    <definedName name="S_AJE_Tot_Data" localSheetId="5">#REF!</definedName>
    <definedName name="S_AJE_Tot_Data" localSheetId="7">#REF!</definedName>
    <definedName name="S_AJE_Tot_Data" localSheetId="6">#REF!</definedName>
    <definedName name="S_AJE_Tot_Data">#REF!</definedName>
    <definedName name="S_AJE_Tot_GT" localSheetId="5">#REF!</definedName>
    <definedName name="S_AJE_Tot_GT" localSheetId="7">#REF!</definedName>
    <definedName name="S_AJE_Tot_GT" localSheetId="6">#REF!</definedName>
    <definedName name="S_AJE_Tot_GT">#REF!</definedName>
    <definedName name="S_CompNum" localSheetId="5">#REF!</definedName>
    <definedName name="S_CompNum" localSheetId="7">#REF!</definedName>
    <definedName name="S_CompNum" localSheetId="6">#REF!</definedName>
    <definedName name="S_CompNum">#REF!</definedName>
    <definedName name="S_CY_Beg" localSheetId="5">#REF!</definedName>
    <definedName name="S_CY_Beg" localSheetId="7">#REF!</definedName>
    <definedName name="S_CY_Beg" localSheetId="6">#REF!</definedName>
    <definedName name="S_CY_Beg">#REF!</definedName>
    <definedName name="S_CY_Beg_Data" localSheetId="5">#REF!</definedName>
    <definedName name="S_CY_Beg_Data" localSheetId="7">#REF!</definedName>
    <definedName name="S_CY_Beg_Data" localSheetId="6">#REF!</definedName>
    <definedName name="S_CY_Beg_Data">#REF!</definedName>
    <definedName name="S_CY_Beg_GT" localSheetId="5">#REF!</definedName>
    <definedName name="S_CY_Beg_GT" localSheetId="7">#REF!</definedName>
    <definedName name="S_CY_Beg_GT" localSheetId="6">#REF!</definedName>
    <definedName name="S_CY_Beg_GT">#REF!</definedName>
    <definedName name="S_CY_End" localSheetId="5">#REF!</definedName>
    <definedName name="S_CY_End" localSheetId="7">#REF!</definedName>
    <definedName name="S_CY_End" localSheetId="6">#REF!</definedName>
    <definedName name="S_CY_End">#REF!</definedName>
    <definedName name="S_CY_End_Data" localSheetId="5">#REF!</definedName>
    <definedName name="S_CY_End_Data" localSheetId="7">#REF!</definedName>
    <definedName name="S_CY_End_Data" localSheetId="6">#REF!</definedName>
    <definedName name="S_CY_End_Data">#REF!</definedName>
    <definedName name="S_CY_End_GT" localSheetId="5">#REF!</definedName>
    <definedName name="S_CY_End_GT" localSheetId="7">#REF!</definedName>
    <definedName name="S_CY_End_GT" localSheetId="6">#REF!</definedName>
    <definedName name="S_CY_End_GT">#REF!</definedName>
    <definedName name="S_Diff_Amt" localSheetId="5">#REF!</definedName>
    <definedName name="S_Diff_Amt" localSheetId="7">#REF!</definedName>
    <definedName name="S_Diff_Amt" localSheetId="6">#REF!</definedName>
    <definedName name="S_Diff_Amt">#REF!</definedName>
    <definedName name="S_Diff_Pct" localSheetId="5">#REF!</definedName>
    <definedName name="S_Diff_Pct" localSheetId="7">#REF!</definedName>
    <definedName name="S_Diff_Pct" localSheetId="6">#REF!</definedName>
    <definedName name="S_Diff_Pct">#REF!</definedName>
    <definedName name="S_GrpNum" localSheetId="5">#REF!</definedName>
    <definedName name="S_GrpNum" localSheetId="7">#REF!</definedName>
    <definedName name="S_GrpNum" localSheetId="6">#REF!</definedName>
    <definedName name="S_GrpNum">#REF!</definedName>
    <definedName name="S_Headings" localSheetId="5">#REF!</definedName>
    <definedName name="S_Headings" localSheetId="7">#REF!</definedName>
    <definedName name="S_Headings" localSheetId="6">#REF!</definedName>
    <definedName name="S_Headings">#REF!</definedName>
    <definedName name="S_KeyValue" localSheetId="5">#REF!</definedName>
    <definedName name="S_KeyValue" localSheetId="7">#REF!</definedName>
    <definedName name="S_KeyValue" localSheetId="6">#REF!</definedName>
    <definedName name="S_KeyValue">#REF!</definedName>
    <definedName name="S_LSRange1" localSheetId="5">#REF!</definedName>
    <definedName name="S_LSRange1" localSheetId="7">#REF!</definedName>
    <definedName name="S_LSRange1" localSheetId="6">#REF!</definedName>
    <definedName name="S_LSRange1">#REF!</definedName>
    <definedName name="S_LSRange1Balance" localSheetId="5">#REF!</definedName>
    <definedName name="S_LSRange1Balance" localSheetId="7">#REF!</definedName>
    <definedName name="S_LSRange1Balance" localSheetId="6">#REF!</definedName>
    <definedName name="S_LSRange1Balance">#REF!</definedName>
    <definedName name="S_LSRange1Balance1" localSheetId="5">#REF!</definedName>
    <definedName name="S_LSRange1Balance1" localSheetId="7">#REF!</definedName>
    <definedName name="S_LSRange1Balance1" localSheetId="6">#REF!</definedName>
    <definedName name="S_LSRange1Balance1">#REF!</definedName>
    <definedName name="S_LSRange1Balance2" localSheetId="5">#REF!</definedName>
    <definedName name="S_LSRange1Balance2" localSheetId="7">#REF!</definedName>
    <definedName name="S_LSRange1Balance2" localSheetId="6">#REF!</definedName>
    <definedName name="S_LSRange1Balance2">#REF!</definedName>
    <definedName name="S_LSRange1Balance3" localSheetId="5">#REF!</definedName>
    <definedName name="S_LSRange1Balance3" localSheetId="7">#REF!</definedName>
    <definedName name="S_LSRange1Balance3" localSheetId="6">#REF!</definedName>
    <definedName name="S_LSRange1Balance3">#REF!</definedName>
    <definedName name="S_LSRange2" localSheetId="5">#REF!</definedName>
    <definedName name="S_LSRange2" localSheetId="7">#REF!</definedName>
    <definedName name="S_LSRange2" localSheetId="6">#REF!</definedName>
    <definedName name="S_LSRange2">#REF!</definedName>
    <definedName name="S_LSRange2Balance" localSheetId="5">#REF!</definedName>
    <definedName name="S_LSRange2Balance" localSheetId="7">#REF!</definedName>
    <definedName name="S_LSRange2Balance" localSheetId="6">#REF!</definedName>
    <definedName name="S_LSRange2Balance">#REF!</definedName>
    <definedName name="S_LSRange2Balance1" localSheetId="5">#REF!</definedName>
    <definedName name="S_LSRange2Balance1" localSheetId="7">#REF!</definedName>
    <definedName name="S_LSRange2Balance1" localSheetId="6">#REF!</definedName>
    <definedName name="S_LSRange2Balance1">#REF!</definedName>
    <definedName name="S_LSRange2Balance2" localSheetId="5">#REF!</definedName>
    <definedName name="S_LSRange2Balance2" localSheetId="7">#REF!</definedName>
    <definedName name="S_LSRange2Balance2" localSheetId="6">#REF!</definedName>
    <definedName name="S_LSRange2Balance2">#REF!</definedName>
    <definedName name="S_LSRange2Balance3" localSheetId="5">#REF!</definedName>
    <definedName name="S_LSRange2Balance3" localSheetId="7">#REF!</definedName>
    <definedName name="S_LSRange2Balance3" localSheetId="6">#REF!</definedName>
    <definedName name="S_LSRange2Balance3">#REF!</definedName>
    <definedName name="S_LSRange3" localSheetId="5">#REF!</definedName>
    <definedName name="S_LSRange3" localSheetId="7">#REF!</definedName>
    <definedName name="S_LSRange3" localSheetId="6">#REF!</definedName>
    <definedName name="S_LSRange3">#REF!</definedName>
    <definedName name="S_LSRange3Balance" localSheetId="5">#REF!</definedName>
    <definedName name="S_LSRange3Balance" localSheetId="7">#REF!</definedName>
    <definedName name="S_LSRange3Balance" localSheetId="6">#REF!</definedName>
    <definedName name="S_LSRange3Balance">#REF!</definedName>
    <definedName name="S_LSRange3Balance1" localSheetId="5">#REF!</definedName>
    <definedName name="S_LSRange3Balance1" localSheetId="7">#REF!</definedName>
    <definedName name="S_LSRange3Balance1" localSheetId="6">#REF!</definedName>
    <definedName name="S_LSRange3Balance1">#REF!</definedName>
    <definedName name="S_LSRange3Balance2" localSheetId="5">#REF!</definedName>
    <definedName name="S_LSRange3Balance2" localSheetId="7">#REF!</definedName>
    <definedName name="S_LSRange3Balance2" localSheetId="6">#REF!</definedName>
    <definedName name="S_LSRange3Balance2">#REF!</definedName>
    <definedName name="S_LSRange3Balance3" localSheetId="5">#REF!</definedName>
    <definedName name="S_LSRange3Balance3" localSheetId="7">#REF!</definedName>
    <definedName name="S_LSRange3Balance3" localSheetId="6">#REF!</definedName>
    <definedName name="S_LSRange3Balance3">#REF!</definedName>
    <definedName name="S_LSRange4" localSheetId="5">#REF!</definedName>
    <definedName name="S_LSRange4" localSheetId="7">#REF!</definedName>
    <definedName name="S_LSRange4" localSheetId="6">#REF!</definedName>
    <definedName name="S_LSRange4">#REF!</definedName>
    <definedName name="S_LSRange4Balance" localSheetId="5">#REF!</definedName>
    <definedName name="S_LSRange4Balance" localSheetId="7">#REF!</definedName>
    <definedName name="S_LSRange4Balance" localSheetId="6">#REF!</definedName>
    <definedName name="S_LSRange4Balance">#REF!</definedName>
    <definedName name="S_LSRange4Balance1" localSheetId="5">#REF!</definedName>
    <definedName name="S_LSRange4Balance1" localSheetId="7">#REF!</definedName>
    <definedName name="S_LSRange4Balance1" localSheetId="6">#REF!</definedName>
    <definedName name="S_LSRange4Balance1">#REF!</definedName>
    <definedName name="S_LSRange4Balance2" localSheetId="5">#REF!</definedName>
    <definedName name="S_LSRange4Balance2" localSheetId="7">#REF!</definedName>
    <definedName name="S_LSRange4Balance2" localSheetId="6">#REF!</definedName>
    <definedName name="S_LSRange4Balance2">#REF!</definedName>
    <definedName name="S_LSRange4Balance3" localSheetId="5">#REF!</definedName>
    <definedName name="S_LSRange4Balance3" localSheetId="7">#REF!</definedName>
    <definedName name="S_LSRange4Balance3" localSheetId="6">#REF!</definedName>
    <definedName name="S_LSRange4Balance3">#REF!</definedName>
    <definedName name="S_LSRange5" localSheetId="5">#REF!</definedName>
    <definedName name="S_LSRange5" localSheetId="7">#REF!</definedName>
    <definedName name="S_LSRange5" localSheetId="6">#REF!</definedName>
    <definedName name="S_LSRange5">#REF!</definedName>
    <definedName name="S_LSRange5Balance" localSheetId="5">#REF!</definedName>
    <definedName name="S_LSRange5Balance" localSheetId="7">#REF!</definedName>
    <definedName name="S_LSRange5Balance" localSheetId="6">#REF!</definedName>
    <definedName name="S_LSRange5Balance">#REF!</definedName>
    <definedName name="S_LSRange5Balance1" localSheetId="5">#REF!</definedName>
    <definedName name="S_LSRange5Balance1" localSheetId="7">#REF!</definedName>
    <definedName name="S_LSRange5Balance1" localSheetId="6">#REF!</definedName>
    <definedName name="S_LSRange5Balance1">#REF!</definedName>
    <definedName name="S_LSRange5Balance2" localSheetId="5">#REF!</definedName>
    <definedName name="S_LSRange5Balance2" localSheetId="7">#REF!</definedName>
    <definedName name="S_LSRange5Balance2" localSheetId="6">#REF!</definedName>
    <definedName name="S_LSRange5Balance2">#REF!</definedName>
    <definedName name="S_LSRange5Balance3" localSheetId="5">#REF!</definedName>
    <definedName name="S_LSRange5Balance3" localSheetId="7">#REF!</definedName>
    <definedName name="S_LSRange5Balance3" localSheetId="6">#REF!</definedName>
    <definedName name="S_LSRange5Balance3">#REF!</definedName>
    <definedName name="S_LSRange6" localSheetId="5">#REF!</definedName>
    <definedName name="S_LSRange6" localSheetId="7">#REF!</definedName>
    <definedName name="S_LSRange6" localSheetId="6">#REF!</definedName>
    <definedName name="S_LSRange6">#REF!</definedName>
    <definedName name="S_LSRange6Balance" localSheetId="5">#REF!</definedName>
    <definedName name="S_LSRange6Balance" localSheetId="7">#REF!</definedName>
    <definedName name="S_LSRange6Balance" localSheetId="6">#REF!</definedName>
    <definedName name="S_LSRange6Balance">#REF!</definedName>
    <definedName name="S_LSRange6Balance1" localSheetId="5">#REF!</definedName>
    <definedName name="S_LSRange6Balance1" localSheetId="7">#REF!</definedName>
    <definedName name="S_LSRange6Balance1" localSheetId="6">#REF!</definedName>
    <definedName name="S_LSRange6Balance1">#REF!</definedName>
    <definedName name="S_LSRange6Balance2" localSheetId="5">#REF!</definedName>
    <definedName name="S_LSRange6Balance2" localSheetId="7">#REF!</definedName>
    <definedName name="S_LSRange6Balance2" localSheetId="6">#REF!</definedName>
    <definedName name="S_LSRange6Balance2">#REF!</definedName>
    <definedName name="S_LSRange6Balance3" localSheetId="5">#REF!</definedName>
    <definedName name="S_LSRange6Balance3" localSheetId="7">#REF!</definedName>
    <definedName name="S_LSRange6Balance3" localSheetId="6">#REF!</definedName>
    <definedName name="S_LSRange6Balance3">#REF!</definedName>
    <definedName name="S_LSRange7" localSheetId="5">#REF!</definedName>
    <definedName name="S_LSRange7" localSheetId="7">#REF!</definedName>
    <definedName name="S_LSRange7" localSheetId="6">#REF!</definedName>
    <definedName name="S_LSRange7">#REF!</definedName>
    <definedName name="S_LSRange7Balance" localSheetId="5">#REF!</definedName>
    <definedName name="S_LSRange7Balance" localSheetId="7">#REF!</definedName>
    <definedName name="S_LSRange7Balance" localSheetId="6">#REF!</definedName>
    <definedName name="S_LSRange7Balance">#REF!</definedName>
    <definedName name="S_LSRange7Balance1" localSheetId="5">#REF!</definedName>
    <definedName name="S_LSRange7Balance1" localSheetId="7">#REF!</definedName>
    <definedName name="S_LSRange7Balance1" localSheetId="6">#REF!</definedName>
    <definedName name="S_LSRange7Balance1">#REF!</definedName>
    <definedName name="S_LSRange7Balance2" localSheetId="5">#REF!</definedName>
    <definedName name="S_LSRange7Balance2" localSheetId="7">#REF!</definedName>
    <definedName name="S_LSRange7Balance2" localSheetId="6">#REF!</definedName>
    <definedName name="S_LSRange7Balance2">#REF!</definedName>
    <definedName name="S_LSRange7Balance3" localSheetId="5">#REF!</definedName>
    <definedName name="S_LSRange7Balance3" localSheetId="7">#REF!</definedName>
    <definedName name="S_LSRange7Balance3" localSheetId="6">#REF!</definedName>
    <definedName name="S_LSRange7Balance3">#REF!</definedName>
    <definedName name="S_LSRange8" localSheetId="5">#REF!</definedName>
    <definedName name="S_LSRange8" localSheetId="7">#REF!</definedName>
    <definedName name="S_LSRange8" localSheetId="6">#REF!</definedName>
    <definedName name="S_LSRange8">#REF!</definedName>
    <definedName name="S_LSRange8Balance" localSheetId="5">#REF!</definedName>
    <definedName name="S_LSRange8Balance" localSheetId="7">#REF!</definedName>
    <definedName name="S_LSRange8Balance" localSheetId="6">#REF!</definedName>
    <definedName name="S_LSRange8Balance">#REF!</definedName>
    <definedName name="S_LSRange8Balance1" localSheetId="5">#REF!</definedName>
    <definedName name="S_LSRange8Balance1" localSheetId="7">#REF!</definedName>
    <definedName name="S_LSRange8Balance1" localSheetId="6">#REF!</definedName>
    <definedName name="S_LSRange8Balance1">#REF!</definedName>
    <definedName name="S_LSRange8Balance2" localSheetId="5">#REF!</definedName>
    <definedName name="S_LSRange8Balance2" localSheetId="7">#REF!</definedName>
    <definedName name="S_LSRange8Balance2" localSheetId="6">#REF!</definedName>
    <definedName name="S_LSRange8Balance2">#REF!</definedName>
    <definedName name="S_LSRange8Balance3" localSheetId="5">#REF!</definedName>
    <definedName name="S_LSRange8Balance3" localSheetId="7">#REF!</definedName>
    <definedName name="S_LSRange8Balance3" localSheetId="6">#REF!</definedName>
    <definedName name="S_LSRange8Balance3">#REF!</definedName>
    <definedName name="S_LSRange9" localSheetId="5">#REF!</definedName>
    <definedName name="S_LSRange9" localSheetId="7">#REF!</definedName>
    <definedName name="S_LSRange9" localSheetId="6">#REF!</definedName>
    <definedName name="S_LSRange9">#REF!</definedName>
    <definedName name="S_LSRange9Balance" localSheetId="5">#REF!</definedName>
    <definedName name="S_LSRange9Balance" localSheetId="7">#REF!</definedName>
    <definedName name="S_LSRange9Balance" localSheetId="6">#REF!</definedName>
    <definedName name="S_LSRange9Balance">#REF!</definedName>
    <definedName name="S_LSRange9Balance1" localSheetId="5">#REF!</definedName>
    <definedName name="S_LSRange9Balance1" localSheetId="7">#REF!</definedName>
    <definedName name="S_LSRange9Balance1" localSheetId="6">#REF!</definedName>
    <definedName name="S_LSRange9Balance1">#REF!</definedName>
    <definedName name="S_LSRange9Balance2" localSheetId="5">#REF!</definedName>
    <definedName name="S_LSRange9Balance2" localSheetId="7">#REF!</definedName>
    <definedName name="S_LSRange9Balance2" localSheetId="6">#REF!</definedName>
    <definedName name="S_LSRange9Balance2">#REF!</definedName>
    <definedName name="S_LSRange9Balance3" localSheetId="5">#REF!</definedName>
    <definedName name="S_LSRange9Balance3" localSheetId="7">#REF!</definedName>
    <definedName name="S_LSRange9Balance3" localSheetId="6">#REF!</definedName>
    <definedName name="S_LSRange9Balance3">#REF!</definedName>
    <definedName name="S_PY_End" localSheetId="5">#REF!</definedName>
    <definedName name="S_PY_End" localSheetId="7">#REF!</definedName>
    <definedName name="S_PY_End" localSheetId="6">#REF!</definedName>
    <definedName name="S_PY_End">#REF!</definedName>
    <definedName name="S_PY_End_Data" localSheetId="5">#REF!</definedName>
    <definedName name="S_PY_End_Data" localSheetId="7">#REF!</definedName>
    <definedName name="S_PY_End_Data" localSheetId="6">#REF!</definedName>
    <definedName name="S_PY_End_Data">#REF!</definedName>
    <definedName name="S_PY_End_GT" localSheetId="5">#REF!</definedName>
    <definedName name="S_PY_End_GT" localSheetId="7">#REF!</definedName>
    <definedName name="S_PY_End_GT" localSheetId="6">#REF!</definedName>
    <definedName name="S_PY_End_GT">#REF!</definedName>
    <definedName name="S_RJE_Tot" localSheetId="5">#REF!</definedName>
    <definedName name="S_RJE_Tot" localSheetId="7">#REF!</definedName>
    <definedName name="S_RJE_Tot" localSheetId="6">#REF!</definedName>
    <definedName name="S_RJE_Tot">#REF!</definedName>
    <definedName name="S_RJE_Tot_Data" localSheetId="5">#REF!</definedName>
    <definedName name="S_RJE_Tot_Data" localSheetId="7">#REF!</definedName>
    <definedName name="S_RJE_Tot_Data" localSheetId="6">#REF!</definedName>
    <definedName name="S_RJE_Tot_Data">#REF!</definedName>
    <definedName name="S_RJE_Tot_GT" localSheetId="5">#REF!</definedName>
    <definedName name="S_RJE_Tot_GT" localSheetId="7">#REF!</definedName>
    <definedName name="S_RJE_Tot_GT" localSheetId="6">#REF!</definedName>
    <definedName name="S_RJE_Tot_GT">#REF!</definedName>
    <definedName name="S_RowNum" localSheetId="5">#REF!</definedName>
    <definedName name="S_RowNum" localSheetId="7">#REF!</definedName>
    <definedName name="S_RowNum" localSheetId="6">#REF!</definedName>
    <definedName name="S_RowNum">#REF!</definedName>
    <definedName name="S_Total" localSheetId="5">#REF!</definedName>
    <definedName name="S_Total" localSheetId="7">#REF!</definedName>
    <definedName name="S_Total" localSheetId="6">#REF!</definedName>
    <definedName name="S_Total">#REF!</definedName>
    <definedName name="S_Total1" localSheetId="5">#REF!</definedName>
    <definedName name="S_Total1" localSheetId="7">#REF!</definedName>
    <definedName name="S_Total1" localSheetId="6">#REF!</definedName>
    <definedName name="S_Total1">#REF!</definedName>
    <definedName name="S_Total2" localSheetId="5">#REF!</definedName>
    <definedName name="S_Total2" localSheetId="7">#REF!</definedName>
    <definedName name="S_Total2" localSheetId="6">#REF!</definedName>
    <definedName name="S_Total2">#REF!</definedName>
    <definedName name="S_Total3" localSheetId="5">#REF!</definedName>
    <definedName name="S_Total3" localSheetId="7">#REF!</definedName>
    <definedName name="S_Total3" localSheetId="6">#REF!</definedName>
    <definedName name="S_Total3">#REF!</definedName>
    <definedName name="sabi" localSheetId="5">#REF!</definedName>
    <definedName name="sabi" localSheetId="7">#REF!</definedName>
    <definedName name="sabi" localSheetId="6">#REF!</definedName>
    <definedName name="sabi">#REF!</definedName>
    <definedName name="salaryinhouse" localSheetId="5">#REF!</definedName>
    <definedName name="salaryinhouse" localSheetId="7">#REF!</definedName>
    <definedName name="salaryinhouse" localSheetId="6">#REF!</definedName>
    <definedName name="salaryinhouse">#REF!</definedName>
    <definedName name="salaryoutsourced" localSheetId="5">#REF!</definedName>
    <definedName name="salaryoutsourced" localSheetId="7">#REF!</definedName>
    <definedName name="salaryoutsourced" localSheetId="6">#REF!</definedName>
    <definedName name="salaryoutsourced">#REF!</definedName>
    <definedName name="SALEDETL" localSheetId="5">#REF!</definedName>
    <definedName name="SALEDETL" localSheetId="7">#REF!</definedName>
    <definedName name="SALEDETL" localSheetId="6">#REF!</definedName>
    <definedName name="SALEDETL">#REF!</definedName>
    <definedName name="SALES" localSheetId="5">#REF!</definedName>
    <definedName name="SALES" localSheetId="7">#REF!</definedName>
    <definedName name="SALES" localSheetId="6">#REF!</definedName>
    <definedName name="SALES">#REF!</definedName>
    <definedName name="SaveNewFile" localSheetId="5">#REF!</definedName>
    <definedName name="SaveNewFile" localSheetId="7">#REF!</definedName>
    <definedName name="SaveNewFile" localSheetId="6">#REF!</definedName>
    <definedName name="SaveNewFile">#REF!</definedName>
    <definedName name="SaveWorkbookNo">#N/A</definedName>
    <definedName name="SaveWorkbookYes">#N/A</definedName>
    <definedName name="sc" localSheetId="5">#REF!</definedName>
    <definedName name="sc" localSheetId="7">#REF!</definedName>
    <definedName name="sc" localSheetId="6">#REF!</definedName>
    <definedName name="sc">#REF!</definedName>
    <definedName name="scaleupfactor" localSheetId="5">#REF!</definedName>
    <definedName name="scaleupfactor" localSheetId="7">#REF!</definedName>
    <definedName name="scaleupfactor" localSheetId="6">#REF!</definedName>
    <definedName name="scaleupfactor">#REF!</definedName>
    <definedName name="Sch_1_2_3" localSheetId="5">#REF!</definedName>
    <definedName name="Sch_1_2_3" localSheetId="7">#REF!</definedName>
    <definedName name="Sch_1_2_3" localSheetId="6">#REF!</definedName>
    <definedName name="Sch_1_2_3">#REF!</definedName>
    <definedName name="Sch_11_12" localSheetId="5">#REF!</definedName>
    <definedName name="Sch_11_12" localSheetId="7">#REF!</definedName>
    <definedName name="Sch_11_12" localSheetId="6">#REF!</definedName>
    <definedName name="Sch_11_12">#REF!</definedName>
    <definedName name="Sch_13" localSheetId="5">#REF!</definedName>
    <definedName name="Sch_13" localSheetId="7">#REF!</definedName>
    <definedName name="Sch_13" localSheetId="6">#REF!</definedName>
    <definedName name="Sch_13">#REF!</definedName>
    <definedName name="Sch_5_6_7" localSheetId="5">#REF!</definedName>
    <definedName name="Sch_5_6_7" localSheetId="7">#REF!</definedName>
    <definedName name="Sch_5_6_7" localSheetId="6">#REF!</definedName>
    <definedName name="Sch_5_6_7">#REF!</definedName>
    <definedName name="Sch_8_9_10" localSheetId="5">#REF!</definedName>
    <definedName name="Sch_8_9_10" localSheetId="7">#REF!</definedName>
    <definedName name="Sch_8_9_10" localSheetId="6">#REF!</definedName>
    <definedName name="Sch_8_9_10">#REF!</definedName>
    <definedName name="Sch11to13" localSheetId="5">#REF!</definedName>
    <definedName name="Sch11to13" localSheetId="7">#REF!</definedName>
    <definedName name="Sch11to13" localSheetId="6">#REF!</definedName>
    <definedName name="Sch11to13">#REF!</definedName>
    <definedName name="Sch1to5" localSheetId="5">#REF!</definedName>
    <definedName name="Sch1to5" localSheetId="7">#REF!</definedName>
    <definedName name="Sch1to5" localSheetId="6">#REF!</definedName>
    <definedName name="Sch1to5">#REF!</definedName>
    <definedName name="Sch6to10" localSheetId="5">#REF!</definedName>
    <definedName name="Sch6to10" localSheetId="7">#REF!</definedName>
    <definedName name="Sch6to10" localSheetId="6">#REF!</definedName>
    <definedName name="Sch6to10">#REF!</definedName>
    <definedName name="scs" localSheetId="5">#REF!</definedName>
    <definedName name="scs" localSheetId="7">#REF!</definedName>
    <definedName name="scs" localSheetId="6">#REF!</definedName>
    <definedName name="scs">#REF!</definedName>
    <definedName name="SDASD" localSheetId="5">#REF!</definedName>
    <definedName name="SDASD" localSheetId="7">#REF!</definedName>
    <definedName name="SDASD" localSheetId="6">#REF!</definedName>
    <definedName name="SDASD">#REF!</definedName>
    <definedName name="sdcacarriagetfc1a" localSheetId="5">#REF!</definedName>
    <definedName name="sdcacarriagetfc1a" localSheetId="7">#REF!</definedName>
    <definedName name="sdcacarriagetfc1a" localSheetId="6">#REF!</definedName>
    <definedName name="sdcacarriagetfc1a">#REF!</definedName>
    <definedName name="sdcacarriagetfc1b" localSheetId="5">#REF!</definedName>
    <definedName name="sdcacarriagetfc1b" localSheetId="7">#REF!</definedName>
    <definedName name="sdcacarriagetfc1b" localSheetId="6">#REF!</definedName>
    <definedName name="sdcacarriagetfc1b">#REF!</definedName>
    <definedName name="sdcacarriagetfc2" localSheetId="5">#REF!</definedName>
    <definedName name="sdcacarriagetfc2" localSheetId="7">#REF!</definedName>
    <definedName name="sdcacarriagetfc2" localSheetId="6">#REF!</definedName>
    <definedName name="sdcacarriagetfc2">#REF!</definedName>
    <definedName name="sdddd" localSheetId="5">#REF!</definedName>
    <definedName name="sdddd" localSheetId="7">#REF!</definedName>
    <definedName name="sdddd" localSheetId="6">#REF!</definedName>
    <definedName name="sdddd">#REF!</definedName>
    <definedName name="sDKJEHWGKJG" localSheetId="5">#REF!</definedName>
    <definedName name="sDKJEHWGKJG" localSheetId="7">#REF!</definedName>
    <definedName name="sDKJEHWGKJG" localSheetId="6">#REF!</definedName>
    <definedName name="sDKJEHWGKJG">#REF!</definedName>
    <definedName name="SEctionCode" localSheetId="5">#REF!</definedName>
    <definedName name="SEctionCode" localSheetId="7">#REF!</definedName>
    <definedName name="SEctionCode" localSheetId="6">#REF!</definedName>
    <definedName name="SEctionCode">#REF!</definedName>
    <definedName name="Sep" localSheetId="5">#REF!</definedName>
    <definedName name="Sep" localSheetId="7">#REF!</definedName>
    <definedName name="Sep" localSheetId="6">#REF!</definedName>
    <definedName name="Sep">#REF!</definedName>
    <definedName name="SEPDATA?" localSheetId="5">#REF!</definedName>
    <definedName name="SEPDATA?" localSheetId="7">#REF!</definedName>
    <definedName name="SEPDATA?" localSheetId="6">#REF!</definedName>
    <definedName name="SEPDATA?">#REF!</definedName>
    <definedName name="Service" localSheetId="5">#REF!</definedName>
    <definedName name="Service" localSheetId="7">#REF!</definedName>
    <definedName name="Service" localSheetId="6">#REF!</definedName>
    <definedName name="Service">#REF!</definedName>
    <definedName name="SETUP_PRINT" localSheetId="5">#REF!</definedName>
    <definedName name="SETUP_PRINT" localSheetId="7">#REF!</definedName>
    <definedName name="SETUP_PRINT" localSheetId="6">#REF!</definedName>
    <definedName name="SETUP_PRINT">#REF!</definedName>
    <definedName name="SEVENDAY" localSheetId="5">#REF!</definedName>
    <definedName name="SEVENDAY" localSheetId="7">#REF!</definedName>
    <definedName name="SEVENDAY" localSheetId="6">#REF!</definedName>
    <definedName name="SEVENDAY">#REF!</definedName>
    <definedName name="sf" localSheetId="5">#REF!</definedName>
    <definedName name="sf" localSheetId="7">#REF!</definedName>
    <definedName name="sf" localSheetId="6">#REF!</definedName>
    <definedName name="sf">#REF!</definedName>
    <definedName name="shelf_1_fixed" localSheetId="5">#REF!</definedName>
    <definedName name="shelf_1_fixed" localSheetId="7">#REF!</definedName>
    <definedName name="shelf_1_fixed" localSheetId="6">#REF!</definedName>
    <definedName name="shelf_1_fixed">#REF!</definedName>
    <definedName name="shelf_1A_var" localSheetId="5">#REF!</definedName>
    <definedName name="shelf_1A_var" localSheetId="7">#REF!</definedName>
    <definedName name="shelf_1A_var" localSheetId="6">#REF!</definedName>
    <definedName name="shelf_1A_var">#REF!</definedName>
    <definedName name="shelf_1B_fixed" localSheetId="5">#REF!</definedName>
    <definedName name="shelf_1B_fixed" localSheetId="7">#REF!</definedName>
    <definedName name="shelf_1B_fixed" localSheetId="6">#REF!</definedName>
    <definedName name="shelf_1B_fixed">#REF!</definedName>
    <definedName name="shelf_1B_var" localSheetId="5">#REF!</definedName>
    <definedName name="shelf_1B_var" localSheetId="7">#REF!</definedName>
    <definedName name="shelf_1B_var" localSheetId="6">#REF!</definedName>
    <definedName name="shelf_1B_var">#REF!</definedName>
    <definedName name="shelf_1C_fixed" localSheetId="5">#REF!</definedName>
    <definedName name="shelf_1C_fixed" localSheetId="7">#REF!</definedName>
    <definedName name="shelf_1C_fixed" localSheetId="6">#REF!</definedName>
    <definedName name="shelf_1C_fixed">#REF!</definedName>
    <definedName name="shelf_1C_var" localSheetId="5">#REF!</definedName>
    <definedName name="shelf_1C_var" localSheetId="7">#REF!</definedName>
    <definedName name="shelf_1C_var" localSheetId="6">#REF!</definedName>
    <definedName name="shelf_1C_var">#REF!</definedName>
    <definedName name="shelf_1D_fixed" localSheetId="5">#REF!</definedName>
    <definedName name="shelf_1D_fixed" localSheetId="7">#REF!</definedName>
    <definedName name="shelf_1D_fixed" localSheetId="6">#REF!</definedName>
    <definedName name="shelf_1D_fixed">#REF!</definedName>
    <definedName name="shelf_1D_var" localSheetId="5">#REF!</definedName>
    <definedName name="shelf_1D_var" localSheetId="7">#REF!</definedName>
    <definedName name="shelf_1D_var" localSheetId="6">#REF!</definedName>
    <definedName name="shelf_1D_var">#REF!</definedName>
    <definedName name="shelf_1E_fixed" localSheetId="5">#REF!</definedName>
    <definedName name="shelf_1E_fixed" localSheetId="7">#REF!</definedName>
    <definedName name="shelf_1E_fixed" localSheetId="6">#REF!</definedName>
    <definedName name="shelf_1E_fixed">#REF!</definedName>
    <definedName name="shelf_1E_var" localSheetId="5">#REF!</definedName>
    <definedName name="shelf_1E_var" localSheetId="7">#REF!</definedName>
    <definedName name="shelf_1E_var" localSheetId="6">#REF!</definedName>
    <definedName name="shelf_1E_var">#REF!</definedName>
    <definedName name="shelf_IIA_fixed" localSheetId="5">#REF!</definedName>
    <definedName name="shelf_IIA_fixed" localSheetId="7">#REF!</definedName>
    <definedName name="shelf_IIA_fixed" localSheetId="6">#REF!</definedName>
    <definedName name="shelf_IIA_fixed">#REF!</definedName>
    <definedName name="shelf_IIIA_fixed" localSheetId="5">#REF!</definedName>
    <definedName name="shelf_IIIA_fixed" localSheetId="7">#REF!</definedName>
    <definedName name="shelf_IIIA_fixed" localSheetId="6">#REF!</definedName>
    <definedName name="shelf_IIIA_fixed">#REF!</definedName>
    <definedName name="shelf_IIIA_var" localSheetId="5">#REF!</definedName>
    <definedName name="shelf_IIIA_var" localSheetId="7">#REF!</definedName>
    <definedName name="shelf_IIIA_var" localSheetId="6">#REF!</definedName>
    <definedName name="shelf_IIIA_var">#REF!</definedName>
    <definedName name="shelf_IIIB_fixed" localSheetId="5">#REF!</definedName>
    <definedName name="shelf_IIIB_fixed" localSheetId="7">#REF!</definedName>
    <definedName name="shelf_IIIB_fixed" localSheetId="6">#REF!</definedName>
    <definedName name="shelf_IIIB_fixed">#REF!</definedName>
    <definedName name="shelf_IIIB_var" localSheetId="5">#REF!</definedName>
    <definedName name="shelf_IIIB_var" localSheetId="7">#REF!</definedName>
    <definedName name="shelf_IIIB_var" localSheetId="6">#REF!</definedName>
    <definedName name="shelf_IIIB_var">#REF!</definedName>
    <definedName name="shelf_IIIC_fixed" localSheetId="5">#REF!</definedName>
    <definedName name="shelf_IIIC_fixed" localSheetId="7">#REF!</definedName>
    <definedName name="shelf_IIIC_fixed" localSheetId="6">#REF!</definedName>
    <definedName name="shelf_IIIC_fixed">#REF!</definedName>
    <definedName name="shelf_IIIC_var" localSheetId="5">#REF!</definedName>
    <definedName name="shelf_IIIC_var" localSheetId="7">#REF!</definedName>
    <definedName name="shelf_IIIC_var" localSheetId="6">#REF!</definedName>
    <definedName name="shelf_IIIC_var">#REF!</definedName>
    <definedName name="shelf_IIID_fixed" localSheetId="5">#REF!</definedName>
    <definedName name="shelf_IIID_fixed" localSheetId="7">#REF!</definedName>
    <definedName name="shelf_IIID_fixed" localSheetId="6">#REF!</definedName>
    <definedName name="shelf_IIID_fixed">#REF!</definedName>
    <definedName name="shelf_IIID_var" localSheetId="5">#REF!</definedName>
    <definedName name="shelf_IIID_var" localSheetId="7">#REF!</definedName>
    <definedName name="shelf_IIID_var" localSheetId="6">#REF!</definedName>
    <definedName name="shelf_IIID_var">#REF!</definedName>
    <definedName name="shelf_IIIE_fixed" localSheetId="5">#REF!</definedName>
    <definedName name="shelf_IIIE_fixed" localSheetId="7">#REF!</definedName>
    <definedName name="shelf_IIIE_fixed" localSheetId="6">#REF!</definedName>
    <definedName name="shelf_IIIE_fixed">#REF!</definedName>
    <definedName name="shelf_IIIE_var" localSheetId="5">#REF!</definedName>
    <definedName name="shelf_IIIE_var" localSheetId="7">#REF!</definedName>
    <definedName name="shelf_IIIE_var" localSheetId="6">#REF!</definedName>
    <definedName name="shelf_IIIE_var">#REF!</definedName>
    <definedName name="shelf_IVA_fixed" localSheetId="5">#REF!</definedName>
    <definedName name="shelf_IVA_fixed" localSheetId="7">#REF!</definedName>
    <definedName name="shelf_IVA_fixed" localSheetId="6">#REF!</definedName>
    <definedName name="shelf_IVA_fixed">#REF!</definedName>
    <definedName name="shelf_IVA_var" localSheetId="5">#REF!</definedName>
    <definedName name="shelf_IVA_var" localSheetId="7">#REF!</definedName>
    <definedName name="shelf_IVA_var" localSheetId="6">#REF!</definedName>
    <definedName name="shelf_IVA_var">#REF!</definedName>
    <definedName name="shelf_IVB_fixed" localSheetId="5">#REF!</definedName>
    <definedName name="shelf_IVB_fixed" localSheetId="7">#REF!</definedName>
    <definedName name="shelf_IVB_fixed" localSheetId="6">#REF!</definedName>
    <definedName name="shelf_IVB_fixed">#REF!</definedName>
    <definedName name="shelf_IVB_var" localSheetId="5">#REF!</definedName>
    <definedName name="shelf_IVB_var" localSheetId="7">#REF!</definedName>
    <definedName name="shelf_IVB_var" localSheetId="6">#REF!</definedName>
    <definedName name="shelf_IVB_var">#REF!</definedName>
    <definedName name="shelf_IVC_fixed" localSheetId="5">#REF!</definedName>
    <definedName name="shelf_IVC_fixed" localSheetId="7">#REF!</definedName>
    <definedName name="shelf_IVC_fixed" localSheetId="6">#REF!</definedName>
    <definedName name="shelf_IVC_fixed">#REF!</definedName>
    <definedName name="shelf_IVC_var" localSheetId="5">#REF!</definedName>
    <definedName name="shelf_IVC_var" localSheetId="7">#REF!</definedName>
    <definedName name="shelf_IVC_var" localSheetId="6">#REF!</definedName>
    <definedName name="shelf_IVC_var">#REF!</definedName>
    <definedName name="shelf_IVD_fixed" localSheetId="5">#REF!</definedName>
    <definedName name="shelf_IVD_fixed" localSheetId="7">#REF!</definedName>
    <definedName name="shelf_IVD_fixed" localSheetId="6">#REF!</definedName>
    <definedName name="shelf_IVD_fixed">#REF!</definedName>
    <definedName name="shelf_IVD_var" localSheetId="5">#REF!</definedName>
    <definedName name="shelf_IVD_var" localSheetId="7">#REF!</definedName>
    <definedName name="shelf_IVD_var" localSheetId="6">#REF!</definedName>
    <definedName name="shelf_IVD_var">#REF!</definedName>
    <definedName name="shelf_IVE_fixed" localSheetId="5">#REF!</definedName>
    <definedName name="shelf_IVE_fixed" localSheetId="7">#REF!</definedName>
    <definedName name="shelf_IVE_fixed" localSheetId="6">#REF!</definedName>
    <definedName name="shelf_IVE_fixed">#REF!</definedName>
    <definedName name="shelf_IVE_var" localSheetId="5">#REF!</definedName>
    <definedName name="shelf_IVE_var" localSheetId="7">#REF!</definedName>
    <definedName name="shelf_IVE_var" localSheetId="6">#REF!</definedName>
    <definedName name="shelf_IVE_var">#REF!</definedName>
    <definedName name="SHT" localSheetId="5">#REF!</definedName>
    <definedName name="SHT" localSheetId="7">#REF!</definedName>
    <definedName name="SHT" localSheetId="6">#REF!</definedName>
    <definedName name="SHT">#REF!</definedName>
    <definedName name="sig" localSheetId="5">#REF!</definedName>
    <definedName name="sig" localSheetId="7">#REF!</definedName>
    <definedName name="sig" localSheetId="6">#REF!</definedName>
    <definedName name="sig">#REF!</definedName>
    <definedName name="slmadditionalhead1" localSheetId="5">#REF!</definedName>
    <definedName name="slmadditionalhead1" localSheetId="7">#REF!</definedName>
    <definedName name="slmadditionalhead1" localSheetId="6">#REF!</definedName>
    <definedName name="slmadditionalhead1">#REF!</definedName>
    <definedName name="slmadditionalhead2" localSheetId="5">#REF!</definedName>
    <definedName name="slmadditionalhead2" localSheetId="7">#REF!</definedName>
    <definedName name="slmadditionalhead2" localSheetId="6">#REF!</definedName>
    <definedName name="slmadditionalhead2">#REF!</definedName>
    <definedName name="slmcivil" localSheetId="5">#REF!</definedName>
    <definedName name="slmcivil" localSheetId="7">#REF!</definedName>
    <definedName name="slmcivil" localSheetId="6">#REF!</definedName>
    <definedName name="slmcivil">#REF!</definedName>
    <definedName name="slmduct" localSheetId="5">#REF!</definedName>
    <definedName name="slmduct" localSheetId="7">#REF!</definedName>
    <definedName name="slmduct" localSheetId="6">#REF!</definedName>
    <definedName name="slmduct">#REF!</definedName>
    <definedName name="slmelectro" localSheetId="5">#REF!</definedName>
    <definedName name="slmelectro" localSheetId="7">#REF!</definedName>
    <definedName name="slmelectro" localSheetId="6">#REF!</definedName>
    <definedName name="slmelectro">#REF!</definedName>
    <definedName name="slmutilities" localSheetId="5">#REF!</definedName>
    <definedName name="slmutilities" localSheetId="7">#REF!</definedName>
    <definedName name="slmutilities" localSheetId="6">#REF!</definedName>
    <definedName name="slmutilities">#REF!</definedName>
    <definedName name="slotreq_LEMU6" localSheetId="5">#REF!</definedName>
    <definedName name="slotreq_LEMU6" localSheetId="7">#REF!</definedName>
    <definedName name="slotreq_LEMU6" localSheetId="6">#REF!</definedName>
    <definedName name="slotreq_LEMU6">#REF!</definedName>
    <definedName name="slotreq_LESA8" localSheetId="5">#REF!</definedName>
    <definedName name="slotreq_LESA8" localSheetId="7">#REF!</definedName>
    <definedName name="slotreq_LESA8" localSheetId="6">#REF!</definedName>
    <definedName name="slotreq_LESA8">#REF!</definedName>
    <definedName name="slotreq_LOMIF" localSheetId="5">#REF!</definedName>
    <definedName name="slotreq_LOMIF" localSheetId="7">#REF!</definedName>
    <definedName name="slotreq_LOMIF" localSheetId="6">#REF!</definedName>
    <definedName name="slotreq_LOMIF">#REF!</definedName>
    <definedName name="slotreq_PCONV" localSheetId="5">#REF!</definedName>
    <definedName name="slotreq_PCONV" localSheetId="7">#REF!</definedName>
    <definedName name="slotreq_PCONV" localSheetId="6">#REF!</definedName>
    <definedName name="slotreq_PCONV">#REF!</definedName>
    <definedName name="slotreq_PHLC30" localSheetId="5">#REF!</definedName>
    <definedName name="slotreq_PHLC30" localSheetId="7">#REF!</definedName>
    <definedName name="slotreq_PHLC30" localSheetId="6">#REF!</definedName>
    <definedName name="slotreq_PHLC30">#REF!</definedName>
    <definedName name="slotreq_PHLC60" localSheetId="5">#REF!</definedName>
    <definedName name="slotreq_PHLC60" localSheetId="7">#REF!</definedName>
    <definedName name="slotreq_PHLC60" localSheetId="6">#REF!</definedName>
    <definedName name="slotreq_PHLC60">#REF!</definedName>
    <definedName name="SortRange" localSheetId="5">#REF!</definedName>
    <definedName name="SortRange" localSheetId="7">#REF!</definedName>
    <definedName name="SortRange" localSheetId="6">#REF!</definedName>
    <definedName name="SortRange">#REF!</definedName>
    <definedName name="SP" localSheetId="5">#REF!</definedName>
    <definedName name="SP" localSheetId="7">#REF!</definedName>
    <definedName name="SP" localSheetId="6">#REF!</definedName>
    <definedName name="SP">#REF!</definedName>
    <definedName name="ss" localSheetId="5">{1}</definedName>
    <definedName name="ss" localSheetId="8">{1}</definedName>
    <definedName name="ss" localSheetId="16">{1}</definedName>
    <definedName name="ss" localSheetId="7">{1}</definedName>
    <definedName name="ss" localSheetId="2">{1}</definedName>
    <definedName name="ss" localSheetId="3">{1}</definedName>
    <definedName name="ss" localSheetId="23">{1}</definedName>
    <definedName name="ss" localSheetId="22">{1}</definedName>
    <definedName name="ss" localSheetId="24">{1}</definedName>
    <definedName name="ss" localSheetId="6">{1}</definedName>
    <definedName name="ss" localSheetId="19">{1}</definedName>
    <definedName name="ss" localSheetId="4">{1}</definedName>
    <definedName name="ss" localSheetId="20">{1}</definedName>
    <definedName name="ss" localSheetId="21">{1}</definedName>
    <definedName name="ss" localSheetId="14">{1}</definedName>
    <definedName name="ss" localSheetId="13">{1}</definedName>
    <definedName name="ss" localSheetId="12">{1}</definedName>
    <definedName name="ss" localSheetId="11">{1}</definedName>
    <definedName name="ss" localSheetId="9">{1}</definedName>
    <definedName name="ss" localSheetId="15">{1}</definedName>
    <definedName name="ss">{1}</definedName>
    <definedName name="ssa" localSheetId="5">#REF!</definedName>
    <definedName name="ssa" localSheetId="7">#REF!</definedName>
    <definedName name="ssa" localSheetId="6">#REF!</definedName>
    <definedName name="ssa">#REF!</definedName>
    <definedName name="ssss" localSheetId="5">#REF!,#REF!</definedName>
    <definedName name="ssss" localSheetId="7">#REF!,#REF!</definedName>
    <definedName name="ssss" localSheetId="6">#REF!,#REF!</definedName>
    <definedName name="ssss">#REF!,#REF!</definedName>
    <definedName name="ST" localSheetId="5">#REF!</definedName>
    <definedName name="ST" localSheetId="7">#REF!</definedName>
    <definedName name="ST" localSheetId="6">#REF!</definedName>
    <definedName name="ST">#REF!</definedName>
    <definedName name="staff_sal" localSheetId="5">#REF!</definedName>
    <definedName name="staff_sal" localSheetId="7">#REF!</definedName>
    <definedName name="staff_sal" localSheetId="6">#REF!</definedName>
    <definedName name="staff_sal">#REF!</definedName>
    <definedName name="StaffScale" localSheetId="5">#REF!</definedName>
    <definedName name="StaffScale" localSheetId="7">#REF!</definedName>
    <definedName name="StaffScale" localSheetId="6">#REF!</definedName>
    <definedName name="StaffScale">#REF!</definedName>
    <definedName name="staffwel" localSheetId="5">#REF!</definedName>
    <definedName name="staffwel" localSheetId="7">#REF!</definedName>
    <definedName name="staffwel" localSheetId="6">#REF!</definedName>
    <definedName name="staffwel">#REF!</definedName>
    <definedName name="StartDelete" localSheetId="5">#REF!</definedName>
    <definedName name="StartDelete" localSheetId="7">#REF!</definedName>
    <definedName name="StartDelete" localSheetId="6">#REF!</definedName>
    <definedName name="StartDelete">#REF!</definedName>
    <definedName name="StartDelete2" localSheetId="5">#REF!</definedName>
    <definedName name="StartDelete2" localSheetId="7">#REF!</definedName>
    <definedName name="StartDelete2" localSheetId="6">#REF!</definedName>
    <definedName name="StartDelete2">#REF!</definedName>
    <definedName name="StartFormat" localSheetId="5">#REF!</definedName>
    <definedName name="StartFormat" localSheetId="7">#REF!</definedName>
    <definedName name="StartFormat" localSheetId="6">#REF!</definedName>
    <definedName name="StartFormat">#REF!</definedName>
    <definedName name="Stocks" localSheetId="5">#REF!</definedName>
    <definedName name="Stocks" localSheetId="7">#REF!</definedName>
    <definedName name="Stocks" localSheetId="6">#REF!</definedName>
    <definedName name="Stocks">#REF!</definedName>
    <definedName name="STScale" localSheetId="5">#REF!</definedName>
    <definedName name="STScale" localSheetId="7">#REF!</definedName>
    <definedName name="STScale" localSheetId="6">#REF!</definedName>
    <definedName name="STScale">#REF!</definedName>
    <definedName name="sundry_creditors_num_days" localSheetId="5">#REF!</definedName>
    <definedName name="sundry_creditors_num_days" localSheetId="7">#REF!</definedName>
    <definedName name="sundry_creditors_num_days" localSheetId="6">#REF!</definedName>
    <definedName name="sundry_creditors_num_days">#REF!</definedName>
    <definedName name="sundry_debtors_num_days" localSheetId="5">#REF!</definedName>
    <definedName name="sundry_debtors_num_days" localSheetId="7">#REF!</definedName>
    <definedName name="sundry_debtors_num_days" localSheetId="6">#REF!</definedName>
    <definedName name="sundry_debtors_num_days">#REF!</definedName>
    <definedName name="Support" localSheetId="5">#REF!</definedName>
    <definedName name="Support" localSheetId="7">#REF!</definedName>
    <definedName name="Support" localSheetId="6">#REF!</definedName>
    <definedName name="Support">#REF!</definedName>
    <definedName name="swgrossnet" localSheetId="5">#REF!</definedName>
    <definedName name="swgrossnet" localSheetId="7">#REF!</definedName>
    <definedName name="swgrossnet" localSheetId="6">#REF!</definedName>
    <definedName name="swgrossnet">#REF!</definedName>
    <definedName name="swphase" localSheetId="5">#REF!</definedName>
    <definedName name="swphase" localSheetId="7">#REF!</definedName>
    <definedName name="swphase" localSheetId="6">#REF!</definedName>
    <definedName name="swphase">#REF!</definedName>
    <definedName name="swphase1a" localSheetId="5">#REF!</definedName>
    <definedName name="swphase1a" localSheetId="7">#REF!</definedName>
    <definedName name="swphase1a" localSheetId="6">#REF!</definedName>
    <definedName name="swphase1a">#REF!</definedName>
    <definedName name="swphase1b" localSheetId="5">#REF!</definedName>
    <definedName name="swphase1b" localSheetId="7">#REF!</definedName>
    <definedName name="swphase1b" localSheetId="6">#REF!</definedName>
    <definedName name="swphase1b">#REF!</definedName>
    <definedName name="swphase2" localSheetId="5">#REF!</definedName>
    <definedName name="swphase2" localSheetId="7">#REF!</definedName>
    <definedName name="swphase2" localSheetId="6">#REF!</definedName>
    <definedName name="swphase2">#REF!</definedName>
    <definedName name="TAFName" localSheetId="5">#REF!</definedName>
    <definedName name="TAFName" localSheetId="7">#REF!</definedName>
    <definedName name="TAFName" localSheetId="6">#REF!</definedName>
    <definedName name="TAFName">#REF!</definedName>
    <definedName name="TAMNo" localSheetId="5">#REF!</definedName>
    <definedName name="TAMNo" localSheetId="7">#REF!</definedName>
    <definedName name="TAMNo" localSheetId="6">#REF!</definedName>
    <definedName name="TAMNo">#REF!</definedName>
    <definedName name="TAName" localSheetId="5">#REF!</definedName>
    <definedName name="TAName" localSheetId="7">#REF!</definedName>
    <definedName name="TAName" localSheetId="6">#REF!</definedName>
    <definedName name="TAName">#REF!</definedName>
    <definedName name="TAPlace" localSheetId="5">#REF!</definedName>
    <definedName name="TAPlace" localSheetId="7">#REF!</definedName>
    <definedName name="TAPlace" localSheetId="6">#REF!</definedName>
    <definedName name="TAPlace">#REF!</definedName>
    <definedName name="tariffgrowthyr1" localSheetId="5">#REF!</definedName>
    <definedName name="tariffgrowthyr1" localSheetId="7">#REF!</definedName>
    <definedName name="tariffgrowthyr1" localSheetId="6">#REF!</definedName>
    <definedName name="tariffgrowthyr1">#REF!</definedName>
    <definedName name="tariffgrowthyr2" localSheetId="5">#REF!</definedName>
    <definedName name="tariffgrowthyr2" localSheetId="7">#REF!</definedName>
    <definedName name="tariffgrowthyr2" localSheetId="6">#REF!</definedName>
    <definedName name="tariffgrowthyr2">#REF!</definedName>
    <definedName name="tariffgrowthyr3" localSheetId="5">#REF!</definedName>
    <definedName name="tariffgrowthyr3" localSheetId="7">#REF!</definedName>
    <definedName name="tariffgrowthyr3" localSheetId="6">#REF!</definedName>
    <definedName name="tariffgrowthyr3">#REF!</definedName>
    <definedName name="tariffgrowthyr4" localSheetId="5">#REF!</definedName>
    <definedName name="tariffgrowthyr4" localSheetId="7">#REF!</definedName>
    <definedName name="tariffgrowthyr4" localSheetId="6">#REF!</definedName>
    <definedName name="tariffgrowthyr4">#REF!</definedName>
    <definedName name="tariffgrowthyr5onwards" localSheetId="5">#REF!</definedName>
    <definedName name="tariffgrowthyr5onwards" localSheetId="7">#REF!</definedName>
    <definedName name="tariffgrowthyr5onwards" localSheetId="6">#REF!</definedName>
    <definedName name="tariffgrowthyr5onwards">#REF!</definedName>
    <definedName name="tax" localSheetId="5">#REF!</definedName>
    <definedName name="tax" localSheetId="7">#REF!</definedName>
    <definedName name="tax" localSheetId="6">#REF!</definedName>
    <definedName name="tax">#REF!</definedName>
    <definedName name="tax_rate" localSheetId="5">#REF!</definedName>
    <definedName name="tax_rate" localSheetId="7">#REF!</definedName>
    <definedName name="tax_rate" localSheetId="6">#REF!</definedName>
    <definedName name="tax_rate">#REF!</definedName>
    <definedName name="TaxAudAdd" localSheetId="5">#REF!</definedName>
    <definedName name="TaxAudAdd" localSheetId="7">#REF!</definedName>
    <definedName name="TaxAudAdd" localSheetId="6">#REF!</definedName>
    <definedName name="TaxAudAdd">#REF!</definedName>
    <definedName name="TaxAuditDate" localSheetId="5">#REF!</definedName>
    <definedName name="TaxAuditDate" localSheetId="7">#REF!</definedName>
    <definedName name="TaxAuditDate" localSheetId="6">#REF!</definedName>
    <definedName name="TaxAuditDate">#REF!</definedName>
    <definedName name="TAXCOMP1" localSheetId="5">#REF!</definedName>
    <definedName name="TAXCOMP1" localSheetId="7">#REF!</definedName>
    <definedName name="TAXCOMP1" localSheetId="6">#REF!</definedName>
    <definedName name="TAXCOMP1">#REF!</definedName>
    <definedName name="tb" localSheetId="5">#REF!</definedName>
    <definedName name="tb" localSheetId="7">#REF!</definedName>
    <definedName name="tb" localSheetId="6">#REF!</definedName>
    <definedName name="tb">#REF!</definedName>
    <definedName name="TB_data" localSheetId="5">#REF!</definedName>
    <definedName name="TB_data" localSheetId="7">#REF!</definedName>
    <definedName name="TB_data" localSheetId="6">#REF!</definedName>
    <definedName name="TB_data">#REF!</definedName>
    <definedName name="TB_Phil" localSheetId="5">#REF!</definedName>
    <definedName name="TB_Phil" localSheetId="7">#REF!</definedName>
    <definedName name="TB_Phil" localSheetId="6">#REF!</definedName>
    <definedName name="TB_Phil">#REF!</definedName>
    <definedName name="tb17.04" localSheetId="5">#REF!</definedName>
    <definedName name="tb17.04" localSheetId="7">#REF!</definedName>
    <definedName name="tb17.04" localSheetId="6">#REF!</definedName>
    <definedName name="tb17.04">#REF!</definedName>
    <definedName name="tbchn" localSheetId="5">#REF!</definedName>
    <definedName name="tbchn" localSheetId="7">#REF!</definedName>
    <definedName name="tbchn" localSheetId="6">#REF!</definedName>
    <definedName name="tbchn">#REF!</definedName>
    <definedName name="TBdata" localSheetId="5">#REF!</definedName>
    <definedName name="TBdata" localSheetId="7">#REF!</definedName>
    <definedName name="TBdata" localSheetId="6">#REF!</definedName>
    <definedName name="TBdata">#REF!</definedName>
    <definedName name="TBFINAL" localSheetId="5">#REF!</definedName>
    <definedName name="TBFINAL" localSheetId="7">#REF!</definedName>
    <definedName name="TBFINAL" localSheetId="6">#REF!</definedName>
    <definedName name="TBFINAL">#REF!</definedName>
    <definedName name="tbnod" localSheetId="5">#REF!</definedName>
    <definedName name="tbnod" localSheetId="7">#REF!</definedName>
    <definedName name="tbnod" localSheetId="6">#REF!</definedName>
    <definedName name="tbnod">#REF!</definedName>
    <definedName name="TDS" localSheetId="5">#REF!</definedName>
    <definedName name="TDS" localSheetId="7">#REF!</definedName>
    <definedName name="TDS" localSheetId="6">#REF!</definedName>
    <definedName name="TDS">#REF!</definedName>
    <definedName name="TENDAY" localSheetId="5">#REF!</definedName>
    <definedName name="TENDAY" localSheetId="7">#REF!</definedName>
    <definedName name="TENDAY" localSheetId="6">#REF!</definedName>
    <definedName name="TENDAY">#REF!</definedName>
    <definedName name="TEST0" localSheetId="5">#REF!</definedName>
    <definedName name="TEST0" localSheetId="7">#REF!</definedName>
    <definedName name="TEST0" localSheetId="6">#REF!</definedName>
    <definedName name="TEST0">#REF!</definedName>
    <definedName name="TESTHKEY" localSheetId="5">#REF!</definedName>
    <definedName name="TESTHKEY" localSheetId="7">#REF!</definedName>
    <definedName name="TESTHKEY" localSheetId="6">#REF!</definedName>
    <definedName name="TESTHKEY">#REF!</definedName>
    <definedName name="TESTKEYS" localSheetId="5">#REF!</definedName>
    <definedName name="TESTKEYS" localSheetId="7">#REF!</definedName>
    <definedName name="TESTKEYS" localSheetId="6">#REF!</definedName>
    <definedName name="TESTKEYS">#REF!</definedName>
    <definedName name="TESTVKEY" localSheetId="5">#REF!</definedName>
    <definedName name="TESTVKEY" localSheetId="7">#REF!</definedName>
    <definedName name="TESTVKEY" localSheetId="6">#REF!</definedName>
    <definedName name="TESTVKEY">#REF!</definedName>
    <definedName name="TextRefCopy1" localSheetId="5">#REF!</definedName>
    <definedName name="TextRefCopy1" localSheetId="7">#REF!</definedName>
    <definedName name="TextRefCopy1" localSheetId="6">#REF!</definedName>
    <definedName name="TextRefCopy1">#REF!</definedName>
    <definedName name="TextRefCopy9" localSheetId="5">#REF!</definedName>
    <definedName name="TextRefCopy9" localSheetId="7">#REF!</definedName>
    <definedName name="TextRefCopy9" localSheetId="6">#REF!</definedName>
    <definedName name="TextRefCopy9">#REF!</definedName>
    <definedName name="TextRefCopyRangeCount">9</definedName>
    <definedName name="tfcq1" localSheetId="5">#REF!</definedName>
    <definedName name="tfcq1" localSheetId="7">#REF!</definedName>
    <definedName name="tfcq1" localSheetId="6">#REF!</definedName>
    <definedName name="tfcq1">#REF!</definedName>
    <definedName name="tfcq2" localSheetId="5">#REF!</definedName>
    <definedName name="tfcq2" localSheetId="7">#REF!</definedName>
    <definedName name="tfcq2" localSheetId="6">#REF!</definedName>
    <definedName name="tfcq2">#REF!</definedName>
    <definedName name="tfcq3" localSheetId="5">#REF!</definedName>
    <definedName name="tfcq3" localSheetId="7">#REF!</definedName>
    <definedName name="tfcq3" localSheetId="6">#REF!</definedName>
    <definedName name="tfcq3">#REF!</definedName>
    <definedName name="tfcq4" localSheetId="5">#REF!</definedName>
    <definedName name="tfcq4" localSheetId="7">#REF!</definedName>
    <definedName name="tfcq4" localSheetId="6">#REF!</definedName>
    <definedName name="tfcq4">#REF!</definedName>
    <definedName name="THAI_PLASTIC_in_KUSD" localSheetId="5">#REF!</definedName>
    <definedName name="THAI_PLASTIC_in_KUSD" localSheetId="7">#REF!</definedName>
    <definedName name="THAI_PLASTIC_in_KUSD" localSheetId="6">#REF!</definedName>
    <definedName name="THAI_PLASTIC_in_KUSD">#REF!</definedName>
    <definedName name="ThreeCD" localSheetId="5">#REF!</definedName>
    <definedName name="ThreeCD" localSheetId="7">#REF!</definedName>
    <definedName name="ThreeCD" localSheetId="6">#REF!</definedName>
    <definedName name="ThreeCD">#REF!</definedName>
    <definedName name="THREEDAY" localSheetId="5">#REF!</definedName>
    <definedName name="THREEDAY" localSheetId="7">#REF!</definedName>
    <definedName name="THREEDAY" localSheetId="6">#REF!</definedName>
    <definedName name="THREEDAY">#REF!</definedName>
    <definedName name="Threshold" localSheetId="5">#REF!</definedName>
    <definedName name="Threshold" localSheetId="7">#REF!</definedName>
    <definedName name="Threshold" localSheetId="6">#REF!</definedName>
    <definedName name="Threshold">#REF!</definedName>
    <definedName name="Ticker" localSheetId="5">#REF!</definedName>
    <definedName name="Ticker" localSheetId="7">#REF!</definedName>
    <definedName name="Ticker" localSheetId="6">#REF!</definedName>
    <definedName name="Ticker">#REF!</definedName>
    <definedName name="TimeSheetOnProjects" localSheetId="5">#REF!</definedName>
    <definedName name="TimeSheetOnProjects" localSheetId="7">#REF!</definedName>
    <definedName name="TimeSheetOnProjects" localSheetId="6">#REF!</definedName>
    <definedName name="TimeSheetOnProjects">#REF!</definedName>
    <definedName name="TITLE_1" localSheetId="5">#REF!</definedName>
    <definedName name="TITLE_1" localSheetId="7">#REF!</definedName>
    <definedName name="TITLE_1" localSheetId="6">#REF!</definedName>
    <definedName name="TITLE_1">#REF!</definedName>
    <definedName name="TITLE_2" localSheetId="5">#REF!</definedName>
    <definedName name="TITLE_2" localSheetId="7">#REF!</definedName>
    <definedName name="TITLE_2" localSheetId="6">#REF!</definedName>
    <definedName name="TITLE_2">#REF!</definedName>
    <definedName name="TITLE_3" localSheetId="5">#REF!</definedName>
    <definedName name="TITLE_3" localSheetId="7">#REF!</definedName>
    <definedName name="TITLE_3" localSheetId="6">#REF!</definedName>
    <definedName name="TITLE_3">#REF!</definedName>
    <definedName name="TITLE_4" localSheetId="5">#REF!</definedName>
    <definedName name="TITLE_4" localSheetId="7">#REF!</definedName>
    <definedName name="TITLE_4" localSheetId="6">#REF!</definedName>
    <definedName name="TITLE_4">#REF!</definedName>
    <definedName name="TITLE_5" localSheetId="5">#REF!</definedName>
    <definedName name="TITLE_5" localSheetId="7">#REF!</definedName>
    <definedName name="TITLE_5" localSheetId="6">#REF!</definedName>
    <definedName name="TITLE_5">#REF!</definedName>
    <definedName name="TITLE_6" localSheetId="5">#REF!</definedName>
    <definedName name="TITLE_6" localSheetId="7">#REF!</definedName>
    <definedName name="TITLE_6" localSheetId="6">#REF!</definedName>
    <definedName name="TITLE_6">#REF!</definedName>
    <definedName name="TITLE_7" localSheetId="5">#REF!</definedName>
    <definedName name="TITLE_7" localSheetId="7">#REF!</definedName>
    <definedName name="TITLE_7" localSheetId="6">#REF!</definedName>
    <definedName name="TITLE_7">#REF!</definedName>
    <definedName name="TLT" localSheetId="5">#REF!</definedName>
    <definedName name="TLT" localSheetId="7">#REF!</definedName>
    <definedName name="TLT" localSheetId="6">#REF!</definedName>
    <definedName name="TLT">#REF!</definedName>
    <definedName name="today" localSheetId="5">#REF!</definedName>
    <definedName name="today" localSheetId="7">#REF!</definedName>
    <definedName name="today" localSheetId="6">#REF!</definedName>
    <definedName name="today">#REF!</definedName>
    <definedName name="TOT" localSheetId="5">#REF!</definedName>
    <definedName name="TOT" localSheetId="7">#REF!</definedName>
    <definedName name="TOT" localSheetId="6">#REF!</definedName>
    <definedName name="TOT">#REF!</definedName>
    <definedName name="Total" localSheetId="5">#REF!</definedName>
    <definedName name="Total" localSheetId="7">#REF!</definedName>
    <definedName name="Total" localSheetId="6">#REF!</definedName>
    <definedName name="Total">#REF!</definedName>
    <definedName name="totalmiscecharge" localSheetId="5">#REF!</definedName>
    <definedName name="totalmiscecharge" localSheetId="7">#REF!</definedName>
    <definedName name="totalmiscecharge" localSheetId="6">#REF!</definedName>
    <definedName name="totalmiscecharge">#REF!</definedName>
    <definedName name="TotalStmFlw" localSheetId="5">#REF!</definedName>
    <definedName name="TotalStmFlw" localSheetId="7">#REF!</definedName>
    <definedName name="TotalStmFlw" localSheetId="6">#REF!</definedName>
    <definedName name="TotalStmFlw">#REF!</definedName>
    <definedName name="totslot_ext" localSheetId="5">#REF!</definedName>
    <definedName name="totslot_ext" localSheetId="7">#REF!</definedName>
    <definedName name="totslot_ext" localSheetId="6">#REF!</definedName>
    <definedName name="totslot_ext">#REF!</definedName>
    <definedName name="totsum" localSheetId="5">#REF!</definedName>
    <definedName name="totsum" localSheetId="7">#REF!</definedName>
    <definedName name="totsum" localSheetId="6">#REF!</definedName>
    <definedName name="totsum">#REF!</definedName>
    <definedName name="TPS" localSheetId="5">#REF!</definedName>
    <definedName name="TPS" localSheetId="7">#REF!</definedName>
    <definedName name="TPS" localSheetId="6">#REF!</definedName>
    <definedName name="TPS">#REF!</definedName>
    <definedName name="trafficgrowthyr1" localSheetId="5">#REF!</definedName>
    <definedName name="trafficgrowthyr1" localSheetId="7">#REF!</definedName>
    <definedName name="trafficgrowthyr1" localSheetId="6">#REF!</definedName>
    <definedName name="trafficgrowthyr1">#REF!</definedName>
    <definedName name="trafficgrowthyr2" localSheetId="5">#REF!</definedName>
    <definedName name="trafficgrowthyr2" localSheetId="7">#REF!</definedName>
    <definedName name="trafficgrowthyr2" localSheetId="6">#REF!</definedName>
    <definedName name="trafficgrowthyr2">#REF!</definedName>
    <definedName name="trafficgrowthyr3" localSheetId="5">#REF!</definedName>
    <definedName name="trafficgrowthyr3" localSheetId="7">#REF!</definedName>
    <definedName name="trafficgrowthyr3" localSheetId="6">#REF!</definedName>
    <definedName name="trafficgrowthyr3">#REF!</definedName>
    <definedName name="trafficgrowthyr4" localSheetId="5">#REF!</definedName>
    <definedName name="trafficgrowthyr4" localSheetId="7">#REF!</definedName>
    <definedName name="trafficgrowthyr4" localSheetId="6">#REF!</definedName>
    <definedName name="trafficgrowthyr4">#REF!</definedName>
    <definedName name="trafficgrowthyr5onwards" localSheetId="5">#REF!</definedName>
    <definedName name="trafficgrowthyr5onwards" localSheetId="7">#REF!</definedName>
    <definedName name="trafficgrowthyr5onwards" localSheetId="6">#REF!</definedName>
    <definedName name="trafficgrowthyr5onwards">#REF!</definedName>
    <definedName name="Traveltype" localSheetId="5">#REF!</definedName>
    <definedName name="Traveltype" localSheetId="7">#REF!</definedName>
    <definedName name="Traveltype" localSheetId="6">#REF!</definedName>
    <definedName name="Traveltype">#REF!</definedName>
    <definedName name="trenchingcost" localSheetId="5">#REF!</definedName>
    <definedName name="trenchingcost" localSheetId="7">#REF!</definedName>
    <definedName name="trenchingcost" localSheetId="6">#REF!</definedName>
    <definedName name="trenchingcost">#REF!</definedName>
    <definedName name="Trg" localSheetId="5">#REF!</definedName>
    <definedName name="Trg" localSheetId="7">#REF!</definedName>
    <definedName name="Trg" localSheetId="6">#REF!</definedName>
    <definedName name="Trg">#REF!</definedName>
    <definedName name="TrialBal" localSheetId="5">#REF!</definedName>
    <definedName name="TrialBal" localSheetId="7">#REF!</definedName>
    <definedName name="TrialBal" localSheetId="6">#REF!</definedName>
    <definedName name="TrialBal">#REF!</definedName>
    <definedName name="Trianglelosspercent" localSheetId="5">#REF!</definedName>
    <definedName name="Trianglelosspercent" localSheetId="7">#REF!</definedName>
    <definedName name="Trianglelosspercent" localSheetId="6">#REF!</definedName>
    <definedName name="Trianglelosspercent">#REF!</definedName>
    <definedName name="tttt" localSheetId="5">#REF!</definedName>
    <definedName name="tttt" localSheetId="7">#REF!</definedName>
    <definedName name="tttt" localSheetId="6">#REF!</definedName>
    <definedName name="tttt">#REF!</definedName>
    <definedName name="tyu" localSheetId="5">#REF!</definedName>
    <definedName name="tyu" localSheetId="7">#REF!</definedName>
    <definedName name="tyu" localSheetId="6">#REF!</definedName>
    <definedName name="tyu">#REF!</definedName>
    <definedName name="UER" localSheetId="5">#REF!</definedName>
    <definedName name="UER" localSheetId="7">#REF!</definedName>
    <definedName name="UER" localSheetId="6">#REF!</definedName>
    <definedName name="UER">#REF!</definedName>
    <definedName name="uio" localSheetId="5">#REF!</definedName>
    <definedName name="uio" localSheetId="7">#REF!</definedName>
    <definedName name="uio" localSheetId="6">#REF!</definedName>
    <definedName name="uio">#REF!</definedName>
    <definedName name="Unit_Cost" localSheetId="5">#REF!</definedName>
    <definedName name="Unit_Cost" localSheetId="7">#REF!</definedName>
    <definedName name="Unit_Cost" localSheetId="6">#REF!</definedName>
    <definedName name="Unit_Cost">#REF!</definedName>
    <definedName name="unit_sale_price_bp" localSheetId="5">#REF!</definedName>
    <definedName name="unit_sale_price_bp" localSheetId="7">#REF!</definedName>
    <definedName name="unit_sale_price_bp" localSheetId="6">#REF!</definedName>
    <definedName name="unit_sale_price_bp">#REF!</definedName>
    <definedName name="unit_sale_price_del_bqs" localSheetId="5">#REF!</definedName>
    <definedName name="unit_sale_price_del_bqs" localSheetId="7">#REF!</definedName>
    <definedName name="unit_sale_price_del_bqs" localSheetId="6">#REF!</definedName>
    <definedName name="unit_sale_price_del_bqs">#REF!</definedName>
    <definedName name="unit_sale_price_del_dmrc1_bqs" localSheetId="5">#REF!</definedName>
    <definedName name="unit_sale_price_del_dmrc1_bqs" localSheetId="7">#REF!</definedName>
    <definedName name="unit_sale_price_del_dmrc1_bqs" localSheetId="6">#REF!</definedName>
    <definedName name="unit_sale_price_del_dmrc1_bqs">#REF!</definedName>
    <definedName name="unit_sale_price_del_dmrc1_bridgepanel" localSheetId="5">#REF!</definedName>
    <definedName name="unit_sale_price_del_dmrc1_bridgepanel" localSheetId="7">#REF!</definedName>
    <definedName name="unit_sale_price_del_dmrc1_bridgepanel" localSheetId="6">#REF!</definedName>
    <definedName name="unit_sale_price_del_dmrc1_bridgepanel">#REF!</definedName>
    <definedName name="unit_sale_price_del_dmrc1_mpillars" localSheetId="5">#REF!</definedName>
    <definedName name="unit_sale_price_del_dmrc1_mpillars" localSheetId="7">#REF!</definedName>
    <definedName name="unit_sale_price_del_dmrc1_mpillars" localSheetId="6">#REF!</definedName>
    <definedName name="unit_sale_price_del_dmrc1_mpillars">#REF!</definedName>
    <definedName name="unit_sale_price_del_dmrc2_bridgepanel" localSheetId="5">#REF!</definedName>
    <definedName name="unit_sale_price_del_dmrc2_bridgepanel" localSheetId="7">#REF!</definedName>
    <definedName name="unit_sale_price_del_dmrc2_bridgepanel" localSheetId="6">#REF!</definedName>
    <definedName name="unit_sale_price_del_dmrc2_bridgepanel">#REF!</definedName>
    <definedName name="unit_sale_price_del_dmrc2_hoarding" localSheetId="5">#REF!</definedName>
    <definedName name="unit_sale_price_del_dmrc2_hoarding" localSheetId="7">#REF!</definedName>
    <definedName name="unit_sale_price_del_dmrc2_hoarding" localSheetId="6">#REF!</definedName>
    <definedName name="unit_sale_price_del_dmrc2_hoarding">#REF!</definedName>
    <definedName name="unit_sale_price_del_dmrc3_mpillars" localSheetId="5">#REF!</definedName>
    <definedName name="unit_sale_price_del_dmrc3_mpillars" localSheetId="7">#REF!</definedName>
    <definedName name="unit_sale_price_del_dmrc3_mpillars" localSheetId="6">#REF!</definedName>
    <definedName name="unit_sale_price_del_dmrc3_mpillars">#REF!</definedName>
    <definedName name="unit_sale_price_del_hoarding" localSheetId="5">#REF!</definedName>
    <definedName name="unit_sale_price_del_hoarding" localSheetId="7">#REF!</definedName>
    <definedName name="unit_sale_price_del_hoarding" localSheetId="6">#REF!</definedName>
    <definedName name="unit_sale_price_del_hoarding">#REF!</definedName>
    <definedName name="unit_sale_price_del_mcd1_hoarding" localSheetId="5">#REF!</definedName>
    <definedName name="unit_sale_price_del_mcd1_hoarding" localSheetId="7">#REF!</definedName>
    <definedName name="unit_sale_price_del_mcd1_hoarding" localSheetId="6">#REF!</definedName>
    <definedName name="unit_sale_price_del_mcd1_hoarding">#REF!</definedName>
    <definedName name="unit_sale_price_del_mcd2_kiosk" localSheetId="5">#REF!</definedName>
    <definedName name="unit_sale_price_del_mcd2_kiosk" localSheetId="7">#REF!</definedName>
    <definedName name="unit_sale_price_del_mcd2_kiosk" localSheetId="6">#REF!</definedName>
    <definedName name="unit_sale_price_del_mcd2_kiosk">#REF!</definedName>
    <definedName name="unit_sale_price_del_mcd3_hoarding" localSheetId="5">#REF!</definedName>
    <definedName name="unit_sale_price_del_mcd3_hoarding" localSheetId="7">#REF!</definedName>
    <definedName name="unit_sale_price_del_mcd3_hoarding" localSheetId="6">#REF!</definedName>
    <definedName name="unit_sale_price_del_mcd3_hoarding">#REF!</definedName>
    <definedName name="unit_sale_price_del_mcd5_hoarding" localSheetId="5">#REF!</definedName>
    <definedName name="unit_sale_price_del_mcd5_hoarding" localSheetId="7">#REF!</definedName>
    <definedName name="unit_sale_price_del_mcd5_hoarding" localSheetId="6">#REF!</definedName>
    <definedName name="unit_sale_price_del_mcd5_hoarding">#REF!</definedName>
    <definedName name="unit_sale_price_del_nrdd_bridgepanel" localSheetId="5">#REF!</definedName>
    <definedName name="unit_sale_price_del_nrdd_bridgepanel" localSheetId="7">#REF!</definedName>
    <definedName name="unit_sale_price_del_nrdd_bridgepanel" localSheetId="6">#REF!</definedName>
    <definedName name="unit_sale_price_del_nrdd_bridgepanel">#REF!</definedName>
    <definedName name="unit_sale_price_del_nrdd_hoarding" localSheetId="5">#REF!</definedName>
    <definedName name="unit_sale_price_del_nrdd_hoarding" localSheetId="7">#REF!</definedName>
    <definedName name="unit_sale_price_del_nrdd_hoarding" localSheetId="6">#REF!</definedName>
    <definedName name="unit_sale_price_del_nrdd_hoarding">#REF!</definedName>
    <definedName name="unit_sale_price_del_nrdd_utility" localSheetId="5">#REF!</definedName>
    <definedName name="unit_sale_price_del_nrdd_utility" localSheetId="7">#REF!</definedName>
    <definedName name="unit_sale_price_del_nrdd_utility" localSheetId="6">#REF!</definedName>
    <definedName name="unit_sale_price_del_nrdd_utility">#REF!</definedName>
    <definedName name="unit_sale_price_ip" localSheetId="5">#REF!</definedName>
    <definedName name="unit_sale_price_ip" localSheetId="7">#REF!</definedName>
    <definedName name="unit_sale_price_ip" localSheetId="6">#REF!</definedName>
    <definedName name="unit_sale_price_ip">#REF!</definedName>
    <definedName name="unit_sale_price_kol_bqs" localSheetId="5">#REF!</definedName>
    <definedName name="unit_sale_price_kol_bqs" localSheetId="7">#REF!</definedName>
    <definedName name="unit_sale_price_kol_bqs" localSheetId="6">#REF!</definedName>
    <definedName name="unit_sale_price_kol_bqs">#REF!</definedName>
    <definedName name="unit_sale_price_kol_bridgepanel" localSheetId="5">#REF!</definedName>
    <definedName name="unit_sale_price_kol_bridgepanel" localSheetId="7">#REF!</definedName>
    <definedName name="unit_sale_price_kol_bridgepanel" localSheetId="6">#REF!</definedName>
    <definedName name="unit_sale_price_kol_bridgepanel">#REF!</definedName>
    <definedName name="unit_sale_price_kol_hoarding" localSheetId="5">#REF!</definedName>
    <definedName name="unit_sale_price_kol_hoarding" localSheetId="7">#REF!</definedName>
    <definedName name="unit_sale_price_kol_hoarding" localSheetId="6">#REF!</definedName>
    <definedName name="unit_sale_price_kol_hoarding">#REF!</definedName>
    <definedName name="unit_sale_price_kol_mpillars" localSheetId="5">#REF!</definedName>
    <definedName name="unit_sale_price_kol_mpillars" localSheetId="7">#REF!</definedName>
    <definedName name="unit_sale_price_kol_mpillars" localSheetId="6">#REF!</definedName>
    <definedName name="unit_sale_price_kol_mpillars">#REF!</definedName>
    <definedName name="unit_sale_price_kol_pillarwrap" localSheetId="5">#REF!</definedName>
    <definedName name="unit_sale_price_kol_pillarwrap" localSheetId="7">#REF!</definedName>
    <definedName name="unit_sale_price_kol_pillarwrap" localSheetId="6">#REF!</definedName>
    <definedName name="unit_sale_price_kol_pillarwrap">#REF!</definedName>
    <definedName name="unit_sale_price_kol_ts" localSheetId="5">#REF!</definedName>
    <definedName name="unit_sale_price_kol_ts" localSheetId="7">#REF!</definedName>
    <definedName name="unit_sale_price_kol_ts" localSheetId="6">#REF!</definedName>
    <definedName name="unit_sale_price_kol_ts">#REF!</definedName>
    <definedName name="unit_sale_price_lsp" localSheetId="5">#REF!</definedName>
    <definedName name="unit_sale_price_lsp" localSheetId="7">#REF!</definedName>
    <definedName name="unit_sale_price_lsp" localSheetId="6">#REF!</definedName>
    <definedName name="unit_sale_price_lsp">#REF!</definedName>
    <definedName name="unit_sale_price_mum_hoarding" localSheetId="5">#REF!</definedName>
    <definedName name="unit_sale_price_mum_hoarding" localSheetId="7">#REF!</definedName>
    <definedName name="unit_sale_price_mum_hoarding" localSheetId="6">#REF!</definedName>
    <definedName name="unit_sale_price_mum_hoarding">#REF!</definedName>
    <definedName name="unit_sale_price_mum_kiosk" localSheetId="5">#REF!</definedName>
    <definedName name="unit_sale_price_mum_kiosk" localSheetId="7">#REF!</definedName>
    <definedName name="unit_sale_price_mum_kiosk" localSheetId="6">#REF!</definedName>
    <definedName name="unit_sale_price_mum_kiosk">#REF!</definedName>
    <definedName name="unit_sale_price_mum_utility" localSheetId="5">#REF!</definedName>
    <definedName name="unit_sale_price_mum_utility" localSheetId="7">#REF!</definedName>
    <definedName name="unit_sale_price_mum_utility" localSheetId="6">#REF!</definedName>
    <definedName name="unit_sale_price_mum_utility">#REF!</definedName>
    <definedName name="unit_sale_price_new_r1" localSheetId="5">#REF!</definedName>
    <definedName name="unit_sale_price_new_r1" localSheetId="7">#REF!</definedName>
    <definedName name="unit_sale_price_new_r1" localSheetId="6">#REF!</definedName>
    <definedName name="unit_sale_price_new_r1">#REF!</definedName>
    <definedName name="unit_sale_price_new_s2" localSheetId="5">#REF!</definedName>
    <definedName name="unit_sale_price_new_s2" localSheetId="7">#REF!</definedName>
    <definedName name="unit_sale_price_new_s2" localSheetId="6">#REF!</definedName>
    <definedName name="unit_sale_price_new_s2">#REF!</definedName>
    <definedName name="unit_sale_price_new_sf1" localSheetId="5">#REF!</definedName>
    <definedName name="unit_sale_price_new_sf1" localSheetId="7">#REF!</definedName>
    <definedName name="unit_sale_price_new_sf1" localSheetId="6">#REF!</definedName>
    <definedName name="unit_sale_price_new_sf1">#REF!</definedName>
    <definedName name="unit_sale_price_new_sf2" localSheetId="5">#REF!</definedName>
    <definedName name="unit_sale_price_new_sf2" localSheetId="7">#REF!</definedName>
    <definedName name="unit_sale_price_new_sf2" localSheetId="6">#REF!</definedName>
    <definedName name="unit_sale_price_new_sf2">#REF!</definedName>
    <definedName name="unit_sale_price_new_sf3" localSheetId="5">#REF!</definedName>
    <definedName name="unit_sale_price_new_sf3" localSheetId="7">#REF!</definedName>
    <definedName name="unit_sale_price_new_sf3" localSheetId="6">#REF!</definedName>
    <definedName name="unit_sale_price_new_sf3">#REF!</definedName>
    <definedName name="unit_sale_price_pun_hoarding" localSheetId="5">#REF!</definedName>
    <definedName name="unit_sale_price_pun_hoarding" localSheetId="7">#REF!</definedName>
    <definedName name="unit_sale_price_pun_hoarding" localSheetId="6">#REF!</definedName>
    <definedName name="unit_sale_price_pun_hoarding">#REF!</definedName>
    <definedName name="unit_sale_price_pun_kiosk" localSheetId="5">#REF!</definedName>
    <definedName name="unit_sale_price_pun_kiosk" localSheetId="7">#REF!</definedName>
    <definedName name="unit_sale_price_pun_kiosk" localSheetId="6">#REF!</definedName>
    <definedName name="unit_sale_price_pun_kiosk">#REF!</definedName>
    <definedName name="unit_sale_price_pun_utility" localSheetId="5">#REF!</definedName>
    <definedName name="unit_sale_price_pun_utility" localSheetId="7">#REF!</definedName>
    <definedName name="unit_sale_price_pun_utility" localSheetId="6">#REF!</definedName>
    <definedName name="unit_sale_price_pun_utility">#REF!</definedName>
    <definedName name="unit_sale_price_rsp" localSheetId="5">#REF!</definedName>
    <definedName name="unit_sale_price_rsp" localSheetId="7">#REF!</definedName>
    <definedName name="unit_sale_price_rsp" localSheetId="6">#REF!</definedName>
    <definedName name="unit_sale_price_rsp">#REF!</definedName>
    <definedName name="unit_sale_price_s" localSheetId="5">#REF!</definedName>
    <definedName name="unit_sale_price_s" localSheetId="7">#REF!</definedName>
    <definedName name="unit_sale_price_s" localSheetId="6">#REF!</definedName>
    <definedName name="unit_sale_price_s">#REF!</definedName>
    <definedName name="Untitled" localSheetId="5">#REF!</definedName>
    <definedName name="Untitled" localSheetId="7">#REF!</definedName>
    <definedName name="Untitled" localSheetId="6">#REF!</definedName>
    <definedName name="Untitled">#REF!</definedName>
    <definedName name="urban_kiosk_to" localSheetId="5">#REF!</definedName>
    <definedName name="urban_kiosk_to" localSheetId="7">#REF!</definedName>
    <definedName name="urban_kiosk_to" localSheetId="6">#REF!</definedName>
    <definedName name="urban_kiosk_to">#REF!</definedName>
    <definedName name="urban_shop_TO" localSheetId="5">#REF!</definedName>
    <definedName name="urban_shop_TO" localSheetId="7">#REF!</definedName>
    <definedName name="urban_shop_TO" localSheetId="6">#REF!</definedName>
    <definedName name="urban_shop_TO">#REF!</definedName>
    <definedName name="Urbanpopulationpercentage" localSheetId="5">#REF!</definedName>
    <definedName name="Urbanpopulationpercentage" localSheetId="7">#REF!</definedName>
    <definedName name="Urbanpopulationpercentage" localSheetId="6">#REF!</definedName>
    <definedName name="Urbanpopulationpercentage">#REF!</definedName>
    <definedName name="USD.A" localSheetId="5">#REF!</definedName>
    <definedName name="USD.A" localSheetId="7">#REF!</definedName>
    <definedName name="USD.A" localSheetId="6">#REF!</definedName>
    <definedName name="USD.A">#REF!</definedName>
    <definedName name="USD.E" localSheetId="5">#REF!</definedName>
    <definedName name="USD.E" localSheetId="7">#REF!</definedName>
    <definedName name="USD.E" localSheetId="6">#REF!</definedName>
    <definedName name="USD.E">#REF!</definedName>
    <definedName name="USD_B" localSheetId="5">#REF!</definedName>
    <definedName name="USD_B" localSheetId="7">#REF!</definedName>
    <definedName name="USD_B" localSheetId="6">#REF!</definedName>
    <definedName name="USD_B">#REF!</definedName>
    <definedName name="UseEPS" localSheetId="5">#REF!</definedName>
    <definedName name="UseEPS" localSheetId="7">#REF!</definedName>
    <definedName name="UseEPS" localSheetId="6">#REF!</definedName>
    <definedName name="UseEPS">#REF!</definedName>
    <definedName name="User1_Access" localSheetId="5">#REF!</definedName>
    <definedName name="User1_Access" localSheetId="7">#REF!</definedName>
    <definedName name="User1_Access" localSheetId="6">#REF!</definedName>
    <definedName name="User1_Access">#REF!</definedName>
    <definedName name="User1_IOC" localSheetId="5">#REF!</definedName>
    <definedName name="User1_IOC" localSheetId="7">#REF!</definedName>
    <definedName name="User1_IOC" localSheetId="6">#REF!</definedName>
    <definedName name="User1_IOC">#REF!</definedName>
    <definedName name="User2_Access" localSheetId="5">#REF!</definedName>
    <definedName name="User2_Access" localSheetId="7">#REF!</definedName>
    <definedName name="User2_Access" localSheetId="6">#REF!</definedName>
    <definedName name="User2_Access">#REF!</definedName>
    <definedName name="User2_IOC" localSheetId="5">#REF!</definedName>
    <definedName name="User2_IOC" localSheetId="7">#REF!</definedName>
    <definedName name="User2_IOC" localSheetId="6">#REF!</definedName>
    <definedName name="User2_IOC">#REF!</definedName>
    <definedName name="User3_T11_GDA" localSheetId="5">#REF!</definedName>
    <definedName name="User3_T11_GDA" localSheetId="7">#REF!</definedName>
    <definedName name="User3_T11_GDA" localSheetId="6">#REF!</definedName>
    <definedName name="User3_T11_GDA">#REF!</definedName>
    <definedName name="User3_T11_T1" localSheetId="5">#REF!</definedName>
    <definedName name="User3_T11_T1" localSheetId="7">#REF!</definedName>
    <definedName name="User3_T11_T1" localSheetId="6">#REF!</definedName>
    <definedName name="User3_T11_T1">#REF!</definedName>
    <definedName name="User3_T9_56k" localSheetId="5">#REF!</definedName>
    <definedName name="User3_T9_56k" localSheetId="7">#REF!</definedName>
    <definedName name="User3_T9_56k" localSheetId="6">#REF!</definedName>
    <definedName name="User3_T9_56k">#REF!</definedName>
    <definedName name="User3_T9_IBR" localSheetId="5">#REF!</definedName>
    <definedName name="User3_T9_IBR" localSheetId="7">#REF!</definedName>
    <definedName name="User3_T9_IBR" localSheetId="6">#REF!</definedName>
    <definedName name="User3_T9_IBR">#REF!</definedName>
    <definedName name="User3_T9_T1" localSheetId="5">#REF!</definedName>
    <definedName name="User3_T9_T1" localSheetId="7">#REF!</definedName>
    <definedName name="User3_T9_T1" localSheetId="6">#REF!</definedName>
    <definedName name="User3_T9_T1">#REF!</definedName>
    <definedName name="User4_T11_GDA" localSheetId="5">#REF!</definedName>
    <definedName name="User4_T11_GDA" localSheetId="7">#REF!</definedName>
    <definedName name="User4_T11_GDA" localSheetId="6">#REF!</definedName>
    <definedName name="User4_T11_GDA">#REF!</definedName>
    <definedName name="User4_T11_T1" localSheetId="5">#REF!</definedName>
    <definedName name="User4_T11_T1" localSheetId="7">#REF!</definedName>
    <definedName name="User4_T11_T1" localSheetId="6">#REF!</definedName>
    <definedName name="User4_T11_T1">#REF!</definedName>
    <definedName name="User4_T9_56k" localSheetId="5">#REF!</definedName>
    <definedName name="User4_T9_56k" localSheetId="7">#REF!</definedName>
    <definedName name="User4_T9_56k" localSheetId="6">#REF!</definedName>
    <definedName name="User4_T9_56k">#REF!</definedName>
    <definedName name="User4_T9_IBR" localSheetId="5">#REF!</definedName>
    <definedName name="User4_T9_IBR" localSheetId="7">#REF!</definedName>
    <definedName name="User4_T9_IBR" localSheetId="6">#REF!</definedName>
    <definedName name="User4_T9_IBR">#REF!</definedName>
    <definedName name="User4_T9_T1" localSheetId="5">#REF!</definedName>
    <definedName name="User4_T9_T1" localSheetId="7">#REF!</definedName>
    <definedName name="User4_T9_T1" localSheetId="6">#REF!</definedName>
    <definedName name="User4_T9_T1">#REF!</definedName>
    <definedName name="User5_Access" localSheetId="5">#REF!</definedName>
    <definedName name="User5_Access" localSheetId="7">#REF!</definedName>
    <definedName name="User5_Access" localSheetId="6">#REF!</definedName>
    <definedName name="User5_Access">#REF!</definedName>
    <definedName name="User5_Components" localSheetId="5">#REF!</definedName>
    <definedName name="User5_Components" localSheetId="7">#REF!</definedName>
    <definedName name="User5_Components" localSheetId="6">#REF!</definedName>
    <definedName name="User5_Components">#REF!</definedName>
    <definedName name="User5_IOC" localSheetId="5">#REF!</definedName>
    <definedName name="User5_IOC" localSheetId="7">#REF!</definedName>
    <definedName name="User5_IOC" localSheetId="6">#REF!</definedName>
    <definedName name="User5_IOC">#REF!</definedName>
    <definedName name="uy" localSheetId="5">#REF!</definedName>
    <definedName name="uy" localSheetId="7">#REF!</definedName>
    <definedName name="uy" localSheetId="6">#REF!</definedName>
    <definedName name="uy">#REF!</definedName>
    <definedName name="v" localSheetId="5">#REF!,#REF!</definedName>
    <definedName name="v" localSheetId="7">#REF!,#REF!</definedName>
    <definedName name="v" localSheetId="6">#REF!,#REF!</definedName>
    <definedName name="v">#REF!,#REF!</definedName>
    <definedName name="vdfv" localSheetId="5">#REF!</definedName>
    <definedName name="vdfv" localSheetId="7">#REF!</definedName>
    <definedName name="vdfv" localSheetId="6">#REF!</definedName>
    <definedName name="vdfv">#REF!</definedName>
    <definedName name="VLSI" localSheetId="5">#REF!</definedName>
    <definedName name="VLSI" localSheetId="7">#REF!</definedName>
    <definedName name="VLSI" localSheetId="6">#REF!</definedName>
    <definedName name="VLSI">#REF!</definedName>
    <definedName name="VLSIsum" localSheetId="5">#REF!</definedName>
    <definedName name="VLSIsum" localSheetId="7">#REF!</definedName>
    <definedName name="VLSIsum" localSheetId="6">#REF!</definedName>
    <definedName name="VLSIsum">#REF!</definedName>
    <definedName name="Volume" localSheetId="5">#REF!</definedName>
    <definedName name="Volume" localSheetId="7">#REF!</definedName>
    <definedName name="Volume" localSheetId="6">#REF!</definedName>
    <definedName name="Volume">#REF!</definedName>
    <definedName name="VOLVO_INDIA_PRIVATE_LIMITED" localSheetId="5">#REF!</definedName>
    <definedName name="VOLVO_INDIA_PRIVATE_LIMITED" localSheetId="7">#REF!</definedName>
    <definedName name="VOLVO_INDIA_PRIVATE_LIMITED" localSheetId="6">#REF!</definedName>
    <definedName name="VOLVO_INDIA_PRIVATE_LIMITED">#REF!</definedName>
    <definedName name="VP" localSheetId="5">#REF!</definedName>
    <definedName name="VP" localSheetId="7">#REF!</definedName>
    <definedName name="VP" localSheetId="6">#REF!</definedName>
    <definedName name="VP">#REF!</definedName>
    <definedName name="vpc_share" localSheetId="5">#REF!</definedName>
    <definedName name="vpc_share" localSheetId="7">#REF!</definedName>
    <definedName name="vpc_share" localSheetId="6">#REF!</definedName>
    <definedName name="vpc_share">#REF!</definedName>
    <definedName name="vvvv" localSheetId="5">#REF!</definedName>
    <definedName name="vvvv" localSheetId="7">#REF!</definedName>
    <definedName name="vvvv" localSheetId="6">#REF!</definedName>
    <definedName name="vvvv">#REF!</definedName>
    <definedName name="wcap" localSheetId="5">#REF!</definedName>
    <definedName name="wcap" localSheetId="7">#REF!</definedName>
    <definedName name="wcap" localSheetId="6">#REF!</definedName>
    <definedName name="wcap">#REF!</definedName>
    <definedName name="wdvadditionalhead1" localSheetId="5">#REF!</definedName>
    <definedName name="wdvadditionalhead1" localSheetId="7">#REF!</definedName>
    <definedName name="wdvadditionalhead1" localSheetId="6">#REF!</definedName>
    <definedName name="wdvadditionalhead1">#REF!</definedName>
    <definedName name="wdvadditionalhead2" localSheetId="5">#REF!</definedName>
    <definedName name="wdvadditionalhead2" localSheetId="7">#REF!</definedName>
    <definedName name="wdvadditionalhead2" localSheetId="6">#REF!</definedName>
    <definedName name="wdvadditionalhead2">#REF!</definedName>
    <definedName name="wdvcivil" localSheetId="5">#REF!</definedName>
    <definedName name="wdvcivil" localSheetId="7">#REF!</definedName>
    <definedName name="wdvcivil" localSheetId="6">#REF!</definedName>
    <definedName name="wdvcivil">#REF!</definedName>
    <definedName name="wdvduct" localSheetId="5">#REF!</definedName>
    <definedName name="wdvduct" localSheetId="7">#REF!</definedName>
    <definedName name="wdvduct" localSheetId="6">#REF!</definedName>
    <definedName name="wdvduct">#REF!</definedName>
    <definedName name="wdvelectro" localSheetId="5">#REF!</definedName>
    <definedName name="wdvelectro" localSheetId="7">#REF!</definedName>
    <definedName name="wdvelectro" localSheetId="6">#REF!</definedName>
    <definedName name="wdvelectro">#REF!</definedName>
    <definedName name="wdvutilities" localSheetId="5">#REF!</definedName>
    <definedName name="wdvutilities" localSheetId="7">#REF!</definedName>
    <definedName name="wdvutilities" localSheetId="6">#REF!</definedName>
    <definedName name="wdvutilities">#REF!</definedName>
    <definedName name="we" localSheetId="5">#REF!</definedName>
    <definedName name="we" localSheetId="7">#REF!</definedName>
    <definedName name="we" localSheetId="6">#REF!</definedName>
    <definedName name="we">#REF!</definedName>
    <definedName name="wer" localSheetId="5">#REF!</definedName>
    <definedName name="wer" localSheetId="7">#REF!</definedName>
    <definedName name="wer" localSheetId="6">#REF!</definedName>
    <definedName name="wer">#REF!</definedName>
    <definedName name="Work_C" localSheetId="5">#REF!</definedName>
    <definedName name="Work_C" localSheetId="7">#REF!</definedName>
    <definedName name="Work_C" localSheetId="6">#REF!</definedName>
    <definedName name="Work_C">#REF!</definedName>
    <definedName name="Workings" localSheetId="5">#REF!</definedName>
    <definedName name="Workings" localSheetId="7">#REF!</definedName>
    <definedName name="Workings" localSheetId="6">#REF!</definedName>
    <definedName name="Workings">#REF!</definedName>
    <definedName name="wwwww" localSheetId="5">#REF!</definedName>
    <definedName name="wwwww" localSheetId="7">#REF!</definedName>
    <definedName name="wwwww" localSheetId="6">#REF!</definedName>
    <definedName name="wwwww">#REF!</definedName>
    <definedName name="x" localSheetId="5">#REF!</definedName>
    <definedName name="x" localSheetId="7">#REF!</definedName>
    <definedName name="x" localSheetId="6">#REF!</definedName>
    <definedName name="x">#REF!</definedName>
    <definedName name="XLOPTvec">"4 15 1 125 1 0 1 1 1 1 1 1 0 0 1 0 0 0 0 0"</definedName>
    <definedName name="xvhxh" localSheetId="5">#REF!</definedName>
    <definedName name="xvhxh" localSheetId="7">#REF!</definedName>
    <definedName name="xvhxh" localSheetId="6">#REF!</definedName>
    <definedName name="xvhxh">#REF!</definedName>
    <definedName name="xx">#N/A</definedName>
    <definedName name="XXX" localSheetId="5">#REF!</definedName>
    <definedName name="XXX" localSheetId="7">#REF!</definedName>
    <definedName name="XXX" localSheetId="6">#REF!</definedName>
    <definedName name="XXX">#REF!</definedName>
    <definedName name="XYZ" localSheetId="5">#REF!,#REF!</definedName>
    <definedName name="XYZ" localSheetId="7">#REF!,#REF!</definedName>
    <definedName name="XYZ" localSheetId="6">#REF!,#REF!</definedName>
    <definedName name="XYZ">#REF!,#REF!</definedName>
    <definedName name="y" localSheetId="5">#REF!</definedName>
    <definedName name="y" localSheetId="7">#REF!</definedName>
    <definedName name="y" localSheetId="6">#REF!</definedName>
    <definedName name="y">#REF!</definedName>
    <definedName name="YE8389DE" localSheetId="5">#REF!</definedName>
    <definedName name="YE8389DE" localSheetId="7">#REF!</definedName>
    <definedName name="YE8389DE" localSheetId="6">#REF!</definedName>
    <definedName name="YE8389DE">#REF!</definedName>
    <definedName name="yearly_inc_license_fee" localSheetId="5">#REF!</definedName>
    <definedName name="yearly_inc_license_fee" localSheetId="7">#REF!</definedName>
    <definedName name="yearly_inc_license_fee" localSheetId="6">#REF!</definedName>
    <definedName name="yearly_inc_license_fee">#REF!</definedName>
    <definedName name="YearStart1" localSheetId="5">#REF!</definedName>
    <definedName name="YearStart1" localSheetId="7">#REF!</definedName>
    <definedName name="YearStart1" localSheetId="6">#REF!</definedName>
    <definedName name="YearStart1">#REF!</definedName>
    <definedName name="YearStart2" localSheetId="5">#REF!</definedName>
    <definedName name="YearStart2" localSheetId="7">#REF!</definedName>
    <definedName name="YearStart2" localSheetId="6">#REF!</definedName>
    <definedName name="YearStart2">#REF!</definedName>
    <definedName name="YearStart3" localSheetId="5">#REF!</definedName>
    <definedName name="YearStart3" localSheetId="7">#REF!</definedName>
    <definedName name="YearStart3" localSheetId="6">#REF!</definedName>
    <definedName name="YearStart3">#REF!</definedName>
    <definedName name="YearStart4" localSheetId="5">#REF!</definedName>
    <definedName name="YearStart4" localSheetId="7">#REF!</definedName>
    <definedName name="YearStart4" localSheetId="6">#REF!</definedName>
    <definedName name="YearStart4">#REF!</definedName>
    <definedName name="YearStart5" localSheetId="5">#REF!</definedName>
    <definedName name="YearStart5" localSheetId="7">#REF!</definedName>
    <definedName name="YearStart5" localSheetId="6">#REF!</definedName>
    <definedName name="YearStart5">#REF!</definedName>
    <definedName name="YearStart6" localSheetId="5">#REF!</definedName>
    <definedName name="YearStart6" localSheetId="7">#REF!</definedName>
    <definedName name="YearStart6" localSheetId="6">#REF!</definedName>
    <definedName name="YearStart6">#REF!</definedName>
    <definedName name="YearStart7" localSheetId="5">#REF!</definedName>
    <definedName name="YearStart7" localSheetId="7">#REF!</definedName>
    <definedName name="YearStart7" localSheetId="6">#REF!</definedName>
    <definedName name="YearStart7">#REF!</definedName>
    <definedName name="Yr0days" localSheetId="5">#REF!</definedName>
    <definedName name="Yr0days" localSheetId="7">#REF!</definedName>
    <definedName name="Yr0days" localSheetId="6">#REF!</definedName>
    <definedName name="Yr0days">#REF!</definedName>
    <definedName name="Yr1_Months_of_opn" localSheetId="5">#REF!</definedName>
    <definedName name="Yr1_Months_of_opn" localSheetId="7">#REF!</definedName>
    <definedName name="Yr1_Months_of_opn" localSheetId="6">#REF!</definedName>
    <definedName name="Yr1_Months_of_opn">#REF!</definedName>
    <definedName name="ytdinr" localSheetId="5">#REF!</definedName>
    <definedName name="ytdinr" localSheetId="7">#REF!</definedName>
    <definedName name="ytdinr" localSheetId="6">#REF!</definedName>
    <definedName name="ytdinr">#REF!</definedName>
    <definedName name="ytdusd" localSheetId="5">#REF!</definedName>
    <definedName name="ytdusd" localSheetId="7">#REF!</definedName>
    <definedName name="ytdusd" localSheetId="6">#REF!</definedName>
    <definedName name="ytdusd">#REF!</definedName>
    <definedName name="yui" localSheetId="5">#REF!</definedName>
    <definedName name="yui" localSheetId="7">#REF!</definedName>
    <definedName name="yui" localSheetId="6">#REF!</definedName>
    <definedName name="yui">#REF!</definedName>
    <definedName name="Z_0185ADC1_3830_11D3_88E4_00104B2D4E50_.wvu.FilterData" localSheetId="5" hidden="1">#REF!</definedName>
    <definedName name="Z_0185ADC1_3830_11D3_88E4_00104B2D4E50_.wvu.FilterData" localSheetId="7" hidden="1">#REF!</definedName>
    <definedName name="Z_0185ADC1_3830_11D3_88E4_00104B2D4E50_.wvu.FilterData" localSheetId="6" hidden="1">#REF!</definedName>
    <definedName name="Z_0185ADC1_3830_11D3_88E4_00104B2D4E50_.wvu.FilterData" hidden="1">#REF!</definedName>
    <definedName name="Z_0185ADC2_3830_11D3_88E4_00104B2D4E50_.wvu.FilterData" localSheetId="5" hidden="1">#REF!</definedName>
    <definedName name="Z_0185ADC2_3830_11D3_88E4_00104B2D4E50_.wvu.FilterData" localSheetId="7" hidden="1">#REF!</definedName>
    <definedName name="Z_0185ADC2_3830_11D3_88E4_00104B2D4E50_.wvu.FilterData" localSheetId="6" hidden="1">#REF!</definedName>
    <definedName name="Z_0185ADC2_3830_11D3_88E4_00104B2D4E50_.wvu.FilterData" hidden="1">#REF!</definedName>
    <definedName name="Z_020243C4_4FC9_11D3_88E5_00104B2D4E50_.wvu.FilterData" localSheetId="5" hidden="1">#REF!</definedName>
    <definedName name="Z_020243C4_4FC9_11D3_88E5_00104B2D4E50_.wvu.FilterData" localSheetId="7" hidden="1">#REF!</definedName>
    <definedName name="Z_020243C4_4FC9_11D3_88E5_00104B2D4E50_.wvu.FilterData" localSheetId="6" hidden="1">#REF!</definedName>
    <definedName name="Z_020243C4_4FC9_11D3_88E5_00104B2D4E50_.wvu.FilterData" hidden="1">#REF!</definedName>
    <definedName name="Z_020243C5_4FC9_11D3_88E5_00104B2D4E50_.wvu.FilterData" localSheetId="5" hidden="1">#REF!</definedName>
    <definedName name="Z_020243C5_4FC9_11D3_88E5_00104B2D4E50_.wvu.FilterData" localSheetId="7" hidden="1">#REF!</definedName>
    <definedName name="Z_020243C5_4FC9_11D3_88E5_00104B2D4E50_.wvu.FilterData" localSheetId="6" hidden="1">#REF!</definedName>
    <definedName name="Z_020243C5_4FC9_11D3_88E5_00104B2D4E50_.wvu.FilterData" hidden="1">#REF!</definedName>
    <definedName name="Z_020243D6_4FC9_11D3_88E5_00104B2D4E50_.wvu.FilterData" localSheetId="5" hidden="1">#REF!</definedName>
    <definedName name="Z_020243D6_4FC9_11D3_88E5_00104B2D4E50_.wvu.FilterData" localSheetId="7" hidden="1">#REF!</definedName>
    <definedName name="Z_020243D6_4FC9_11D3_88E5_00104B2D4E50_.wvu.FilterData" localSheetId="6" hidden="1">#REF!</definedName>
    <definedName name="Z_020243D6_4FC9_11D3_88E5_00104B2D4E50_.wvu.FilterData" hidden="1">#REF!</definedName>
    <definedName name="Z_020243D9_4FC9_11D3_88E5_00104B2D4E50_.wvu.FilterData" localSheetId="5" hidden="1">#REF!</definedName>
    <definedName name="Z_020243D9_4FC9_11D3_88E5_00104B2D4E50_.wvu.FilterData" localSheetId="7" hidden="1">#REF!</definedName>
    <definedName name="Z_020243D9_4FC9_11D3_88E5_00104B2D4E50_.wvu.FilterData" localSheetId="6" hidden="1">#REF!</definedName>
    <definedName name="Z_020243D9_4FC9_11D3_88E5_00104B2D4E50_.wvu.FilterData" hidden="1">#REF!</definedName>
    <definedName name="Z_18E867C2_363F_11D3_B384_00104B203064_.wvu.Cols" localSheetId="5" hidden="1">#REF!</definedName>
    <definedName name="Z_18E867C2_363F_11D3_B384_00104B203064_.wvu.Cols" localSheetId="7" hidden="1">#REF!</definedName>
    <definedName name="Z_18E867C2_363F_11D3_B384_00104B203064_.wvu.Cols" localSheetId="6" hidden="1">#REF!</definedName>
    <definedName name="Z_18E867C2_363F_11D3_B384_00104B203064_.wvu.Cols" hidden="1">#REF!</definedName>
    <definedName name="Z_18E867C2_363F_11D3_B384_00104B203064_.wvu.FilterData" localSheetId="5" hidden="1">#REF!</definedName>
    <definedName name="Z_18E867C2_363F_11D3_B384_00104B203064_.wvu.FilterData" localSheetId="7" hidden="1">#REF!</definedName>
    <definedName name="Z_18E867C2_363F_11D3_B384_00104B203064_.wvu.FilterData" localSheetId="6" hidden="1">#REF!</definedName>
    <definedName name="Z_18E867C2_363F_11D3_B384_00104B203064_.wvu.FilterData" hidden="1">#REF!</definedName>
    <definedName name="Z_18E867C6_363F_11D3_B384_00104B203064_.wvu.FilterData" localSheetId="5" hidden="1">#REF!</definedName>
    <definedName name="Z_18E867C6_363F_11D3_B384_00104B203064_.wvu.FilterData" localSheetId="7" hidden="1">#REF!</definedName>
    <definedName name="Z_18E867C6_363F_11D3_B384_00104B203064_.wvu.FilterData" localSheetId="6" hidden="1">#REF!</definedName>
    <definedName name="Z_18E867C6_363F_11D3_B384_00104B203064_.wvu.FilterData" hidden="1">#REF!</definedName>
    <definedName name="Z_2529F30F_675A_11D3_88E6_00104B2D4E50_.wvu.FilterData" localSheetId="5" hidden="1">#REF!</definedName>
    <definedName name="Z_2529F30F_675A_11D3_88E6_00104B2D4E50_.wvu.FilterData" localSheetId="7" hidden="1">#REF!</definedName>
    <definedName name="Z_2529F30F_675A_11D3_88E6_00104B2D4E50_.wvu.FilterData" localSheetId="6" hidden="1">#REF!</definedName>
    <definedName name="Z_2529F30F_675A_11D3_88E6_00104B2D4E50_.wvu.FilterData" hidden="1">#REF!</definedName>
    <definedName name="Z_37C90060_2018_11D3_9FEA_008048EE1BB3_.wvu.Cols" localSheetId="5" hidden="1">#REF!</definedName>
    <definedName name="Z_37C90060_2018_11D3_9FEA_008048EE1BB3_.wvu.Cols" localSheetId="7" hidden="1">#REF!</definedName>
    <definedName name="Z_37C90060_2018_11D3_9FEA_008048EE1BB3_.wvu.Cols" localSheetId="6" hidden="1">#REF!</definedName>
    <definedName name="Z_37C90060_2018_11D3_9FEA_008048EE1BB3_.wvu.Cols" hidden="1">#REF!</definedName>
    <definedName name="Z_37C90060_2018_11D3_9FEA_008048EE1BB3_.wvu.FilterData" localSheetId="5" hidden="1">#REF!</definedName>
    <definedName name="Z_37C90060_2018_11D3_9FEA_008048EE1BB3_.wvu.FilterData" localSheetId="7" hidden="1">#REF!</definedName>
    <definedName name="Z_37C90060_2018_11D3_9FEA_008048EE1BB3_.wvu.FilterData" localSheetId="6" hidden="1">#REF!</definedName>
    <definedName name="Z_37C90060_2018_11D3_9FEA_008048EE1BB3_.wvu.FilterData" hidden="1">#REF!</definedName>
    <definedName name="Z_37C90061_2018_11D3_9FEA_008048EE1BB3_.wvu.FilterData" localSheetId="5" hidden="1">#REF!</definedName>
    <definedName name="Z_37C90061_2018_11D3_9FEA_008048EE1BB3_.wvu.FilterData" localSheetId="7" hidden="1">#REF!</definedName>
    <definedName name="Z_37C90061_2018_11D3_9FEA_008048EE1BB3_.wvu.FilterData" localSheetId="6" hidden="1">#REF!</definedName>
    <definedName name="Z_37C90061_2018_11D3_9FEA_008048EE1BB3_.wvu.FilterData" hidden="1">#REF!</definedName>
    <definedName name="Z_37C90063_2018_11D3_9FEA_008048EE1BB3_.wvu.FilterData" localSheetId="5" hidden="1">#REF!</definedName>
    <definedName name="Z_37C90063_2018_11D3_9FEA_008048EE1BB3_.wvu.FilterData" localSheetId="7" hidden="1">#REF!</definedName>
    <definedName name="Z_37C90063_2018_11D3_9FEA_008048EE1BB3_.wvu.FilterData" localSheetId="6" hidden="1">#REF!</definedName>
    <definedName name="Z_37C90063_2018_11D3_9FEA_008048EE1BB3_.wvu.FilterData" hidden="1">#REF!</definedName>
    <definedName name="Z_42177D60_3622_11D3_B2D2_008048EE2662_.wvu.FilterData" localSheetId="5" hidden="1">#REF!</definedName>
    <definedName name="Z_42177D60_3622_11D3_B2D2_008048EE2662_.wvu.FilterData" localSheetId="7" hidden="1">#REF!</definedName>
    <definedName name="Z_42177D60_3622_11D3_B2D2_008048EE2662_.wvu.FilterData" localSheetId="6" hidden="1">#REF!</definedName>
    <definedName name="Z_42177D60_3622_11D3_B2D2_008048EE2662_.wvu.FilterData" hidden="1">#REF!</definedName>
    <definedName name="Z_87846904_F246_11D2_88E4_00104B2D4E50_.wvu.PrintTitles" localSheetId="5">#REF!,#REF!</definedName>
    <definedName name="Z_87846904_F246_11D2_88E4_00104B2D4E50_.wvu.PrintTitles" localSheetId="7">#REF!,#REF!</definedName>
    <definedName name="Z_87846904_F246_11D2_88E4_00104B2D4E50_.wvu.PrintTitles" localSheetId="6">#REF!,#REF!</definedName>
    <definedName name="Z_87846904_F246_11D2_88E4_00104B2D4E50_.wvu.PrintTitles">#REF!,#REF!</definedName>
    <definedName name="Z_9C36B7A0_8E17_11D3_B2D2_008048EE2662_.wvu.Rows" localSheetId="5">#REF!,#REF!,#REF!</definedName>
    <definedName name="Z_9C36B7A0_8E17_11D3_B2D2_008048EE2662_.wvu.Rows" localSheetId="7">#REF!,#REF!,#REF!</definedName>
    <definedName name="Z_9C36B7A0_8E17_11D3_B2D2_008048EE2662_.wvu.Rows" localSheetId="6">#REF!,#REF!,#REF!</definedName>
    <definedName name="Z_9C36B7A0_8E17_11D3_B2D2_008048EE2662_.wvu.Rows">#REF!,#REF!,#REF!</definedName>
    <definedName name="Z_AF67EA27_37A9_11D3_88E4_00104B2D4E50_.wvu.FilterData" localSheetId="5" hidden="1">#REF!</definedName>
    <definedName name="Z_AF67EA27_37A9_11D3_88E4_00104B2D4E50_.wvu.FilterData" localSheetId="7" hidden="1">#REF!</definedName>
    <definedName name="Z_AF67EA27_37A9_11D3_88E4_00104B2D4E50_.wvu.FilterData" localSheetId="6" hidden="1">#REF!</definedName>
    <definedName name="Z_AF67EA27_37A9_11D3_88E4_00104B2D4E50_.wvu.FilterData" hidden="1">#REF!</definedName>
    <definedName name="Z_CC26C000_67A6_11D3_B801_444553540000_.wvu.FilterData" localSheetId="5" hidden="1">#REF!</definedName>
    <definedName name="Z_CC26C000_67A6_11D3_B801_444553540000_.wvu.FilterData" localSheetId="7" hidden="1">#REF!</definedName>
    <definedName name="Z_CC26C000_67A6_11D3_B801_444553540000_.wvu.FilterData" localSheetId="6" hidden="1">#REF!</definedName>
    <definedName name="Z_CC26C000_67A6_11D3_B801_444553540000_.wvu.FilterData" hidden="1">#REF!</definedName>
    <definedName name="Z_D840F8B1_668B_11D3_88E6_00104B2D4E50_.wvu.FilterData" localSheetId="5" hidden="1">#REF!</definedName>
    <definedName name="Z_D840F8B1_668B_11D3_88E6_00104B2D4E50_.wvu.FilterData" localSheetId="7" hidden="1">#REF!</definedName>
    <definedName name="Z_D840F8B1_668B_11D3_88E6_00104B2D4E50_.wvu.FilterData" localSheetId="6" hidden="1">#REF!</definedName>
    <definedName name="Z_D840F8B1_668B_11D3_88E6_00104B2D4E50_.wvu.FilterData" hidden="1">#REF!</definedName>
    <definedName name="Z_F0339D6F_2232_11D3_88E4_00104B2D4E50_.wvu.FilterData" localSheetId="5" hidden="1">#REF!</definedName>
    <definedName name="Z_F0339D6F_2232_11D3_88E4_00104B2D4E50_.wvu.FilterData" localSheetId="7" hidden="1">#REF!</definedName>
    <definedName name="Z_F0339D6F_2232_11D3_88E4_00104B2D4E50_.wvu.FilterData" localSheetId="6" hidden="1">#REF!</definedName>
    <definedName name="Z_F0339D6F_2232_11D3_88E4_00104B2D4E50_.wvu.FilterData" hidden="1">#REF!</definedName>
    <definedName name="zz" localSheetId="5">#REF!</definedName>
    <definedName name="zz" localSheetId="7">#REF!</definedName>
    <definedName name="zz" localSheetId="6">#REF!</definedName>
    <definedName name="zz">#REF!</definedName>
    <definedName name="ZZZZZ" localSheetId="5">#REF!</definedName>
    <definedName name="ZZZZZ" localSheetId="7">#REF!</definedName>
    <definedName name="ZZZZZ" localSheetId="6">#REF!</definedName>
    <definedName name="ZZZZZ">#REF!</definedName>
  </definedNames>
  <calcPr calcId="191029"/>
  <pivotCaches>
    <pivotCache cacheId="57" r:id="rId26"/>
    <pivotCache cacheId="58"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3" i="34" l="1"/>
  <c r="H152" i="34"/>
  <c r="I152" i="34" s="1"/>
  <c r="H151" i="34"/>
  <c r="H150" i="34"/>
  <c r="H149" i="34"/>
  <c r="H148" i="34"/>
  <c r="H147" i="34"/>
  <c r="H146" i="34"/>
  <c r="H145" i="34"/>
  <c r="H144" i="34"/>
  <c r="H143" i="34"/>
  <c r="H142" i="34"/>
  <c r="H141" i="34"/>
  <c r="H140" i="34"/>
  <c r="H139" i="34"/>
  <c r="H138" i="34"/>
  <c r="H137" i="34"/>
  <c r="H136" i="34"/>
  <c r="H134" i="34"/>
  <c r="H133" i="34"/>
  <c r="H132" i="34"/>
  <c r="H131" i="34"/>
  <c r="H130" i="34"/>
  <c r="H129" i="34"/>
  <c r="H128" i="34"/>
  <c r="H127" i="34"/>
  <c r="H126" i="34"/>
  <c r="H125" i="34"/>
  <c r="H124" i="34"/>
  <c r="H123" i="34"/>
  <c r="H122" i="34"/>
  <c r="H121" i="34"/>
  <c r="H120" i="34"/>
  <c r="H119" i="34"/>
  <c r="H118" i="34"/>
  <c r="H117" i="34"/>
  <c r="H116" i="34"/>
  <c r="H115" i="34"/>
  <c r="H114" i="34"/>
  <c r="H113" i="34"/>
  <c r="H112" i="34"/>
  <c r="H111" i="34"/>
  <c r="H110" i="34"/>
  <c r="H109" i="34"/>
  <c r="H108" i="34"/>
  <c r="H107" i="34"/>
  <c r="H106" i="34"/>
  <c r="H105" i="34"/>
  <c r="H104" i="34"/>
  <c r="H103" i="34"/>
  <c r="H102" i="34"/>
  <c r="H101" i="34"/>
  <c r="H100" i="34"/>
  <c r="H99" i="34"/>
  <c r="I99" i="34" s="1"/>
  <c r="H98" i="34"/>
  <c r="H97" i="34"/>
  <c r="H96" i="34"/>
  <c r="H95" i="34"/>
  <c r="H94" i="34"/>
  <c r="H93" i="34"/>
  <c r="H92" i="34"/>
  <c r="H91" i="34"/>
  <c r="H90" i="34"/>
  <c r="H89" i="34"/>
  <c r="H88" i="34"/>
  <c r="H87" i="34"/>
  <c r="H86" i="34"/>
  <c r="H85" i="34"/>
  <c r="H84" i="34"/>
  <c r="H83" i="34"/>
  <c r="H82" i="34"/>
  <c r="H81" i="34"/>
  <c r="H80" i="34"/>
  <c r="H79" i="34"/>
  <c r="H78" i="34"/>
  <c r="H77" i="34"/>
  <c r="H76" i="34"/>
  <c r="H75" i="34"/>
  <c r="H74" i="34"/>
  <c r="H73" i="34"/>
  <c r="H72" i="34"/>
  <c r="H71" i="34"/>
  <c r="H70" i="34"/>
  <c r="H69" i="34"/>
  <c r="H67" i="34"/>
  <c r="H66" i="34"/>
  <c r="H65" i="34"/>
  <c r="H64" i="34"/>
  <c r="H63" i="34"/>
  <c r="H62" i="34"/>
  <c r="H61" i="34"/>
  <c r="H60" i="34"/>
  <c r="H59" i="34"/>
  <c r="H58" i="34"/>
  <c r="H57" i="34"/>
  <c r="H56" i="34"/>
  <c r="H55" i="34"/>
  <c r="H54" i="34"/>
  <c r="H53" i="34"/>
  <c r="H52" i="34"/>
  <c r="H51" i="34"/>
  <c r="H50" i="34"/>
  <c r="H49" i="34"/>
  <c r="H48" i="34"/>
  <c r="H47" i="34"/>
  <c r="H46" i="34"/>
  <c r="H45" i="34"/>
  <c r="H44" i="34"/>
  <c r="H43" i="34"/>
  <c r="H42" i="34"/>
  <c r="H41" i="34"/>
  <c r="H40" i="34"/>
  <c r="H39" i="34"/>
  <c r="H38" i="34"/>
  <c r="H37" i="34"/>
  <c r="H36" i="34"/>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G8" i="34"/>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B31" i="25"/>
  <c r="C31" i="25"/>
  <c r="D31" i="25"/>
  <c r="E31" i="25"/>
  <c r="F31" i="25"/>
  <c r="G31" i="25"/>
  <c r="H31" i="25"/>
  <c r="I31" i="25"/>
  <c r="J31" i="25"/>
  <c r="O31" i="25"/>
  <c r="K34" i="25"/>
  <c r="Q34" i="25"/>
  <c r="R34" i="25"/>
  <c r="K35" i="25"/>
  <c r="L35" i="25"/>
  <c r="P35" i="25"/>
  <c r="Q35" i="25"/>
  <c r="R35" i="25"/>
  <c r="Z3" i="24"/>
  <c r="AC3" i="24"/>
  <c r="D6" i="24"/>
  <c r="D7" i="24"/>
  <c r="D8" i="24"/>
  <c r="D9" i="24"/>
  <c r="D10" i="24"/>
  <c r="D11" i="24"/>
  <c r="D12" i="24"/>
  <c r="D13" i="24"/>
  <c r="D14" i="24"/>
  <c r="D15" i="24"/>
  <c r="D16" i="24"/>
  <c r="D17" i="24"/>
  <c r="D18" i="24"/>
  <c r="D19" i="24"/>
  <c r="D20" i="24"/>
  <c r="D21" i="24"/>
  <c r="D22" i="24"/>
  <c r="D23" i="24"/>
  <c r="D24" i="24"/>
  <c r="D25" i="24"/>
  <c r="D26" i="24"/>
  <c r="D27" i="24"/>
  <c r="D28" i="24"/>
  <c r="D29" i="24"/>
  <c r="B30" i="24"/>
  <c r="D30" i="24"/>
  <c r="E30" i="24"/>
  <c r="F30" i="24"/>
  <c r="G30" i="24"/>
  <c r="H30" i="24"/>
  <c r="I30" i="24"/>
  <c r="J30" i="24"/>
  <c r="L30" i="24"/>
  <c r="O30" i="24"/>
  <c r="R32" i="24"/>
  <c r="L33" i="24"/>
  <c r="P33" i="24"/>
  <c r="Q33" i="24"/>
  <c r="R33" i="24"/>
  <c r="D4" i="23"/>
  <c r="D5" i="23"/>
  <c r="D6" i="23"/>
  <c r="D7" i="23"/>
  <c r="D8" i="23"/>
  <c r="D9" i="23"/>
  <c r="D10" i="23"/>
  <c r="D11" i="23"/>
  <c r="D12" i="23"/>
  <c r="D13" i="23"/>
  <c r="D14" i="23"/>
  <c r="D15" i="23"/>
  <c r="D16" i="23"/>
  <c r="D17" i="23"/>
  <c r="D18" i="23"/>
  <c r="D19" i="23"/>
  <c r="D20" i="23"/>
  <c r="D21" i="23"/>
  <c r="D22" i="23"/>
  <c r="D23" i="23"/>
  <c r="D24" i="23"/>
  <c r="D25" i="23"/>
  <c r="D26" i="23"/>
  <c r="D27" i="23"/>
  <c r="D28" i="23"/>
  <c r="N5" i="22"/>
  <c r="U5" i="22"/>
  <c r="X5" i="22"/>
  <c r="Y5" i="22"/>
  <c r="N6" i="22"/>
  <c r="U6" i="22"/>
  <c r="X6" i="22"/>
  <c r="Y6" i="22"/>
  <c r="N7" i="22"/>
  <c r="U7" i="22"/>
  <c r="X7" i="22"/>
  <c r="Y7" i="22"/>
  <c r="N8" i="22"/>
  <c r="U8" i="22"/>
  <c r="X8" i="22"/>
  <c r="Y8" i="22"/>
  <c r="N9" i="22"/>
  <c r="U9" i="22"/>
  <c r="X9" i="22"/>
  <c r="Y9" i="22"/>
  <c r="N10" i="22"/>
  <c r="U10" i="22"/>
  <c r="X10" i="22"/>
  <c r="Y10" i="22"/>
  <c r="N11" i="22"/>
  <c r="U11" i="22"/>
  <c r="X11" i="22"/>
  <c r="Y11" i="22"/>
  <c r="N12" i="22"/>
  <c r="U12" i="22"/>
  <c r="X12" i="22"/>
  <c r="Y12" i="22"/>
  <c r="N13" i="22"/>
  <c r="U13" i="22"/>
  <c r="X13" i="22"/>
  <c r="Y13" i="22"/>
  <c r="N14" i="22"/>
  <c r="U14" i="22"/>
  <c r="X14" i="22"/>
  <c r="Y14" i="22"/>
  <c r="N15" i="22"/>
  <c r="U15" i="22"/>
  <c r="X15" i="22"/>
  <c r="Y15" i="22"/>
  <c r="N16" i="22"/>
  <c r="U16" i="22"/>
  <c r="X16" i="22"/>
  <c r="Y16" i="22"/>
  <c r="N17" i="22"/>
  <c r="U17" i="22"/>
  <c r="X17" i="22"/>
  <c r="Y17" i="22"/>
  <c r="N18" i="22"/>
  <c r="U18" i="22"/>
  <c r="X18" i="22"/>
  <c r="Y18" i="22"/>
  <c r="N19" i="22"/>
  <c r="U19" i="22"/>
  <c r="X19" i="22"/>
  <c r="Y19" i="22"/>
  <c r="N20" i="22"/>
  <c r="U20" i="22"/>
  <c r="X20" i="22"/>
  <c r="Y20" i="22"/>
  <c r="N21" i="22"/>
  <c r="U21" i="22"/>
  <c r="X21" i="22"/>
  <c r="Y21" i="22"/>
  <c r="N22" i="22"/>
  <c r="U22" i="22"/>
  <c r="X22" i="22"/>
  <c r="Y22" i="22"/>
  <c r="N23" i="22"/>
  <c r="U23" i="22"/>
  <c r="X23" i="22"/>
  <c r="Y23" i="22"/>
  <c r="N24" i="22"/>
  <c r="U24" i="22"/>
  <c r="X24" i="22"/>
  <c r="Y24" i="22"/>
  <c r="N25" i="22"/>
  <c r="U25" i="22"/>
  <c r="X25" i="22"/>
  <c r="Y25" i="22"/>
  <c r="N26" i="22"/>
  <c r="U26" i="22"/>
  <c r="X26" i="22"/>
  <c r="Y26" i="22"/>
  <c r="N27" i="22"/>
  <c r="U27" i="22"/>
  <c r="X27" i="22"/>
  <c r="Y27" i="22"/>
  <c r="N28" i="22"/>
  <c r="U28" i="22"/>
  <c r="X28" i="22"/>
  <c r="Y28" i="22"/>
  <c r="N29" i="22"/>
  <c r="U29" i="22"/>
  <c r="X29" i="22"/>
  <c r="Y29" i="22"/>
  <c r="B31" i="22"/>
  <c r="D31" i="22"/>
  <c r="E31" i="22"/>
  <c r="F31" i="22"/>
  <c r="G31" i="22"/>
  <c r="H31" i="22"/>
  <c r="I31" i="22"/>
  <c r="J31" i="22"/>
  <c r="K31" i="22"/>
  <c r="L31" i="22"/>
  <c r="M31" i="22"/>
  <c r="N31" i="22" s="1"/>
  <c r="O31" i="22"/>
  <c r="P31" i="22"/>
  <c r="Q31" i="22"/>
  <c r="R31" i="22"/>
  <c r="S31" i="22"/>
  <c r="T31" i="22"/>
  <c r="U31" i="22" s="1"/>
  <c r="W31" i="22"/>
  <c r="X31" i="22" s="1"/>
  <c r="Y31" i="22"/>
  <c r="N5" i="21"/>
  <c r="U5" i="21"/>
  <c r="W5" i="21"/>
  <c r="X5" i="21"/>
  <c r="Y5" i="21"/>
  <c r="N6" i="21"/>
  <c r="U6" i="21"/>
  <c r="W6" i="21"/>
  <c r="X6" i="21"/>
  <c r="Y6" i="21"/>
  <c r="N7" i="21"/>
  <c r="U7" i="21"/>
  <c r="W7" i="21"/>
  <c r="X7" i="21"/>
  <c r="Y7" i="21"/>
  <c r="N8" i="21"/>
  <c r="U8" i="21"/>
  <c r="W8" i="21"/>
  <c r="X8" i="21"/>
  <c r="Y8" i="21"/>
  <c r="N9" i="21"/>
  <c r="U9" i="21"/>
  <c r="W9" i="21"/>
  <c r="X9" i="21"/>
  <c r="Y9" i="21"/>
  <c r="N10" i="21"/>
  <c r="U10" i="21"/>
  <c r="W10" i="21"/>
  <c r="X10" i="21"/>
  <c r="Y10" i="21"/>
  <c r="N11" i="21"/>
  <c r="U11" i="21"/>
  <c r="W11" i="21"/>
  <c r="X11" i="21"/>
  <c r="Y11" i="21"/>
  <c r="N12" i="21"/>
  <c r="U12" i="21"/>
  <c r="W12" i="21"/>
  <c r="X12" i="21"/>
  <c r="Y12" i="21"/>
  <c r="N13" i="21"/>
  <c r="U13" i="21"/>
  <c r="W13" i="21"/>
  <c r="X13" i="21"/>
  <c r="Y13" i="21"/>
  <c r="N14" i="21"/>
  <c r="U14" i="21"/>
  <c r="W14" i="21"/>
  <c r="X14" i="21"/>
  <c r="Y14" i="21"/>
  <c r="N15" i="21"/>
  <c r="U15" i="21"/>
  <c r="W15" i="21"/>
  <c r="X15" i="21"/>
  <c r="Y15" i="21"/>
  <c r="N16" i="21"/>
  <c r="U16" i="21"/>
  <c r="W16" i="21"/>
  <c r="X16" i="21"/>
  <c r="Y16" i="21"/>
  <c r="N17" i="21"/>
  <c r="U17" i="21"/>
  <c r="W17" i="21"/>
  <c r="X17" i="21"/>
  <c r="Y17" i="21"/>
  <c r="N18" i="21"/>
  <c r="U18" i="21"/>
  <c r="W18" i="21"/>
  <c r="X18" i="21"/>
  <c r="Y18" i="21"/>
  <c r="N19" i="21"/>
  <c r="U19" i="21"/>
  <c r="W19" i="21"/>
  <c r="X19" i="21"/>
  <c r="Y19" i="21"/>
  <c r="N20" i="21"/>
  <c r="U20" i="21"/>
  <c r="W20" i="21"/>
  <c r="X20" i="21"/>
  <c r="Y20" i="21"/>
  <c r="N21" i="21"/>
  <c r="U21" i="21"/>
  <c r="W21" i="21"/>
  <c r="X21" i="21"/>
  <c r="Y21" i="21"/>
  <c r="N22" i="21"/>
  <c r="U22" i="21"/>
  <c r="W22" i="21"/>
  <c r="X22" i="21"/>
  <c r="Y22" i="21"/>
  <c r="N23" i="21"/>
  <c r="U23" i="21"/>
  <c r="W23" i="21"/>
  <c r="X23" i="21"/>
  <c r="Y23" i="21"/>
  <c r="N24" i="21"/>
  <c r="U24" i="21"/>
  <c r="W24" i="21"/>
  <c r="X24" i="21"/>
  <c r="Y24" i="21"/>
  <c r="N25" i="21"/>
  <c r="U25" i="21"/>
  <c r="W25" i="21"/>
  <c r="X25" i="21"/>
  <c r="Y25" i="21"/>
  <c r="N26" i="21"/>
  <c r="U26" i="21"/>
  <c r="W26" i="21"/>
  <c r="X26" i="21"/>
  <c r="Y26" i="21"/>
  <c r="N27" i="21"/>
  <c r="U27" i="21"/>
  <c r="W27" i="21"/>
  <c r="X27" i="21"/>
  <c r="Y27" i="21"/>
  <c r="N28" i="21"/>
  <c r="U28" i="21"/>
  <c r="W28" i="21"/>
  <c r="X28" i="21"/>
  <c r="Y28" i="21"/>
  <c r="N29" i="21"/>
  <c r="U29" i="21"/>
  <c r="W29" i="21"/>
  <c r="X29" i="21"/>
  <c r="Y29" i="21"/>
  <c r="B30" i="21"/>
  <c r="D30" i="21"/>
  <c r="E30" i="21"/>
  <c r="F30" i="21"/>
  <c r="G30" i="21"/>
  <c r="H30" i="21"/>
  <c r="I30" i="21"/>
  <c r="J30" i="21"/>
  <c r="K30" i="21"/>
  <c r="L30" i="21"/>
  <c r="M30" i="21"/>
  <c r="N30" i="21" s="1"/>
  <c r="O30" i="21"/>
  <c r="P30" i="21"/>
  <c r="Q30" i="21"/>
  <c r="R30" i="21"/>
  <c r="S30" i="21"/>
  <c r="T30" i="21"/>
  <c r="U30" i="21"/>
  <c r="W30" i="21"/>
  <c r="X30" i="21"/>
  <c r="Y30" i="21"/>
  <c r="E529" i="19"/>
  <c r="F529" i="19"/>
  <c r="G529" i="19"/>
  <c r="H529" i="19"/>
  <c r="I529" i="19"/>
  <c r="J529" i="19"/>
  <c r="K529" i="19"/>
  <c r="L529" i="19"/>
  <c r="M529" i="19"/>
  <c r="N529" i="19"/>
  <c r="O529" i="19"/>
  <c r="P529" i="19"/>
  <c r="Q529" i="19"/>
  <c r="Q501" i="19"/>
  <c r="Q502" i="19"/>
  <c r="Q503" i="19"/>
  <c r="E504" i="19"/>
  <c r="F504" i="19"/>
  <c r="Q506" i="19"/>
  <c r="Q507" i="19"/>
  <c r="Q508" i="19"/>
  <c r="E509" i="19"/>
  <c r="F509" i="19"/>
  <c r="G509" i="19"/>
  <c r="H509" i="19"/>
  <c r="I509" i="19"/>
  <c r="J509" i="19"/>
  <c r="K509" i="19"/>
  <c r="L509" i="19"/>
  <c r="M509" i="19"/>
  <c r="N509" i="19"/>
  <c r="O509" i="19"/>
  <c r="P509" i="19"/>
  <c r="Q509" i="19"/>
  <c r="Q510" i="19"/>
  <c r="Q511" i="19"/>
  <c r="Q513" i="19"/>
  <c r="Q514" i="19"/>
  <c r="E515" i="19"/>
  <c r="F515" i="19"/>
  <c r="G515" i="19"/>
  <c r="H515" i="19"/>
  <c r="I515" i="19"/>
  <c r="J515" i="19"/>
  <c r="K515" i="19"/>
  <c r="L515" i="19"/>
  <c r="M515" i="19"/>
  <c r="N515" i="19"/>
  <c r="O515" i="19"/>
  <c r="P515" i="19"/>
  <c r="Q515" i="19"/>
  <c r="Q516" i="19"/>
  <c r="Q517" i="19"/>
  <c r="Q519" i="19"/>
  <c r="Q520" i="19"/>
  <c r="Q521" i="19"/>
  <c r="E522" i="19"/>
  <c r="F522" i="19"/>
  <c r="E523" i="19"/>
  <c r="F523" i="19"/>
  <c r="E525" i="19"/>
  <c r="F525" i="19"/>
  <c r="Q479" i="19"/>
  <c r="Q480" i="19"/>
  <c r="E482" i="19"/>
  <c r="F482" i="19"/>
  <c r="G482" i="19"/>
  <c r="H482" i="19"/>
  <c r="I482" i="19"/>
  <c r="J482" i="19"/>
  <c r="K482" i="19"/>
  <c r="L482" i="19"/>
  <c r="M482" i="19"/>
  <c r="N482" i="19"/>
  <c r="Q482" i="19"/>
  <c r="Q486" i="19"/>
  <c r="Q487" i="19"/>
  <c r="E489" i="19"/>
  <c r="F489" i="19"/>
  <c r="G489" i="19"/>
  <c r="H489" i="19"/>
  <c r="I489" i="19"/>
  <c r="J489" i="19"/>
  <c r="K489" i="19"/>
  <c r="L489" i="19"/>
  <c r="M489" i="19"/>
  <c r="N489" i="19"/>
  <c r="Q489" i="19"/>
  <c r="G493" i="19"/>
  <c r="H493" i="19"/>
  <c r="I493" i="19"/>
  <c r="J493" i="19"/>
  <c r="K493" i="19"/>
  <c r="L493" i="19"/>
  <c r="M493" i="19"/>
  <c r="N493" i="19"/>
  <c r="O493" i="19"/>
  <c r="P493" i="19"/>
  <c r="Q493" i="19"/>
  <c r="E494" i="19"/>
  <c r="F494" i="19"/>
  <c r="G494" i="19"/>
  <c r="H494" i="19"/>
  <c r="I494" i="19"/>
  <c r="J494" i="19"/>
  <c r="K494" i="19"/>
  <c r="L494" i="19"/>
  <c r="M494" i="19"/>
  <c r="N494" i="19"/>
  <c r="O494" i="19"/>
  <c r="P494" i="19"/>
  <c r="Q494" i="19"/>
  <c r="E496" i="19"/>
  <c r="F496" i="19"/>
  <c r="G496" i="19"/>
  <c r="H496" i="19"/>
  <c r="I496" i="19"/>
  <c r="J496" i="19"/>
  <c r="K496" i="19"/>
  <c r="L496" i="19"/>
  <c r="M496" i="19"/>
  <c r="N496" i="19"/>
  <c r="O496" i="19"/>
  <c r="P496" i="19"/>
  <c r="Q496" i="19"/>
  <c r="G500" i="19"/>
  <c r="H500" i="19"/>
  <c r="I500" i="19"/>
  <c r="J500" i="19"/>
  <c r="K500" i="19"/>
  <c r="L500" i="19"/>
  <c r="M500" i="19"/>
  <c r="N500" i="19"/>
  <c r="O500" i="19"/>
  <c r="P500" i="19"/>
  <c r="Q500" i="19"/>
  <c r="E456" i="19"/>
  <c r="F456" i="19"/>
  <c r="G456" i="19"/>
  <c r="H456" i="19"/>
  <c r="I456" i="19"/>
  <c r="J456" i="19"/>
  <c r="K456" i="19"/>
  <c r="L456" i="19"/>
  <c r="M456" i="19"/>
  <c r="N456" i="19"/>
  <c r="O456" i="19"/>
  <c r="P456" i="19"/>
  <c r="Q456" i="19"/>
  <c r="Q457" i="19"/>
  <c r="E461" i="19"/>
  <c r="F461" i="19"/>
  <c r="G461" i="19"/>
  <c r="H461" i="19"/>
  <c r="I461" i="19"/>
  <c r="J461" i="19"/>
  <c r="K461" i="19"/>
  <c r="L461" i="19"/>
  <c r="M461" i="19"/>
  <c r="N461" i="19"/>
  <c r="O461" i="19"/>
  <c r="P461" i="19"/>
  <c r="Q461" i="19"/>
  <c r="S461" i="19"/>
  <c r="T461" i="19" s="1"/>
  <c r="Q465" i="19"/>
  <c r="Q466" i="19"/>
  <c r="E467" i="19"/>
  <c r="F467" i="19"/>
  <c r="G467" i="19"/>
  <c r="H467" i="19"/>
  <c r="I467" i="19"/>
  <c r="J467" i="19"/>
  <c r="K467" i="19"/>
  <c r="L467" i="19"/>
  <c r="M467" i="19"/>
  <c r="N467" i="19"/>
  <c r="O467" i="19"/>
  <c r="P467" i="19"/>
  <c r="Q467" i="19"/>
  <c r="E468" i="19"/>
  <c r="F468" i="19"/>
  <c r="G468" i="19"/>
  <c r="H468" i="19"/>
  <c r="I468" i="19"/>
  <c r="J468" i="19"/>
  <c r="K468" i="19"/>
  <c r="L468" i="19"/>
  <c r="M468" i="19"/>
  <c r="N468" i="19"/>
  <c r="O468" i="19"/>
  <c r="P468" i="19"/>
  <c r="Q468" i="19"/>
  <c r="E475" i="19"/>
  <c r="F475" i="19"/>
  <c r="G475" i="19"/>
  <c r="H475" i="19"/>
  <c r="I475" i="19"/>
  <c r="J475" i="19"/>
  <c r="K475" i="19"/>
  <c r="L475" i="19"/>
  <c r="M475" i="19"/>
  <c r="N475" i="19"/>
  <c r="O475" i="19"/>
  <c r="P475" i="19"/>
  <c r="Q475" i="19"/>
  <c r="Q428" i="19"/>
  <c r="Q429" i="19"/>
  <c r="Q430" i="19"/>
  <c r="Q431" i="19"/>
  <c r="Q432" i="19"/>
  <c r="E433" i="19"/>
  <c r="E369" i="19" s="1"/>
  <c r="F433" i="19"/>
  <c r="F369" i="19" s="1"/>
  <c r="G433" i="19"/>
  <c r="G369" i="19" s="1"/>
  <c r="H433" i="19"/>
  <c r="H369" i="19" s="1"/>
  <c r="I433" i="19"/>
  <c r="I369" i="19" s="1"/>
  <c r="J433" i="19"/>
  <c r="J369" i="19" s="1"/>
  <c r="K433" i="19"/>
  <c r="K369" i="19" s="1"/>
  <c r="L433" i="19"/>
  <c r="L369" i="19" s="1"/>
  <c r="M433" i="19"/>
  <c r="M369" i="19" s="1"/>
  <c r="N433" i="19"/>
  <c r="N369" i="19" s="1"/>
  <c r="O433" i="19"/>
  <c r="O369" i="19" s="1"/>
  <c r="P433" i="19"/>
  <c r="P369" i="19" s="1"/>
  <c r="Q433" i="19"/>
  <c r="C365" i="19" s="1"/>
  <c r="C366" i="19" s="1"/>
  <c r="E434" i="19"/>
  <c r="F434" i="19"/>
  <c r="G434" i="19"/>
  <c r="H434" i="19"/>
  <c r="Q438" i="19"/>
  <c r="E439" i="19"/>
  <c r="F439" i="19"/>
  <c r="G439" i="19"/>
  <c r="H439" i="19"/>
  <c r="I439" i="19"/>
  <c r="J439" i="19"/>
  <c r="K439" i="19"/>
  <c r="L439" i="19"/>
  <c r="M439" i="19"/>
  <c r="N439" i="19"/>
  <c r="O439" i="19"/>
  <c r="P439" i="19"/>
  <c r="Q439" i="19"/>
  <c r="Q440" i="19"/>
  <c r="E441" i="19"/>
  <c r="F441" i="19"/>
  <c r="G441" i="19"/>
  <c r="H441" i="19"/>
  <c r="I441" i="19"/>
  <c r="J441" i="19"/>
  <c r="K441" i="19"/>
  <c r="L441" i="19"/>
  <c r="M441" i="19"/>
  <c r="N441" i="19"/>
  <c r="O441" i="19"/>
  <c r="P441" i="19"/>
  <c r="Q441" i="19"/>
  <c r="E447" i="19"/>
  <c r="E452" i="19" s="1"/>
  <c r="F447" i="19"/>
  <c r="F452" i="19" s="1"/>
  <c r="G447" i="19"/>
  <c r="G452" i="19" s="1"/>
  <c r="H447" i="19"/>
  <c r="H452" i="19" s="1"/>
  <c r="I447" i="19"/>
  <c r="I452" i="19" s="1"/>
  <c r="J447" i="19"/>
  <c r="J452" i="19" s="1"/>
  <c r="K447" i="19"/>
  <c r="K452" i="19" s="1"/>
  <c r="L447" i="19"/>
  <c r="L452" i="19" s="1"/>
  <c r="M447" i="19"/>
  <c r="M452" i="19" s="1"/>
  <c r="N447" i="19"/>
  <c r="N452" i="19" s="1"/>
  <c r="O447" i="19"/>
  <c r="O452" i="19" s="1"/>
  <c r="P447" i="19"/>
  <c r="P452" i="19" s="1"/>
  <c r="Q447" i="19"/>
  <c r="Q452" i="19" s="1"/>
  <c r="Q448" i="19"/>
  <c r="Q402" i="19"/>
  <c r="Q403" i="19"/>
  <c r="Q404" i="19"/>
  <c r="E405" i="19"/>
  <c r="F405" i="19"/>
  <c r="G405" i="19"/>
  <c r="H405" i="19"/>
  <c r="I405" i="19"/>
  <c r="J405" i="19"/>
  <c r="K405" i="19"/>
  <c r="L405" i="19"/>
  <c r="M405" i="19"/>
  <c r="N405" i="19"/>
  <c r="O405" i="19"/>
  <c r="P405" i="19"/>
  <c r="Q405" i="19"/>
  <c r="Q409" i="19"/>
  <c r="Q410" i="19"/>
  <c r="Q411" i="19"/>
  <c r="Q412" i="19"/>
  <c r="Q413" i="19"/>
  <c r="Q414" i="19"/>
  <c r="Q415" i="19"/>
  <c r="E416" i="19"/>
  <c r="F416" i="19"/>
  <c r="G416" i="19"/>
  <c r="H416" i="19"/>
  <c r="I416" i="19"/>
  <c r="J416" i="19"/>
  <c r="K416" i="19"/>
  <c r="L416" i="19"/>
  <c r="M416" i="19"/>
  <c r="N416" i="19"/>
  <c r="O416" i="19"/>
  <c r="P416" i="19"/>
  <c r="Q416" i="19"/>
  <c r="E417" i="19"/>
  <c r="E351" i="19" s="1"/>
  <c r="F417" i="19"/>
  <c r="F351" i="19" s="1"/>
  <c r="G417" i="19"/>
  <c r="G351" i="19" s="1"/>
  <c r="H417" i="19"/>
  <c r="H351" i="19" s="1"/>
  <c r="I417" i="19"/>
  <c r="I351" i="19" s="1"/>
  <c r="J417" i="19"/>
  <c r="J351" i="19" s="1"/>
  <c r="K417" i="19"/>
  <c r="K351" i="19" s="1"/>
  <c r="L417" i="19"/>
  <c r="L351" i="19" s="1"/>
  <c r="M417" i="19"/>
  <c r="M351" i="19" s="1"/>
  <c r="N417" i="19"/>
  <c r="N351" i="19" s="1"/>
  <c r="O417" i="19"/>
  <c r="O351" i="19" s="1"/>
  <c r="P417" i="19"/>
  <c r="P351" i="19" s="1"/>
  <c r="Q417" i="19"/>
  <c r="C347" i="19" s="1"/>
  <c r="C348" i="19" s="1"/>
  <c r="Q421" i="19"/>
  <c r="Q422" i="19"/>
  <c r="Q423" i="19"/>
  <c r="E424" i="19"/>
  <c r="F424" i="19"/>
  <c r="G424" i="19"/>
  <c r="H424" i="19"/>
  <c r="I424" i="19"/>
  <c r="J424" i="19"/>
  <c r="K424" i="19"/>
  <c r="L424" i="19"/>
  <c r="M424" i="19"/>
  <c r="N424" i="19"/>
  <c r="O424" i="19"/>
  <c r="P424" i="19"/>
  <c r="Q424" i="19"/>
  <c r="E376" i="19"/>
  <c r="F376" i="19"/>
  <c r="G376" i="19"/>
  <c r="H376" i="19"/>
  <c r="I376" i="19"/>
  <c r="J376" i="19"/>
  <c r="K376" i="19"/>
  <c r="L376" i="19"/>
  <c r="M376" i="19"/>
  <c r="N376" i="19"/>
  <c r="O376" i="19"/>
  <c r="P376" i="19"/>
  <c r="Q383" i="19"/>
  <c r="Q384" i="19"/>
  <c r="Q385" i="19"/>
  <c r="Q386" i="19"/>
  <c r="E387" i="19"/>
  <c r="F387" i="19"/>
  <c r="G387" i="19"/>
  <c r="H387" i="19"/>
  <c r="I387" i="19"/>
  <c r="J387" i="19"/>
  <c r="K387" i="19"/>
  <c r="L387" i="19"/>
  <c r="M387" i="19"/>
  <c r="N387" i="19"/>
  <c r="O387" i="19"/>
  <c r="P387" i="19"/>
  <c r="Q387" i="19"/>
  <c r="C392" i="19"/>
  <c r="E393" i="19"/>
  <c r="F393" i="19"/>
  <c r="G393" i="19"/>
  <c r="H393" i="19"/>
  <c r="I393" i="19"/>
  <c r="J393" i="19"/>
  <c r="K393" i="19"/>
  <c r="L393" i="19"/>
  <c r="M393" i="19"/>
  <c r="N393" i="19"/>
  <c r="O393" i="19"/>
  <c r="P393" i="19"/>
  <c r="E395" i="19"/>
  <c r="F395" i="19"/>
  <c r="G395" i="19"/>
  <c r="H395" i="19"/>
  <c r="I395" i="19"/>
  <c r="J395" i="19"/>
  <c r="K395" i="19"/>
  <c r="L395" i="19"/>
  <c r="M395" i="19"/>
  <c r="N395" i="19"/>
  <c r="O395" i="19"/>
  <c r="P395" i="19"/>
  <c r="Q395" i="19"/>
  <c r="Q396" i="19"/>
  <c r="E397" i="19"/>
  <c r="F397" i="19"/>
  <c r="G397" i="19"/>
  <c r="H397" i="19"/>
  <c r="I397" i="19"/>
  <c r="J397" i="19"/>
  <c r="K397" i="19"/>
  <c r="L397" i="19"/>
  <c r="M397" i="19"/>
  <c r="N397" i="19"/>
  <c r="O397" i="19"/>
  <c r="P397" i="19"/>
  <c r="Q397" i="19"/>
  <c r="E358" i="19"/>
  <c r="F358" i="19"/>
  <c r="G358" i="19"/>
  <c r="H358" i="19"/>
  <c r="I358" i="19"/>
  <c r="J358" i="19"/>
  <c r="K358" i="19"/>
  <c r="L358" i="19"/>
  <c r="M358" i="19"/>
  <c r="N358" i="19"/>
  <c r="O358" i="19"/>
  <c r="P358" i="19"/>
  <c r="Q360" i="19"/>
  <c r="E361" i="19"/>
  <c r="F361" i="19"/>
  <c r="G361" i="19"/>
  <c r="H361" i="19"/>
  <c r="I361" i="19"/>
  <c r="J361" i="19"/>
  <c r="K361" i="19"/>
  <c r="L361" i="19"/>
  <c r="M361" i="19"/>
  <c r="N361" i="19"/>
  <c r="O361" i="19"/>
  <c r="P361" i="19"/>
  <c r="Q361" i="19"/>
  <c r="E362" i="19"/>
  <c r="F362" i="19"/>
  <c r="G362" i="19"/>
  <c r="H362" i="19"/>
  <c r="I362" i="19"/>
  <c r="J362" i="19"/>
  <c r="K362" i="19"/>
  <c r="L362" i="19"/>
  <c r="M362" i="19"/>
  <c r="N362" i="19"/>
  <c r="O362" i="19"/>
  <c r="P362" i="19"/>
  <c r="Q362" i="19"/>
  <c r="E374" i="19"/>
  <c r="F374" i="19"/>
  <c r="G374" i="19"/>
  <c r="H374" i="19"/>
  <c r="I374" i="19"/>
  <c r="J374" i="19"/>
  <c r="K374" i="19"/>
  <c r="L374" i="19"/>
  <c r="M374" i="19"/>
  <c r="N374" i="19"/>
  <c r="O374" i="19"/>
  <c r="P374" i="19"/>
  <c r="E375" i="19"/>
  <c r="F375" i="19"/>
  <c r="G375" i="19"/>
  <c r="H375" i="19"/>
  <c r="I375" i="19"/>
  <c r="J375" i="19"/>
  <c r="K375" i="19"/>
  <c r="L375" i="19"/>
  <c r="M375" i="19"/>
  <c r="N375" i="19"/>
  <c r="O375" i="19"/>
  <c r="P375" i="19"/>
  <c r="E340" i="19"/>
  <c r="F340" i="19"/>
  <c r="G340" i="19"/>
  <c r="H340" i="19"/>
  <c r="I340" i="19"/>
  <c r="J340" i="19"/>
  <c r="K340" i="19"/>
  <c r="L340" i="19"/>
  <c r="M340" i="19"/>
  <c r="N340" i="19"/>
  <c r="O340" i="19"/>
  <c r="P340" i="19"/>
  <c r="E342" i="19"/>
  <c r="F342" i="19"/>
  <c r="G342" i="19"/>
  <c r="H342" i="19"/>
  <c r="I342" i="19"/>
  <c r="J342" i="19"/>
  <c r="K342" i="19"/>
  <c r="L342" i="19"/>
  <c r="M342" i="19"/>
  <c r="N342" i="19"/>
  <c r="O342" i="19"/>
  <c r="P342" i="19"/>
  <c r="Q342" i="19"/>
  <c r="E343" i="19"/>
  <c r="F343" i="19"/>
  <c r="G343" i="19"/>
  <c r="H343" i="19"/>
  <c r="I343" i="19"/>
  <c r="J343" i="19"/>
  <c r="K343" i="19"/>
  <c r="L343" i="19"/>
  <c r="M343" i="19"/>
  <c r="N343" i="19"/>
  <c r="O343" i="19"/>
  <c r="P343" i="19"/>
  <c r="Q343" i="19"/>
  <c r="E344" i="19"/>
  <c r="F344" i="19"/>
  <c r="G344" i="19"/>
  <c r="H344" i="19"/>
  <c r="I344" i="19"/>
  <c r="J344" i="19"/>
  <c r="K344" i="19"/>
  <c r="L344" i="19"/>
  <c r="M344" i="19"/>
  <c r="N344" i="19"/>
  <c r="O344" i="19"/>
  <c r="P344" i="19"/>
  <c r="Q344" i="19"/>
  <c r="E347" i="19"/>
  <c r="E365" i="19" s="1"/>
  <c r="F347" i="19"/>
  <c r="F365" i="19" s="1"/>
  <c r="G347" i="19"/>
  <c r="G365" i="19" s="1"/>
  <c r="H347" i="19"/>
  <c r="H365" i="19" s="1"/>
  <c r="I347" i="19"/>
  <c r="I365" i="19" s="1"/>
  <c r="J347" i="19"/>
  <c r="J365" i="19" s="1"/>
  <c r="K347" i="19"/>
  <c r="K365" i="19" s="1"/>
  <c r="L347" i="19"/>
  <c r="L365" i="19" s="1"/>
  <c r="M347" i="19"/>
  <c r="M365" i="19" s="1"/>
  <c r="N347" i="19"/>
  <c r="N365" i="19" s="1"/>
  <c r="O347" i="19"/>
  <c r="O365" i="19" s="1"/>
  <c r="P347" i="19"/>
  <c r="P365" i="19" s="1"/>
  <c r="E348" i="19"/>
  <c r="F348" i="19"/>
  <c r="G348" i="19"/>
  <c r="H348" i="19"/>
  <c r="I348" i="19"/>
  <c r="J348" i="19"/>
  <c r="K348" i="19"/>
  <c r="L348" i="19"/>
  <c r="M348" i="19"/>
  <c r="N348" i="19"/>
  <c r="O348" i="19"/>
  <c r="P348" i="19"/>
  <c r="E349" i="19"/>
  <c r="F349" i="19"/>
  <c r="G349" i="19"/>
  <c r="H349" i="19"/>
  <c r="I349" i="19"/>
  <c r="J349" i="19"/>
  <c r="K349" i="19"/>
  <c r="L349" i="19"/>
  <c r="M349" i="19"/>
  <c r="N349" i="19"/>
  <c r="O349" i="19"/>
  <c r="P349" i="19"/>
  <c r="Q251" i="19"/>
  <c r="E252" i="19"/>
  <c r="F252" i="19"/>
  <c r="G252" i="19"/>
  <c r="H252" i="19"/>
  <c r="I252" i="19"/>
  <c r="J252" i="19"/>
  <c r="K252" i="19"/>
  <c r="L252" i="19"/>
  <c r="M252" i="19"/>
  <c r="N252" i="19"/>
  <c r="O252" i="19"/>
  <c r="P252" i="19"/>
  <c r="Q252" i="19"/>
  <c r="E253" i="19"/>
  <c r="F253" i="19"/>
  <c r="G253" i="19"/>
  <c r="H253" i="19"/>
  <c r="I253" i="19"/>
  <c r="J253" i="19"/>
  <c r="K253" i="19"/>
  <c r="L253" i="19"/>
  <c r="M253" i="19"/>
  <c r="N253" i="19"/>
  <c r="O253" i="19"/>
  <c r="P253" i="19"/>
  <c r="Q253" i="19"/>
  <c r="E254" i="19"/>
  <c r="F254" i="19"/>
  <c r="G254" i="19"/>
  <c r="H254" i="19"/>
  <c r="I254" i="19"/>
  <c r="J254" i="19"/>
  <c r="K254" i="19"/>
  <c r="L254" i="19"/>
  <c r="M254" i="19"/>
  <c r="N254" i="19"/>
  <c r="O254" i="19"/>
  <c r="P254" i="19"/>
  <c r="Q254" i="19"/>
  <c r="Q255" i="19"/>
  <c r="Q256" i="19"/>
  <c r="Q257" i="19"/>
  <c r="Q258" i="19"/>
  <c r="E259" i="19"/>
  <c r="F259" i="19"/>
  <c r="G259" i="19"/>
  <c r="H259" i="19"/>
  <c r="I259" i="19"/>
  <c r="J259" i="19"/>
  <c r="K259" i="19"/>
  <c r="L259" i="19"/>
  <c r="M259" i="19"/>
  <c r="N259" i="19"/>
  <c r="O259" i="19"/>
  <c r="P259" i="19"/>
  <c r="Q259" i="19"/>
  <c r="F260" i="19"/>
  <c r="Q261" i="19"/>
  <c r="Q262" i="19"/>
  <c r="Q263" i="19"/>
  <c r="E226" i="19"/>
  <c r="F226" i="19"/>
  <c r="G226" i="19"/>
  <c r="H226" i="19"/>
  <c r="I226" i="19"/>
  <c r="J226" i="19"/>
  <c r="K226" i="19"/>
  <c r="L226" i="19"/>
  <c r="M226" i="19"/>
  <c r="N226" i="19"/>
  <c r="O226" i="19"/>
  <c r="P226" i="19"/>
  <c r="Q226" i="19"/>
  <c r="I227" i="19"/>
  <c r="J227" i="19"/>
  <c r="K227" i="19"/>
  <c r="L227" i="19"/>
  <c r="M227" i="19"/>
  <c r="N227" i="19"/>
  <c r="O227" i="19"/>
  <c r="P227" i="19"/>
  <c r="Q227" i="19"/>
  <c r="D232" i="19"/>
  <c r="E232" i="19"/>
  <c r="F232" i="19"/>
  <c r="G232" i="19"/>
  <c r="H232" i="19"/>
  <c r="I232" i="19"/>
  <c r="J232" i="19"/>
  <c r="K232" i="19"/>
  <c r="L232" i="19"/>
  <c r="M232" i="19"/>
  <c r="N232" i="19"/>
  <c r="O232" i="19"/>
  <c r="P232" i="19"/>
  <c r="Q232" i="19"/>
  <c r="E233" i="19"/>
  <c r="F233" i="19"/>
  <c r="G233" i="19"/>
  <c r="H233" i="19"/>
  <c r="I233" i="19"/>
  <c r="J233" i="19"/>
  <c r="K233" i="19"/>
  <c r="L233" i="19"/>
  <c r="M233" i="19"/>
  <c r="N233" i="19"/>
  <c r="O233" i="19"/>
  <c r="P233" i="19"/>
  <c r="Q233" i="19"/>
  <c r="F234" i="19"/>
  <c r="Q234" i="19"/>
  <c r="E236" i="19"/>
  <c r="F236" i="19"/>
  <c r="G236" i="19"/>
  <c r="H236" i="19"/>
  <c r="I236" i="19"/>
  <c r="J236" i="19"/>
  <c r="K236" i="19"/>
  <c r="L236" i="19"/>
  <c r="M236" i="19"/>
  <c r="N236" i="19"/>
  <c r="O236" i="19"/>
  <c r="P236" i="19"/>
  <c r="Q236" i="19"/>
  <c r="E238" i="19"/>
  <c r="F238" i="19"/>
  <c r="G238" i="19"/>
  <c r="H238" i="19"/>
  <c r="I238" i="19"/>
  <c r="J238" i="19"/>
  <c r="K238" i="19"/>
  <c r="L238" i="19"/>
  <c r="M238" i="19"/>
  <c r="N238" i="19"/>
  <c r="O238" i="19"/>
  <c r="P238" i="19"/>
  <c r="Q238" i="19"/>
  <c r="G239" i="19"/>
  <c r="H239" i="19"/>
  <c r="I239" i="19"/>
  <c r="J239" i="19"/>
  <c r="K239" i="19"/>
  <c r="L239" i="19"/>
  <c r="M239" i="19"/>
  <c r="N239" i="19"/>
  <c r="O239" i="19"/>
  <c r="P239" i="19"/>
  <c r="Q239" i="19"/>
  <c r="Q241" i="19"/>
  <c r="Q242" i="19"/>
  <c r="Q243" i="19"/>
  <c r="E246" i="19"/>
  <c r="F246" i="19"/>
  <c r="G246" i="19"/>
  <c r="H246" i="19"/>
  <c r="I246" i="19"/>
  <c r="J246" i="19"/>
  <c r="K246" i="19"/>
  <c r="L246" i="19"/>
  <c r="M246" i="19"/>
  <c r="N246" i="19"/>
  <c r="O246" i="19"/>
  <c r="P246" i="19"/>
  <c r="Q246" i="19"/>
  <c r="E249" i="19"/>
  <c r="E264" i="19" s="1"/>
  <c r="F249" i="19"/>
  <c r="F264" i="19" s="1"/>
  <c r="G249" i="19"/>
  <c r="G264" i="19" s="1"/>
  <c r="H249" i="19"/>
  <c r="H264" i="19" s="1"/>
  <c r="I249" i="19"/>
  <c r="I264" i="19" s="1"/>
  <c r="J249" i="19"/>
  <c r="J264" i="19" s="1"/>
  <c r="K249" i="19"/>
  <c r="K264" i="19" s="1"/>
  <c r="L249" i="19"/>
  <c r="L264" i="19" s="1"/>
  <c r="M249" i="19"/>
  <c r="M264" i="19" s="1"/>
  <c r="N249" i="19"/>
  <c r="N264" i="19" s="1"/>
  <c r="O249" i="19"/>
  <c r="O264" i="19" s="1"/>
  <c r="P249" i="19"/>
  <c r="P264" i="19" s="1"/>
  <c r="Q249" i="19"/>
  <c r="E250" i="19"/>
  <c r="F250" i="19"/>
  <c r="G250" i="19"/>
  <c r="H250" i="19"/>
  <c r="I250" i="19"/>
  <c r="J250" i="19"/>
  <c r="K250" i="19"/>
  <c r="L250" i="19"/>
  <c r="M250" i="19"/>
  <c r="N250" i="19"/>
  <c r="O250" i="19"/>
  <c r="P250" i="19"/>
  <c r="Q250" i="19"/>
  <c r="E201" i="19"/>
  <c r="F201" i="19"/>
  <c r="G201" i="19"/>
  <c r="H201" i="19"/>
  <c r="I201" i="19"/>
  <c r="J201" i="19"/>
  <c r="K201" i="19"/>
  <c r="L201" i="19"/>
  <c r="M201" i="19"/>
  <c r="N201" i="19"/>
  <c r="O201" i="19"/>
  <c r="P201" i="19"/>
  <c r="Q201" i="19"/>
  <c r="E207" i="19"/>
  <c r="F207" i="19"/>
  <c r="G207" i="19"/>
  <c r="H207" i="19"/>
  <c r="I207" i="19"/>
  <c r="J207" i="19"/>
  <c r="K207" i="19"/>
  <c r="L207" i="19"/>
  <c r="M207" i="19"/>
  <c r="N207" i="19"/>
  <c r="O207" i="19"/>
  <c r="P207" i="19"/>
  <c r="Q207" i="19"/>
  <c r="D211" i="19"/>
  <c r="N213" i="19"/>
  <c r="Q213" i="19"/>
  <c r="L216" i="19"/>
  <c r="Q216" i="19"/>
  <c r="M217" i="19"/>
  <c r="Q217" i="19"/>
  <c r="Q218" i="19"/>
  <c r="Q219" i="19"/>
  <c r="Q220" i="19"/>
  <c r="E223" i="19"/>
  <c r="E228" i="19" s="1"/>
  <c r="F223" i="19"/>
  <c r="F228" i="19" s="1"/>
  <c r="G223" i="19"/>
  <c r="G228" i="19" s="1"/>
  <c r="H223" i="19"/>
  <c r="H228" i="19" s="1"/>
  <c r="I223" i="19"/>
  <c r="I228" i="19" s="1"/>
  <c r="J223" i="19"/>
  <c r="J228" i="19" s="1"/>
  <c r="K223" i="19"/>
  <c r="K228" i="19" s="1"/>
  <c r="L223" i="19"/>
  <c r="L228" i="19" s="1"/>
  <c r="M223" i="19"/>
  <c r="M228" i="19" s="1"/>
  <c r="N223" i="19"/>
  <c r="N228" i="19" s="1"/>
  <c r="O223" i="19"/>
  <c r="O228" i="19" s="1"/>
  <c r="P223" i="19"/>
  <c r="P228" i="19" s="1"/>
  <c r="Q223" i="19"/>
  <c r="E224" i="19"/>
  <c r="F224" i="19"/>
  <c r="G224" i="19"/>
  <c r="H224" i="19"/>
  <c r="I224" i="19"/>
  <c r="J224" i="19"/>
  <c r="K224" i="19"/>
  <c r="L224" i="19"/>
  <c r="M224" i="19"/>
  <c r="N224" i="19"/>
  <c r="O224" i="19"/>
  <c r="P224" i="19"/>
  <c r="Q224" i="19"/>
  <c r="E225" i="19"/>
  <c r="F225" i="19"/>
  <c r="G225" i="19"/>
  <c r="H225" i="19"/>
  <c r="I225" i="19"/>
  <c r="J225" i="19"/>
  <c r="K225" i="19"/>
  <c r="L225" i="19"/>
  <c r="M225" i="19"/>
  <c r="N225" i="19"/>
  <c r="O225" i="19"/>
  <c r="P225" i="19"/>
  <c r="Q225" i="19"/>
  <c r="Q176" i="19"/>
  <c r="E177" i="19"/>
  <c r="F177" i="19"/>
  <c r="G177" i="19"/>
  <c r="H177" i="19"/>
  <c r="I177" i="19"/>
  <c r="J177" i="19"/>
  <c r="E181" i="19"/>
  <c r="F181" i="19"/>
  <c r="G181" i="19"/>
  <c r="H181" i="19"/>
  <c r="I181" i="19"/>
  <c r="J181" i="19"/>
  <c r="K181" i="19"/>
  <c r="L181" i="19"/>
  <c r="M181" i="19"/>
  <c r="N181" i="19"/>
  <c r="O181" i="19"/>
  <c r="P181" i="19"/>
  <c r="Q181" i="19"/>
  <c r="Q182" i="19"/>
  <c r="I183" i="19"/>
  <c r="J183" i="19"/>
  <c r="K183" i="19"/>
  <c r="L183" i="19"/>
  <c r="M183" i="19"/>
  <c r="N183" i="19"/>
  <c r="O183" i="19"/>
  <c r="P183" i="19"/>
  <c r="E184" i="19"/>
  <c r="F184" i="19"/>
  <c r="G184" i="19"/>
  <c r="H184" i="19"/>
  <c r="I184" i="19"/>
  <c r="J184" i="19"/>
  <c r="K184" i="19"/>
  <c r="L184" i="19"/>
  <c r="M184" i="19"/>
  <c r="N184" i="19"/>
  <c r="O184" i="19"/>
  <c r="P184" i="19"/>
  <c r="Q184" i="19"/>
  <c r="E185" i="19"/>
  <c r="F185" i="19"/>
  <c r="G185" i="19"/>
  <c r="H185" i="19"/>
  <c r="I185" i="19"/>
  <c r="J185" i="19"/>
  <c r="K185" i="19"/>
  <c r="L185" i="19"/>
  <c r="M185" i="19"/>
  <c r="N185" i="19"/>
  <c r="O185" i="19"/>
  <c r="P185" i="19"/>
  <c r="Q185" i="19"/>
  <c r="E186" i="19"/>
  <c r="F186" i="19"/>
  <c r="G186" i="19"/>
  <c r="H186" i="19"/>
  <c r="I186" i="19"/>
  <c r="J186" i="19"/>
  <c r="K186" i="19"/>
  <c r="L186" i="19"/>
  <c r="M186" i="19"/>
  <c r="N186" i="19"/>
  <c r="O186" i="19"/>
  <c r="P186" i="19"/>
  <c r="Q186" i="19"/>
  <c r="I188" i="19"/>
  <c r="J188" i="19"/>
  <c r="K188" i="19"/>
  <c r="L188" i="19"/>
  <c r="M188" i="19"/>
  <c r="N188" i="19"/>
  <c r="O188" i="19"/>
  <c r="P188" i="19"/>
  <c r="E191" i="19"/>
  <c r="F191" i="19"/>
  <c r="G191" i="19"/>
  <c r="H191" i="19"/>
  <c r="I191" i="19"/>
  <c r="I204" i="19" s="1"/>
  <c r="J191" i="19"/>
  <c r="J204" i="19" s="1"/>
  <c r="K191" i="19"/>
  <c r="K204" i="19" s="1"/>
  <c r="L191" i="19"/>
  <c r="L204" i="19" s="1"/>
  <c r="M191" i="19"/>
  <c r="M204" i="19" s="1"/>
  <c r="N191" i="19"/>
  <c r="N204" i="19" s="1"/>
  <c r="O191" i="19"/>
  <c r="O204" i="19" s="1"/>
  <c r="P191" i="19"/>
  <c r="P204" i="19" s="1"/>
  <c r="Q191" i="19"/>
  <c r="E192" i="19"/>
  <c r="F192" i="19"/>
  <c r="G192" i="19"/>
  <c r="H192" i="19"/>
  <c r="I192" i="19"/>
  <c r="J192" i="19"/>
  <c r="K192" i="19"/>
  <c r="L192" i="19"/>
  <c r="M192" i="19"/>
  <c r="N192" i="19"/>
  <c r="O192" i="19"/>
  <c r="P192" i="19"/>
  <c r="Q192" i="19"/>
  <c r="E193" i="19"/>
  <c r="F193" i="19"/>
  <c r="G193" i="19"/>
  <c r="H193" i="19"/>
  <c r="I193" i="19"/>
  <c r="J193" i="19"/>
  <c r="K193" i="19"/>
  <c r="L193" i="19"/>
  <c r="M193" i="19"/>
  <c r="N193" i="19"/>
  <c r="O193" i="19"/>
  <c r="P193" i="19"/>
  <c r="Q193" i="19"/>
  <c r="I194" i="19"/>
  <c r="J194" i="19"/>
  <c r="K194" i="19"/>
  <c r="L194" i="19"/>
  <c r="M194" i="19"/>
  <c r="N194" i="19"/>
  <c r="O194" i="19"/>
  <c r="P194" i="19"/>
  <c r="E195" i="19"/>
  <c r="F195" i="19"/>
  <c r="G195" i="19"/>
  <c r="H195" i="19"/>
  <c r="I195" i="19"/>
  <c r="J195" i="19"/>
  <c r="K195" i="19"/>
  <c r="L195" i="19"/>
  <c r="M195" i="19"/>
  <c r="N195" i="19"/>
  <c r="O195" i="19"/>
  <c r="P195" i="19"/>
  <c r="Q195" i="19"/>
  <c r="E196" i="19"/>
  <c r="F196" i="19"/>
  <c r="G196" i="19"/>
  <c r="H196" i="19"/>
  <c r="I196" i="19"/>
  <c r="J196" i="19"/>
  <c r="K196" i="19"/>
  <c r="L196" i="19"/>
  <c r="M196" i="19"/>
  <c r="N196" i="19"/>
  <c r="O196" i="19"/>
  <c r="P196" i="19"/>
  <c r="Q196" i="19"/>
  <c r="E197" i="19"/>
  <c r="F197" i="19"/>
  <c r="G197" i="19"/>
  <c r="H197" i="19"/>
  <c r="I197" i="19"/>
  <c r="J197" i="19"/>
  <c r="K197" i="19"/>
  <c r="L197" i="19"/>
  <c r="M197" i="19"/>
  <c r="N197" i="19"/>
  <c r="O197" i="19"/>
  <c r="P197" i="19"/>
  <c r="Q197" i="19"/>
  <c r="J198" i="19"/>
  <c r="Q198" i="19"/>
  <c r="Q199" i="19"/>
  <c r="F200" i="19"/>
  <c r="Q200" i="19"/>
  <c r="E152" i="19"/>
  <c r="F152" i="19"/>
  <c r="F212" i="19" s="1"/>
  <c r="G152" i="19"/>
  <c r="H152" i="19"/>
  <c r="I152" i="19"/>
  <c r="I212" i="19" s="1"/>
  <c r="J152" i="19"/>
  <c r="J212" i="19" s="1"/>
  <c r="K152" i="19"/>
  <c r="K212" i="19" s="1"/>
  <c r="L152" i="19"/>
  <c r="L212" i="19" s="1"/>
  <c r="M152" i="19"/>
  <c r="M212" i="19" s="1"/>
  <c r="N152" i="19"/>
  <c r="N212" i="19" s="1"/>
  <c r="O152" i="19"/>
  <c r="O212" i="19" s="1"/>
  <c r="P152" i="19"/>
  <c r="P212" i="19" s="1"/>
  <c r="E153" i="19"/>
  <c r="F153" i="19"/>
  <c r="G153" i="19"/>
  <c r="H153" i="19"/>
  <c r="I153" i="19"/>
  <c r="J153" i="19"/>
  <c r="K153" i="19"/>
  <c r="L153" i="19"/>
  <c r="M153" i="19"/>
  <c r="N153" i="19"/>
  <c r="O153" i="19"/>
  <c r="P153" i="19"/>
  <c r="Q153" i="19" s="1"/>
  <c r="D154" i="19"/>
  <c r="E154" i="19"/>
  <c r="F154" i="19"/>
  <c r="G154" i="19"/>
  <c r="H154" i="19"/>
  <c r="I154" i="19"/>
  <c r="J154" i="19"/>
  <c r="K154" i="19"/>
  <c r="L154" i="19"/>
  <c r="M154" i="19"/>
  <c r="N154" i="19"/>
  <c r="O154" i="19"/>
  <c r="P154" i="19"/>
  <c r="Q154" i="19"/>
  <c r="D155" i="19"/>
  <c r="E155" i="19" s="1"/>
  <c r="Q155" i="19" s="1"/>
  <c r="F155" i="19"/>
  <c r="G155" i="19"/>
  <c r="H155" i="19"/>
  <c r="I155" i="19"/>
  <c r="J155" i="19"/>
  <c r="K155" i="19"/>
  <c r="L155" i="19"/>
  <c r="M155" i="19"/>
  <c r="N155" i="19"/>
  <c r="O155" i="19"/>
  <c r="P155" i="19"/>
  <c r="G156" i="19"/>
  <c r="H156" i="19"/>
  <c r="I156" i="19"/>
  <c r="J156" i="19"/>
  <c r="K156" i="19"/>
  <c r="L156" i="19"/>
  <c r="M156" i="19"/>
  <c r="N156" i="19"/>
  <c r="O156" i="19"/>
  <c r="P156" i="19"/>
  <c r="Q156" i="19"/>
  <c r="F157" i="19"/>
  <c r="I157" i="19"/>
  <c r="J157" i="19"/>
  <c r="K157" i="19"/>
  <c r="L157" i="19"/>
  <c r="M157" i="19"/>
  <c r="N157" i="19"/>
  <c r="O157" i="19"/>
  <c r="P157" i="19"/>
  <c r="F158" i="19"/>
  <c r="I158" i="19"/>
  <c r="J158" i="19"/>
  <c r="K158" i="19"/>
  <c r="L158" i="19"/>
  <c r="M158" i="19"/>
  <c r="N158" i="19"/>
  <c r="O158" i="19"/>
  <c r="P158" i="19"/>
  <c r="Q159" i="19"/>
  <c r="F160" i="19"/>
  <c r="I160" i="19"/>
  <c r="J160" i="19"/>
  <c r="K160" i="19"/>
  <c r="L160" i="19"/>
  <c r="M160" i="19"/>
  <c r="N160" i="19"/>
  <c r="O160" i="19"/>
  <c r="P160" i="19"/>
  <c r="F161" i="19"/>
  <c r="I161" i="19"/>
  <c r="J161" i="19"/>
  <c r="K161" i="19"/>
  <c r="L161" i="19"/>
  <c r="M161" i="19"/>
  <c r="N161" i="19"/>
  <c r="O161" i="19"/>
  <c r="P161" i="19"/>
  <c r="F162" i="19"/>
  <c r="I162" i="19"/>
  <c r="J162" i="19"/>
  <c r="K162" i="19"/>
  <c r="L162" i="19"/>
  <c r="M162" i="19"/>
  <c r="N162" i="19"/>
  <c r="O162" i="19"/>
  <c r="P162" i="19"/>
  <c r="F163" i="19"/>
  <c r="I163" i="19"/>
  <c r="J163" i="19"/>
  <c r="K163" i="19"/>
  <c r="L163" i="19"/>
  <c r="M163" i="19"/>
  <c r="N163" i="19"/>
  <c r="O163" i="19"/>
  <c r="P163" i="19"/>
  <c r="Q164" i="19"/>
  <c r="F165" i="19"/>
  <c r="I165" i="19"/>
  <c r="J165" i="19"/>
  <c r="K165" i="19"/>
  <c r="L165" i="19"/>
  <c r="M165" i="19"/>
  <c r="N165" i="19"/>
  <c r="O165" i="19"/>
  <c r="P165" i="19"/>
  <c r="Q167" i="19"/>
  <c r="Q168" i="19"/>
  <c r="Q169" i="19"/>
  <c r="Q170" i="19"/>
  <c r="Q171" i="19"/>
  <c r="Q172" i="19"/>
  <c r="Q173" i="19"/>
  <c r="K174" i="19"/>
  <c r="K177" i="19" s="1"/>
  <c r="L174" i="19"/>
  <c r="L177" i="19" s="1"/>
  <c r="M174" i="19"/>
  <c r="M177" i="19" s="1"/>
  <c r="N174" i="19"/>
  <c r="N177" i="19" s="1"/>
  <c r="O174" i="19"/>
  <c r="O177" i="19" s="1"/>
  <c r="P174" i="19"/>
  <c r="P177" i="19" s="1"/>
  <c r="Q174" i="19"/>
  <c r="Q175" i="19"/>
  <c r="F126" i="19"/>
  <c r="I126" i="19"/>
  <c r="Q127" i="19"/>
  <c r="Q128" i="19"/>
  <c r="Q129" i="19"/>
  <c r="E143" i="19"/>
  <c r="F143" i="19"/>
  <c r="G143" i="19"/>
  <c r="H143" i="19"/>
  <c r="I143" i="19"/>
  <c r="J143" i="19"/>
  <c r="K143" i="19"/>
  <c r="L143" i="19"/>
  <c r="M143" i="19"/>
  <c r="N143" i="19"/>
  <c r="O143" i="19"/>
  <c r="P143" i="19"/>
  <c r="E147" i="19"/>
  <c r="F147" i="19"/>
  <c r="G147" i="19"/>
  <c r="H147" i="19"/>
  <c r="I147" i="19"/>
  <c r="J147" i="19"/>
  <c r="K147" i="19"/>
  <c r="L147" i="19"/>
  <c r="M147" i="19"/>
  <c r="N147" i="19"/>
  <c r="O147" i="19"/>
  <c r="P147" i="19"/>
  <c r="E103" i="19"/>
  <c r="F103" i="19"/>
  <c r="G103" i="19"/>
  <c r="H103" i="19"/>
  <c r="I103" i="19"/>
  <c r="J103" i="19"/>
  <c r="K103" i="19"/>
  <c r="L103" i="19"/>
  <c r="M103" i="19"/>
  <c r="N103" i="19"/>
  <c r="O103" i="19"/>
  <c r="P103" i="19"/>
  <c r="Q103" i="19"/>
  <c r="G104" i="19"/>
  <c r="H104" i="19"/>
  <c r="I104" i="19"/>
  <c r="J104" i="19"/>
  <c r="K104" i="19"/>
  <c r="L104" i="19"/>
  <c r="M104" i="19"/>
  <c r="N104" i="19"/>
  <c r="O104" i="19"/>
  <c r="P104" i="19"/>
  <c r="Q104" i="19"/>
  <c r="Q106" i="19"/>
  <c r="Q107" i="19"/>
  <c r="Q108" i="19"/>
  <c r="E111" i="19"/>
  <c r="F111" i="19"/>
  <c r="G111" i="19"/>
  <c r="H111" i="19"/>
  <c r="I111" i="19"/>
  <c r="J111" i="19"/>
  <c r="K111" i="19"/>
  <c r="L111" i="19"/>
  <c r="M111" i="19"/>
  <c r="N111" i="19"/>
  <c r="O111" i="19"/>
  <c r="P111" i="19"/>
  <c r="Q111" i="19"/>
  <c r="E114" i="19"/>
  <c r="E130" i="19" s="1"/>
  <c r="F114" i="19"/>
  <c r="F130" i="19" s="1"/>
  <c r="G114" i="19"/>
  <c r="G130" i="19" s="1"/>
  <c r="H114" i="19"/>
  <c r="H130" i="19" s="1"/>
  <c r="I114" i="19"/>
  <c r="I130" i="19" s="1"/>
  <c r="J114" i="19"/>
  <c r="J130" i="19" s="1"/>
  <c r="K114" i="19"/>
  <c r="K130" i="19" s="1"/>
  <c r="L114" i="19"/>
  <c r="L130" i="19" s="1"/>
  <c r="M114" i="19"/>
  <c r="M130" i="19" s="1"/>
  <c r="N114" i="19"/>
  <c r="N130" i="19" s="1"/>
  <c r="O114" i="19"/>
  <c r="O130" i="19" s="1"/>
  <c r="P114" i="19"/>
  <c r="P130" i="19" s="1"/>
  <c r="Q114" i="19"/>
  <c r="E115" i="19"/>
  <c r="F115" i="19"/>
  <c r="G115" i="19"/>
  <c r="H115" i="19"/>
  <c r="I115" i="19"/>
  <c r="J115" i="19"/>
  <c r="K115" i="19"/>
  <c r="L115" i="19"/>
  <c r="M115" i="19"/>
  <c r="N115" i="19"/>
  <c r="O115" i="19"/>
  <c r="P115" i="19"/>
  <c r="Q115" i="19"/>
  <c r="Q116" i="19"/>
  <c r="E117" i="19"/>
  <c r="F117" i="19"/>
  <c r="G117" i="19"/>
  <c r="H117" i="19"/>
  <c r="I117" i="19"/>
  <c r="J117" i="19"/>
  <c r="K117" i="19"/>
  <c r="L117" i="19"/>
  <c r="M117" i="19"/>
  <c r="N117" i="19"/>
  <c r="O117" i="19"/>
  <c r="P117" i="19"/>
  <c r="Q117" i="19"/>
  <c r="E118" i="19"/>
  <c r="F118" i="19"/>
  <c r="G118" i="19"/>
  <c r="H118" i="19"/>
  <c r="I118" i="19"/>
  <c r="J118" i="19"/>
  <c r="K118" i="19"/>
  <c r="L118" i="19"/>
  <c r="M118" i="19"/>
  <c r="N118" i="19"/>
  <c r="O118" i="19"/>
  <c r="P118" i="19"/>
  <c r="Q118" i="19"/>
  <c r="E119" i="19"/>
  <c r="F119" i="19"/>
  <c r="G119" i="19"/>
  <c r="H119" i="19"/>
  <c r="I119" i="19"/>
  <c r="J119" i="19"/>
  <c r="K119" i="19"/>
  <c r="L119" i="19"/>
  <c r="M119" i="19"/>
  <c r="N119" i="19"/>
  <c r="O119" i="19"/>
  <c r="P119" i="19"/>
  <c r="Q119" i="19"/>
  <c r="Q120" i="19"/>
  <c r="Q121" i="19"/>
  <c r="Q122" i="19"/>
  <c r="Q123" i="19"/>
  <c r="E124" i="19"/>
  <c r="F124" i="19"/>
  <c r="G124" i="19"/>
  <c r="H124" i="19"/>
  <c r="I124" i="19"/>
  <c r="J124" i="19"/>
  <c r="K124" i="19"/>
  <c r="L124" i="19"/>
  <c r="M124" i="19"/>
  <c r="N124" i="19"/>
  <c r="O124" i="19"/>
  <c r="P124" i="19"/>
  <c r="Q124" i="19"/>
  <c r="H125" i="19"/>
  <c r="Q125" i="19" s="1"/>
  <c r="D76" i="19"/>
  <c r="N78" i="19"/>
  <c r="Q78" i="19"/>
  <c r="P79" i="19"/>
  <c r="L81" i="19"/>
  <c r="Q81" i="19" s="1"/>
  <c r="M82" i="19"/>
  <c r="Q82" i="19"/>
  <c r="Q83" i="19"/>
  <c r="Q84" i="19"/>
  <c r="Q85" i="19"/>
  <c r="E88" i="19"/>
  <c r="F88" i="19"/>
  <c r="G88" i="19"/>
  <c r="H88" i="19"/>
  <c r="I88" i="19"/>
  <c r="J88" i="19"/>
  <c r="K88" i="19"/>
  <c r="L88" i="19"/>
  <c r="M88" i="19"/>
  <c r="N88" i="19"/>
  <c r="O88" i="19"/>
  <c r="P88" i="19"/>
  <c r="Q88" i="19"/>
  <c r="E89" i="19"/>
  <c r="F89" i="19"/>
  <c r="G89" i="19"/>
  <c r="H89" i="19"/>
  <c r="I89" i="19"/>
  <c r="J89" i="19"/>
  <c r="K89" i="19"/>
  <c r="L89" i="19"/>
  <c r="M89" i="19"/>
  <c r="N89" i="19"/>
  <c r="O89" i="19"/>
  <c r="P89" i="19"/>
  <c r="Q89" i="19"/>
  <c r="E90" i="19"/>
  <c r="F90" i="19"/>
  <c r="G90" i="19"/>
  <c r="H90" i="19"/>
  <c r="I90" i="19"/>
  <c r="J90" i="19"/>
  <c r="K90" i="19"/>
  <c r="L90" i="19"/>
  <c r="M90" i="19"/>
  <c r="N90" i="19"/>
  <c r="O90" i="19"/>
  <c r="P90" i="19"/>
  <c r="Q90" i="19"/>
  <c r="E91" i="19"/>
  <c r="F91" i="19"/>
  <c r="G91" i="19"/>
  <c r="H91" i="19"/>
  <c r="I91" i="19"/>
  <c r="J91" i="19"/>
  <c r="K91" i="19"/>
  <c r="L91" i="19"/>
  <c r="M91" i="19"/>
  <c r="N91" i="19"/>
  <c r="O91" i="19"/>
  <c r="P91" i="19"/>
  <c r="Q91" i="19"/>
  <c r="I92" i="19"/>
  <c r="J92" i="19"/>
  <c r="K92" i="19"/>
  <c r="L92" i="19"/>
  <c r="M92" i="19"/>
  <c r="N92" i="19"/>
  <c r="O92" i="19"/>
  <c r="P92" i="19"/>
  <c r="Q92" i="19"/>
  <c r="E93" i="19"/>
  <c r="F93" i="19"/>
  <c r="G93" i="19"/>
  <c r="H93" i="19"/>
  <c r="I93" i="19"/>
  <c r="J93" i="19"/>
  <c r="K93" i="19"/>
  <c r="L93" i="19"/>
  <c r="M93" i="19"/>
  <c r="N93" i="19"/>
  <c r="O93" i="19"/>
  <c r="P93" i="19"/>
  <c r="Q93" i="19"/>
  <c r="D97" i="19"/>
  <c r="E97" i="19"/>
  <c r="E101" i="19" s="1"/>
  <c r="F97" i="19"/>
  <c r="F101" i="19" s="1"/>
  <c r="G97" i="19"/>
  <c r="G101" i="19" s="1"/>
  <c r="H97" i="19"/>
  <c r="H101" i="19" s="1"/>
  <c r="I97" i="19"/>
  <c r="I101" i="19" s="1"/>
  <c r="J97" i="19"/>
  <c r="J101" i="19" s="1"/>
  <c r="K97" i="19"/>
  <c r="K101" i="19" s="1"/>
  <c r="L97" i="19"/>
  <c r="L101" i="19" s="1"/>
  <c r="M97" i="19"/>
  <c r="M101" i="19" s="1"/>
  <c r="N97" i="19"/>
  <c r="N101" i="19" s="1"/>
  <c r="O97" i="19"/>
  <c r="O101" i="19" s="1"/>
  <c r="P97" i="19"/>
  <c r="P101" i="19" s="1"/>
  <c r="Q97" i="19"/>
  <c r="E98" i="19"/>
  <c r="F98" i="19"/>
  <c r="G98" i="19"/>
  <c r="H98" i="19"/>
  <c r="I98" i="19"/>
  <c r="J98" i="19"/>
  <c r="K98" i="19"/>
  <c r="L98" i="19"/>
  <c r="M98" i="19"/>
  <c r="N98" i="19"/>
  <c r="O98" i="19"/>
  <c r="P98" i="19"/>
  <c r="Q98" i="19"/>
  <c r="F99" i="19"/>
  <c r="Q99" i="19"/>
  <c r="E51" i="19"/>
  <c r="F51" i="19"/>
  <c r="G51" i="19"/>
  <c r="H51" i="19"/>
  <c r="I51" i="19"/>
  <c r="J51" i="19"/>
  <c r="K51" i="19"/>
  <c r="L51" i="19"/>
  <c r="M51" i="19"/>
  <c r="N51" i="19"/>
  <c r="O51" i="19"/>
  <c r="P51" i="19"/>
  <c r="Q51" i="19"/>
  <c r="E57" i="19"/>
  <c r="F57" i="19"/>
  <c r="G57" i="19"/>
  <c r="H57" i="19"/>
  <c r="I57" i="19"/>
  <c r="J57" i="19"/>
  <c r="K57" i="19"/>
  <c r="L57" i="19"/>
  <c r="M57" i="19"/>
  <c r="N57" i="19"/>
  <c r="O57" i="19"/>
  <c r="P57" i="19"/>
  <c r="Q57" i="19"/>
  <c r="I59" i="19"/>
  <c r="J59" i="19"/>
  <c r="K59" i="19"/>
  <c r="L59" i="19"/>
  <c r="M59" i="19"/>
  <c r="N59" i="19"/>
  <c r="O59" i="19"/>
  <c r="P59" i="19"/>
  <c r="E60" i="19"/>
  <c r="F60" i="19"/>
  <c r="G60" i="19"/>
  <c r="H60" i="19"/>
  <c r="I60" i="19"/>
  <c r="J60" i="19"/>
  <c r="K60" i="19"/>
  <c r="L60" i="19"/>
  <c r="M60" i="19"/>
  <c r="N60" i="19"/>
  <c r="O60" i="19"/>
  <c r="P60" i="19"/>
  <c r="Q60" i="19"/>
  <c r="I61" i="19"/>
  <c r="J61" i="19"/>
  <c r="K61" i="19"/>
  <c r="L61" i="19"/>
  <c r="M61" i="19"/>
  <c r="N61" i="19"/>
  <c r="O61" i="19"/>
  <c r="P61" i="19"/>
  <c r="E62" i="19"/>
  <c r="F62" i="19"/>
  <c r="G62" i="19"/>
  <c r="H62" i="19"/>
  <c r="I62" i="19"/>
  <c r="J62" i="19"/>
  <c r="K62" i="19"/>
  <c r="L62" i="19"/>
  <c r="M62" i="19"/>
  <c r="N62" i="19"/>
  <c r="O62" i="19"/>
  <c r="P62" i="19"/>
  <c r="Q62" i="19"/>
  <c r="J63" i="19"/>
  <c r="Q63" i="19"/>
  <c r="Q64" i="19"/>
  <c r="F65" i="19"/>
  <c r="G65" i="19"/>
  <c r="H65" i="19"/>
  <c r="I65" i="19"/>
  <c r="J65" i="19"/>
  <c r="K65" i="19"/>
  <c r="L65" i="19"/>
  <c r="M65" i="19"/>
  <c r="N65" i="19"/>
  <c r="O65" i="19"/>
  <c r="P65" i="19"/>
  <c r="Q65" i="19"/>
  <c r="I66" i="19"/>
  <c r="J66" i="19"/>
  <c r="K66" i="19"/>
  <c r="L66" i="19"/>
  <c r="M66" i="19"/>
  <c r="N66" i="19"/>
  <c r="O66" i="19"/>
  <c r="P66" i="19"/>
  <c r="E72" i="19"/>
  <c r="F72" i="19"/>
  <c r="G72" i="19"/>
  <c r="H72" i="19"/>
  <c r="I72" i="19"/>
  <c r="J72" i="19"/>
  <c r="K72" i="19"/>
  <c r="L72" i="19"/>
  <c r="M72" i="19"/>
  <c r="N72" i="19"/>
  <c r="O72" i="19"/>
  <c r="P72" i="19"/>
  <c r="Q72" i="19"/>
  <c r="E73" i="19"/>
  <c r="F73" i="19"/>
  <c r="G73" i="19"/>
  <c r="H73" i="19"/>
  <c r="I73" i="19"/>
  <c r="J73" i="19"/>
  <c r="K73" i="19"/>
  <c r="L73" i="19"/>
  <c r="M73" i="19"/>
  <c r="N73" i="19"/>
  <c r="O73" i="19"/>
  <c r="P73" i="19"/>
  <c r="Q73" i="19"/>
  <c r="E74" i="19"/>
  <c r="F74" i="19"/>
  <c r="G74" i="19"/>
  <c r="H74" i="19"/>
  <c r="I74" i="19"/>
  <c r="J74" i="19"/>
  <c r="K74" i="19"/>
  <c r="L74" i="19"/>
  <c r="M74" i="19"/>
  <c r="N74" i="19"/>
  <c r="O74" i="19"/>
  <c r="Q74" i="19" s="1"/>
  <c r="P74" i="19"/>
  <c r="Q29" i="19"/>
  <c r="Q32" i="19"/>
  <c r="Q33" i="19"/>
  <c r="Q34" i="19"/>
  <c r="Q35" i="19"/>
  <c r="Q36" i="19"/>
  <c r="Q37" i="19"/>
  <c r="Q38" i="19"/>
  <c r="Q39" i="19"/>
  <c r="Q40" i="19"/>
  <c r="Q41" i="19"/>
  <c r="E42" i="19"/>
  <c r="F42" i="19"/>
  <c r="G42" i="19"/>
  <c r="H42" i="19"/>
  <c r="I42" i="19"/>
  <c r="J42" i="19"/>
  <c r="K42" i="19"/>
  <c r="L42" i="19"/>
  <c r="M42" i="19"/>
  <c r="N42" i="19"/>
  <c r="O42" i="19"/>
  <c r="P42" i="19"/>
  <c r="Q42" i="19" s="1"/>
  <c r="E46" i="19"/>
  <c r="F46" i="19"/>
  <c r="G46" i="19"/>
  <c r="H46" i="19"/>
  <c r="I46" i="19"/>
  <c r="I53" i="19" s="1"/>
  <c r="J46" i="19"/>
  <c r="J53" i="19" s="1"/>
  <c r="K46" i="19"/>
  <c r="K53" i="19" s="1"/>
  <c r="L46" i="19"/>
  <c r="L53" i="19" s="1"/>
  <c r="M46" i="19"/>
  <c r="M53" i="19" s="1"/>
  <c r="N46" i="19"/>
  <c r="N53" i="19" s="1"/>
  <c r="O46" i="19"/>
  <c r="O53" i="19" s="1"/>
  <c r="P46" i="19"/>
  <c r="P53" i="19" s="1"/>
  <c r="Q46" i="19"/>
  <c r="Q47" i="19"/>
  <c r="I48" i="19"/>
  <c r="J48" i="19"/>
  <c r="K48" i="19"/>
  <c r="L48" i="19"/>
  <c r="M48" i="19"/>
  <c r="N48" i="19"/>
  <c r="O48" i="19"/>
  <c r="P48" i="19"/>
  <c r="E49" i="19"/>
  <c r="F49" i="19"/>
  <c r="G49" i="19"/>
  <c r="H49" i="19"/>
  <c r="I49" i="19"/>
  <c r="J49" i="19"/>
  <c r="K49" i="19"/>
  <c r="L49" i="19"/>
  <c r="M49" i="19"/>
  <c r="N49" i="19"/>
  <c r="O49" i="19"/>
  <c r="P49" i="19"/>
  <c r="Q49" i="19"/>
  <c r="E50" i="19"/>
  <c r="F50" i="19"/>
  <c r="G50" i="19"/>
  <c r="H50" i="19"/>
  <c r="I50" i="19"/>
  <c r="J50" i="19"/>
  <c r="K50" i="19"/>
  <c r="L50" i="19"/>
  <c r="M50" i="19"/>
  <c r="N50" i="19"/>
  <c r="O50" i="19"/>
  <c r="P50" i="19"/>
  <c r="Q50" i="19"/>
  <c r="E3" i="19"/>
  <c r="F3" i="19"/>
  <c r="G3" i="19"/>
  <c r="H3" i="19"/>
  <c r="I3" i="19"/>
  <c r="J3" i="19"/>
  <c r="K3" i="19"/>
  <c r="L3" i="19"/>
  <c r="M3" i="19"/>
  <c r="N3" i="19"/>
  <c r="O3" i="19"/>
  <c r="P3" i="19"/>
  <c r="E5" i="19"/>
  <c r="F5" i="19"/>
  <c r="G5" i="19"/>
  <c r="H5" i="19"/>
  <c r="I5" i="19"/>
  <c r="J5" i="19"/>
  <c r="K5" i="19"/>
  <c r="L5" i="19"/>
  <c r="M5" i="19"/>
  <c r="N5" i="19"/>
  <c r="O5" i="19"/>
  <c r="P5" i="19"/>
  <c r="E9" i="19"/>
  <c r="F9" i="19"/>
  <c r="G9" i="19"/>
  <c r="H9" i="19"/>
  <c r="I9" i="19"/>
  <c r="J9" i="19"/>
  <c r="K9" i="19"/>
  <c r="L9" i="19"/>
  <c r="M9" i="19"/>
  <c r="N9" i="19"/>
  <c r="O9" i="19"/>
  <c r="P9" i="19"/>
  <c r="I11" i="19"/>
  <c r="J11" i="19"/>
  <c r="K11" i="19"/>
  <c r="L11" i="19"/>
  <c r="M11" i="19"/>
  <c r="N11" i="19"/>
  <c r="O11" i="19"/>
  <c r="P11" i="19"/>
  <c r="E13" i="19"/>
  <c r="F13" i="19"/>
  <c r="G13" i="19"/>
  <c r="H13" i="19"/>
  <c r="E14" i="19"/>
  <c r="F14" i="19"/>
  <c r="G14" i="19"/>
  <c r="H14" i="19"/>
  <c r="E15" i="19"/>
  <c r="F15" i="19"/>
  <c r="G15" i="19"/>
  <c r="H15" i="19"/>
  <c r="I15" i="19"/>
  <c r="J15" i="19"/>
  <c r="K15" i="19"/>
  <c r="L15" i="19"/>
  <c r="M15" i="19"/>
  <c r="N15" i="19"/>
  <c r="O15" i="19"/>
  <c r="P15" i="19"/>
  <c r="E16" i="19"/>
  <c r="F16" i="19"/>
  <c r="G16" i="19"/>
  <c r="H16" i="19"/>
  <c r="I16" i="19"/>
  <c r="J16" i="19"/>
  <c r="K16" i="19"/>
  <c r="L16" i="19"/>
  <c r="M16" i="19"/>
  <c r="N16" i="19"/>
  <c r="O16" i="19"/>
  <c r="P16" i="19"/>
  <c r="Q16" i="19"/>
  <c r="D17" i="19"/>
  <c r="E17" i="19"/>
  <c r="F17" i="19"/>
  <c r="G17" i="19"/>
  <c r="H17" i="19"/>
  <c r="I17" i="19"/>
  <c r="J17" i="19"/>
  <c r="K17" i="19"/>
  <c r="L17" i="19"/>
  <c r="M17" i="19"/>
  <c r="N17" i="19"/>
  <c r="O17" i="19"/>
  <c r="P17" i="19"/>
  <c r="Q17" i="19"/>
  <c r="D18" i="19"/>
  <c r="E18" i="19"/>
  <c r="F18" i="19"/>
  <c r="G18" i="19"/>
  <c r="H18" i="19"/>
  <c r="I18" i="19"/>
  <c r="J18" i="19"/>
  <c r="K18" i="19"/>
  <c r="L18" i="19"/>
  <c r="M18" i="19"/>
  <c r="N18" i="19"/>
  <c r="O18" i="19"/>
  <c r="P18" i="19"/>
  <c r="Q18" i="19"/>
  <c r="G19" i="19"/>
  <c r="H19" i="19"/>
  <c r="I19" i="19"/>
  <c r="J19" i="19"/>
  <c r="K19" i="19"/>
  <c r="L19" i="19"/>
  <c r="M19" i="19"/>
  <c r="N19" i="19"/>
  <c r="O19" i="19"/>
  <c r="P19" i="19"/>
  <c r="Q19" i="19"/>
  <c r="E20" i="19"/>
  <c r="F20" i="19"/>
  <c r="G20" i="19"/>
  <c r="H20" i="19"/>
  <c r="I20" i="19"/>
  <c r="J20" i="19"/>
  <c r="K20" i="19"/>
  <c r="L20" i="19"/>
  <c r="M20" i="19"/>
  <c r="N20" i="19"/>
  <c r="O20" i="19"/>
  <c r="P20" i="19"/>
  <c r="Q20" i="19"/>
  <c r="E21" i="19"/>
  <c r="F21" i="19"/>
  <c r="G21" i="19"/>
  <c r="H21" i="19"/>
  <c r="I21" i="19"/>
  <c r="J21" i="19"/>
  <c r="K21" i="19"/>
  <c r="L21" i="19"/>
  <c r="M21" i="19"/>
  <c r="N21" i="19"/>
  <c r="O21" i="19"/>
  <c r="P21" i="19"/>
  <c r="Q21" i="19"/>
  <c r="E22" i="19"/>
  <c r="F22" i="19"/>
  <c r="G22" i="19"/>
  <c r="H22" i="19"/>
  <c r="I22" i="19"/>
  <c r="J22" i="19"/>
  <c r="K22" i="19"/>
  <c r="L22" i="19"/>
  <c r="M22" i="19"/>
  <c r="N22" i="19"/>
  <c r="O22" i="19"/>
  <c r="P22" i="19"/>
  <c r="Q22" i="19"/>
  <c r="E23" i="19"/>
  <c r="F23" i="19"/>
  <c r="G23" i="19"/>
  <c r="H23" i="19"/>
  <c r="I23" i="19"/>
  <c r="J23" i="19"/>
  <c r="K23" i="19"/>
  <c r="L23" i="19"/>
  <c r="M23" i="19"/>
  <c r="N23" i="19"/>
  <c r="O23" i="19"/>
  <c r="P23" i="19"/>
  <c r="Q23" i="19"/>
  <c r="Q24" i="19"/>
  <c r="E25" i="19"/>
  <c r="F25" i="19"/>
  <c r="G25" i="19"/>
  <c r="H25" i="19"/>
  <c r="I25" i="19"/>
  <c r="J25" i="19"/>
  <c r="K25" i="19"/>
  <c r="L25" i="19"/>
  <c r="M25" i="19"/>
  <c r="N25" i="19"/>
  <c r="O25" i="19"/>
  <c r="P25" i="19"/>
  <c r="Q25" i="19" s="1"/>
  <c r="P95" i="18"/>
  <c r="D96" i="18"/>
  <c r="E96" i="18"/>
  <c r="F96" i="18"/>
  <c r="G96" i="18"/>
  <c r="H96" i="18"/>
  <c r="I96" i="18"/>
  <c r="J96" i="18"/>
  <c r="K96" i="18"/>
  <c r="L96" i="18"/>
  <c r="M96" i="18"/>
  <c r="N96" i="18"/>
  <c r="O96" i="18"/>
  <c r="P96" i="18"/>
  <c r="P97" i="18"/>
  <c r="D98" i="18"/>
  <c r="E98" i="18"/>
  <c r="F98" i="18"/>
  <c r="G98" i="18"/>
  <c r="H98" i="18"/>
  <c r="I98" i="18"/>
  <c r="J98" i="18"/>
  <c r="K98" i="18"/>
  <c r="P98" i="18"/>
  <c r="P4" i="18"/>
  <c r="P5" i="18"/>
  <c r="P6" i="18"/>
  <c r="P7" i="18"/>
  <c r="D8" i="18"/>
  <c r="E8" i="18"/>
  <c r="F8" i="18"/>
  <c r="G8" i="18"/>
  <c r="H8" i="18"/>
  <c r="I8" i="18"/>
  <c r="J8" i="18"/>
  <c r="K8" i="18"/>
  <c r="L8" i="18"/>
  <c r="M8" i="18"/>
  <c r="N8" i="18"/>
  <c r="O8" i="18"/>
  <c r="P8" i="18"/>
  <c r="P9" i="18"/>
  <c r="P10" i="18"/>
  <c r="D11" i="18"/>
  <c r="E11" i="18"/>
  <c r="F11" i="18"/>
  <c r="G11" i="18"/>
  <c r="H11" i="18"/>
  <c r="I11" i="18"/>
  <c r="J11" i="18"/>
  <c r="K11" i="18"/>
  <c r="L11" i="18"/>
  <c r="M11" i="18"/>
  <c r="N11" i="18"/>
  <c r="O11" i="18"/>
  <c r="P11" i="18"/>
  <c r="P12" i="18"/>
  <c r="D13" i="18"/>
  <c r="E13" i="18"/>
  <c r="F13" i="18"/>
  <c r="G13" i="18"/>
  <c r="H13" i="18"/>
  <c r="I13" i="18"/>
  <c r="J13" i="18"/>
  <c r="K13" i="18"/>
  <c r="L13" i="18"/>
  <c r="M13" i="18"/>
  <c r="N13" i="18"/>
  <c r="O13" i="18"/>
  <c r="P13" i="18"/>
  <c r="D14" i="18"/>
  <c r="E14" i="18"/>
  <c r="F14" i="18"/>
  <c r="G14" i="18"/>
  <c r="H14" i="18"/>
  <c r="I14" i="18"/>
  <c r="J14" i="18"/>
  <c r="K14" i="18"/>
  <c r="L14" i="18"/>
  <c r="M14" i="18"/>
  <c r="N14" i="18"/>
  <c r="O14" i="18"/>
  <c r="P14" i="18"/>
  <c r="D15" i="18"/>
  <c r="E15" i="18"/>
  <c r="F15" i="18"/>
  <c r="G15" i="18"/>
  <c r="H15" i="18"/>
  <c r="I15" i="18"/>
  <c r="J15" i="18"/>
  <c r="K15" i="18"/>
  <c r="L15" i="18"/>
  <c r="M15" i="18"/>
  <c r="N15" i="18"/>
  <c r="O15" i="18"/>
  <c r="P15" i="18"/>
  <c r="D16" i="18"/>
  <c r="E16" i="18"/>
  <c r="F16" i="18"/>
  <c r="G16" i="18"/>
  <c r="H16" i="18"/>
  <c r="I16" i="18"/>
  <c r="J16" i="18"/>
  <c r="K16" i="18"/>
  <c r="L16" i="18"/>
  <c r="M16" i="18"/>
  <c r="N16" i="18"/>
  <c r="O16" i="18"/>
  <c r="P16" i="18"/>
  <c r="D17" i="18"/>
  <c r="E17" i="18"/>
  <c r="F17" i="18"/>
  <c r="G17" i="18"/>
  <c r="H17" i="18"/>
  <c r="I17" i="18"/>
  <c r="J17" i="18"/>
  <c r="K17" i="18"/>
  <c r="L17" i="18"/>
  <c r="M17" i="18"/>
  <c r="N17" i="18"/>
  <c r="O17" i="18"/>
  <c r="P17" i="18"/>
  <c r="D18" i="18"/>
  <c r="E18" i="18"/>
  <c r="F18" i="18"/>
  <c r="G18" i="18"/>
  <c r="H18" i="18"/>
  <c r="I18" i="18"/>
  <c r="J18" i="18"/>
  <c r="K18" i="18"/>
  <c r="L18" i="18"/>
  <c r="M18" i="18"/>
  <c r="N18" i="18"/>
  <c r="O18" i="18"/>
  <c r="P18" i="18"/>
  <c r="D19" i="18"/>
  <c r="E19" i="18"/>
  <c r="F19" i="18"/>
  <c r="G19" i="18"/>
  <c r="H19" i="18"/>
  <c r="I19" i="18"/>
  <c r="J19" i="18"/>
  <c r="K19" i="18"/>
  <c r="L19" i="18"/>
  <c r="M19" i="18"/>
  <c r="N19" i="18"/>
  <c r="O19" i="18"/>
  <c r="P19" i="18"/>
  <c r="D20" i="18"/>
  <c r="E20" i="18"/>
  <c r="F20" i="18"/>
  <c r="G20" i="18"/>
  <c r="H20" i="18"/>
  <c r="I20" i="18"/>
  <c r="J20" i="18"/>
  <c r="K20" i="18"/>
  <c r="L20" i="18"/>
  <c r="M20" i="18"/>
  <c r="N20" i="18"/>
  <c r="O20" i="18"/>
  <c r="P20" i="18"/>
  <c r="D21" i="18"/>
  <c r="E21" i="18"/>
  <c r="F21" i="18"/>
  <c r="G21" i="18"/>
  <c r="H21" i="18"/>
  <c r="I21" i="18"/>
  <c r="J21" i="18"/>
  <c r="K21" i="18"/>
  <c r="L21" i="18"/>
  <c r="M21" i="18"/>
  <c r="N21" i="18"/>
  <c r="O21" i="18"/>
  <c r="P21" i="18"/>
  <c r="D23" i="18"/>
  <c r="E23" i="18"/>
  <c r="P23" i="18" s="1"/>
  <c r="D24" i="18"/>
  <c r="E24" i="18"/>
  <c r="F24" i="18"/>
  <c r="G24" i="18"/>
  <c r="H24" i="18"/>
  <c r="I24" i="18"/>
  <c r="J24" i="18"/>
  <c r="K24" i="18"/>
  <c r="L24" i="18"/>
  <c r="M24" i="18"/>
  <c r="N24" i="18"/>
  <c r="O24" i="18"/>
  <c r="P24" i="18" s="1"/>
  <c r="D26" i="18"/>
  <c r="E26" i="18"/>
  <c r="F26" i="18"/>
  <c r="G26" i="18"/>
  <c r="H26" i="18"/>
  <c r="I26" i="18"/>
  <c r="J26" i="18"/>
  <c r="K26" i="18"/>
  <c r="L26" i="18"/>
  <c r="M26" i="18"/>
  <c r="N26" i="18"/>
  <c r="O26" i="18"/>
  <c r="P26" i="18"/>
  <c r="D28" i="18"/>
  <c r="E28" i="18"/>
  <c r="F28" i="18"/>
  <c r="G28" i="18"/>
  <c r="H28" i="18"/>
  <c r="I28" i="18"/>
  <c r="J28" i="18"/>
  <c r="K28" i="18"/>
  <c r="L28" i="18"/>
  <c r="M28" i="18"/>
  <c r="N28" i="18"/>
  <c r="O28" i="18"/>
  <c r="P28" i="18"/>
  <c r="D29" i="18"/>
  <c r="E29" i="18"/>
  <c r="P29" i="18"/>
  <c r="D30" i="18"/>
  <c r="E30" i="18"/>
  <c r="F30" i="18"/>
  <c r="G30" i="18"/>
  <c r="H30" i="18"/>
  <c r="I30" i="18"/>
  <c r="J30" i="18"/>
  <c r="K30" i="18"/>
  <c r="L30" i="18"/>
  <c r="M30" i="18"/>
  <c r="N30" i="18"/>
  <c r="O30" i="18"/>
  <c r="P30" i="18"/>
  <c r="D31" i="18"/>
  <c r="E31" i="18"/>
  <c r="F31" i="18"/>
  <c r="G31" i="18"/>
  <c r="H31" i="18"/>
  <c r="I31" i="18"/>
  <c r="J31" i="18"/>
  <c r="K31" i="18"/>
  <c r="L31" i="18"/>
  <c r="M31" i="18"/>
  <c r="N31" i="18"/>
  <c r="O31" i="18"/>
  <c r="P31" i="18"/>
  <c r="D32" i="18"/>
  <c r="E32" i="18"/>
  <c r="F32" i="18"/>
  <c r="G32" i="18"/>
  <c r="H32" i="18"/>
  <c r="I32" i="18"/>
  <c r="J32" i="18"/>
  <c r="K32" i="18"/>
  <c r="L32" i="18"/>
  <c r="M32" i="18"/>
  <c r="N32" i="18"/>
  <c r="O32" i="18"/>
  <c r="P32" i="18"/>
  <c r="D33" i="18"/>
  <c r="E33" i="18"/>
  <c r="F33" i="18"/>
  <c r="G33" i="18"/>
  <c r="H33" i="18"/>
  <c r="I33" i="18"/>
  <c r="J33" i="18"/>
  <c r="K33" i="18"/>
  <c r="L33" i="18"/>
  <c r="M33" i="18"/>
  <c r="N33" i="18"/>
  <c r="O33" i="18"/>
  <c r="P33" i="18"/>
  <c r="P34" i="18"/>
  <c r="D35" i="18"/>
  <c r="E35" i="18"/>
  <c r="F35" i="18"/>
  <c r="G35" i="18"/>
  <c r="H35" i="18"/>
  <c r="I35" i="18"/>
  <c r="J35" i="18"/>
  <c r="K35" i="18"/>
  <c r="L35" i="18"/>
  <c r="M35" i="18"/>
  <c r="N35" i="18"/>
  <c r="O35" i="18"/>
  <c r="P35" i="18"/>
  <c r="D36" i="18"/>
  <c r="E36" i="18"/>
  <c r="F36" i="18"/>
  <c r="G36" i="18"/>
  <c r="H36" i="18"/>
  <c r="I36" i="18"/>
  <c r="P36" i="18"/>
  <c r="D37" i="18"/>
  <c r="E37" i="18"/>
  <c r="F37" i="18"/>
  <c r="G37" i="18"/>
  <c r="H37" i="18"/>
  <c r="I37" i="18"/>
  <c r="J37" i="18"/>
  <c r="K37" i="18"/>
  <c r="L37" i="18"/>
  <c r="M37" i="18"/>
  <c r="N37" i="18"/>
  <c r="O37" i="18"/>
  <c r="P37" i="18"/>
  <c r="D38" i="18"/>
  <c r="E38" i="18"/>
  <c r="F38" i="18"/>
  <c r="G38" i="18"/>
  <c r="H38" i="18"/>
  <c r="I38" i="18"/>
  <c r="J38" i="18"/>
  <c r="K38" i="18"/>
  <c r="L38" i="18"/>
  <c r="M38" i="18"/>
  <c r="N38" i="18"/>
  <c r="O38" i="18"/>
  <c r="P38" i="18"/>
  <c r="D39" i="18"/>
  <c r="E39" i="18"/>
  <c r="F39" i="18"/>
  <c r="G39" i="18"/>
  <c r="H39" i="18"/>
  <c r="I39" i="18"/>
  <c r="J39" i="18"/>
  <c r="K39" i="18"/>
  <c r="L39" i="18"/>
  <c r="M39" i="18"/>
  <c r="N39" i="18"/>
  <c r="O39" i="18"/>
  <c r="P39" i="18"/>
  <c r="C42" i="18"/>
  <c r="D42" i="18"/>
  <c r="E42" i="18"/>
  <c r="F42" i="18"/>
  <c r="G42" i="18"/>
  <c r="H42" i="18"/>
  <c r="I42" i="18"/>
  <c r="J42" i="18"/>
  <c r="K42" i="18"/>
  <c r="L42" i="18"/>
  <c r="M42" i="18"/>
  <c r="N42" i="18"/>
  <c r="O42" i="18"/>
  <c r="P42" i="18"/>
  <c r="D43" i="18"/>
  <c r="E43" i="18"/>
  <c r="F43" i="18"/>
  <c r="G43" i="18"/>
  <c r="H43" i="18"/>
  <c r="I43" i="18"/>
  <c r="J43" i="18"/>
  <c r="K43" i="18"/>
  <c r="L43" i="18"/>
  <c r="M43" i="18"/>
  <c r="N43" i="18"/>
  <c r="O43" i="18"/>
  <c r="P43" i="18"/>
  <c r="D45" i="18"/>
  <c r="E45" i="18"/>
  <c r="F45" i="18"/>
  <c r="G45" i="18"/>
  <c r="H45" i="18"/>
  <c r="I45" i="18"/>
  <c r="J45" i="18"/>
  <c r="K45" i="18"/>
  <c r="L45" i="18"/>
  <c r="M45" i="18"/>
  <c r="N45" i="18"/>
  <c r="O45" i="18"/>
  <c r="P45" i="18"/>
  <c r="P47" i="18"/>
  <c r="P48" i="18"/>
  <c r="F49" i="18"/>
  <c r="G49" i="18"/>
  <c r="H49" i="18"/>
  <c r="I49" i="18"/>
  <c r="J49" i="18"/>
  <c r="K49" i="18"/>
  <c r="L49" i="18"/>
  <c r="M49" i="18"/>
  <c r="N49" i="18"/>
  <c r="O49" i="18"/>
  <c r="P49" i="18"/>
  <c r="D50" i="18"/>
  <c r="P50" i="18"/>
  <c r="P51" i="18"/>
  <c r="D52" i="18"/>
  <c r="E52" i="18"/>
  <c r="F52" i="18"/>
  <c r="G52" i="18"/>
  <c r="H52" i="18"/>
  <c r="I52" i="18"/>
  <c r="J52" i="18"/>
  <c r="K52" i="18"/>
  <c r="L52" i="18"/>
  <c r="M52" i="18"/>
  <c r="N52" i="18"/>
  <c r="O52" i="18"/>
  <c r="P52" i="18" s="1"/>
  <c r="P54" i="18"/>
  <c r="P55" i="18"/>
  <c r="E56" i="18"/>
  <c r="F56" i="18"/>
  <c r="G56" i="18"/>
  <c r="H56" i="18"/>
  <c r="I56" i="18"/>
  <c r="J56" i="18"/>
  <c r="K56" i="18"/>
  <c r="L56" i="18"/>
  <c r="M56" i="18"/>
  <c r="N56" i="18"/>
  <c r="O56" i="18"/>
  <c r="P56" i="18"/>
  <c r="E57" i="18"/>
  <c r="F57" i="18"/>
  <c r="G57" i="18"/>
  <c r="H57" i="18"/>
  <c r="I57" i="18"/>
  <c r="J57" i="18"/>
  <c r="K57" i="18"/>
  <c r="L57" i="18"/>
  <c r="M57" i="18"/>
  <c r="N57" i="18"/>
  <c r="O57" i="18"/>
  <c r="P57" i="18"/>
  <c r="D58" i="18"/>
  <c r="E58" i="18"/>
  <c r="F58" i="18"/>
  <c r="G58" i="18"/>
  <c r="H58" i="18"/>
  <c r="I58" i="18"/>
  <c r="J58" i="18"/>
  <c r="K58" i="18"/>
  <c r="L58" i="18"/>
  <c r="M58" i="18"/>
  <c r="N58" i="18"/>
  <c r="O58" i="18"/>
  <c r="P58" i="18"/>
  <c r="P60" i="18"/>
  <c r="P61" i="18"/>
  <c r="P62" i="18"/>
  <c r="D63" i="18"/>
  <c r="E63" i="18"/>
  <c r="F63" i="18"/>
  <c r="G63" i="18"/>
  <c r="H63" i="18"/>
  <c r="I63" i="18"/>
  <c r="J63" i="18"/>
  <c r="K63" i="18"/>
  <c r="L63" i="18"/>
  <c r="M63" i="18"/>
  <c r="N63" i="18"/>
  <c r="O63" i="18"/>
  <c r="P63" i="18"/>
  <c r="P64" i="18"/>
  <c r="D65" i="18"/>
  <c r="E65" i="18"/>
  <c r="F65" i="18"/>
  <c r="G65" i="18"/>
  <c r="H65" i="18"/>
  <c r="I65" i="18"/>
  <c r="J65" i="18"/>
  <c r="K65" i="18"/>
  <c r="L65" i="18"/>
  <c r="M65" i="18"/>
  <c r="N65" i="18"/>
  <c r="O65" i="18"/>
  <c r="P65" i="18"/>
  <c r="P66" i="18"/>
  <c r="D67" i="18"/>
  <c r="E67" i="18"/>
  <c r="F67" i="18"/>
  <c r="G67" i="18"/>
  <c r="H67" i="18"/>
  <c r="I67" i="18"/>
  <c r="J67" i="18"/>
  <c r="K67" i="18"/>
  <c r="L67" i="18"/>
  <c r="M67" i="18"/>
  <c r="N67" i="18"/>
  <c r="O67" i="18"/>
  <c r="P67" i="18"/>
  <c r="D68" i="18"/>
  <c r="E68" i="18"/>
  <c r="F68" i="18"/>
  <c r="G68" i="18"/>
  <c r="H68" i="18"/>
  <c r="I68" i="18"/>
  <c r="J68" i="18"/>
  <c r="K68" i="18"/>
  <c r="L68" i="18"/>
  <c r="M68" i="18"/>
  <c r="N68" i="18"/>
  <c r="O68" i="18"/>
  <c r="P68" i="18"/>
  <c r="E69" i="18"/>
  <c r="F69" i="18"/>
  <c r="G69" i="18"/>
  <c r="H69" i="18"/>
  <c r="I69" i="18"/>
  <c r="J69" i="18"/>
  <c r="K69" i="18"/>
  <c r="L69" i="18"/>
  <c r="M69" i="18"/>
  <c r="N69" i="18"/>
  <c r="O69" i="18"/>
  <c r="P69" i="18" s="1"/>
  <c r="D70" i="18"/>
  <c r="E70" i="18"/>
  <c r="F70" i="18"/>
  <c r="G70" i="18"/>
  <c r="H70" i="18"/>
  <c r="I70" i="18"/>
  <c r="J70" i="18"/>
  <c r="K70" i="18"/>
  <c r="L70" i="18"/>
  <c r="M70" i="18"/>
  <c r="N70" i="18"/>
  <c r="O70" i="18"/>
  <c r="P70" i="18"/>
  <c r="D71" i="18"/>
  <c r="E71" i="18"/>
  <c r="F71" i="18"/>
  <c r="G71" i="18"/>
  <c r="H71" i="18"/>
  <c r="I71" i="18"/>
  <c r="J71" i="18"/>
  <c r="K71" i="18"/>
  <c r="L71" i="18"/>
  <c r="M71" i="18"/>
  <c r="N71" i="18"/>
  <c r="O71" i="18"/>
  <c r="P71" i="18"/>
  <c r="D72" i="18"/>
  <c r="E72" i="18"/>
  <c r="F72" i="18"/>
  <c r="G72" i="18"/>
  <c r="H72" i="18"/>
  <c r="I72" i="18"/>
  <c r="J72" i="18"/>
  <c r="K72" i="18"/>
  <c r="L72" i="18"/>
  <c r="M72" i="18"/>
  <c r="N72" i="18"/>
  <c r="O72" i="18"/>
  <c r="P72" i="18"/>
  <c r="D73" i="18"/>
  <c r="E73" i="18"/>
  <c r="F73" i="18"/>
  <c r="G73" i="18"/>
  <c r="H73" i="18"/>
  <c r="I73" i="18"/>
  <c r="J73" i="18"/>
  <c r="K73" i="18"/>
  <c r="L73" i="18"/>
  <c r="M73" i="18"/>
  <c r="N73" i="18"/>
  <c r="O73" i="18"/>
  <c r="P73" i="18"/>
  <c r="I74" i="18"/>
  <c r="J74" i="18"/>
  <c r="K74" i="18"/>
  <c r="L74" i="18"/>
  <c r="M74" i="18"/>
  <c r="N74" i="18"/>
  <c r="O74" i="18"/>
  <c r="P74" i="18"/>
  <c r="D75" i="18"/>
  <c r="E75" i="18"/>
  <c r="F75" i="18"/>
  <c r="G75" i="18"/>
  <c r="H75" i="18"/>
  <c r="I75" i="18"/>
  <c r="J75" i="18"/>
  <c r="K75" i="18"/>
  <c r="L75" i="18"/>
  <c r="M75" i="18"/>
  <c r="N75" i="18"/>
  <c r="O75" i="18"/>
  <c r="P75" i="18"/>
  <c r="D76" i="18"/>
  <c r="E76" i="18"/>
  <c r="F76" i="18"/>
  <c r="G76" i="18"/>
  <c r="H76" i="18"/>
  <c r="I76" i="18"/>
  <c r="J76" i="18"/>
  <c r="K76" i="18"/>
  <c r="L76" i="18"/>
  <c r="M76" i="18"/>
  <c r="N76" i="18"/>
  <c r="O76" i="18"/>
  <c r="P76" i="18"/>
  <c r="D77" i="18"/>
  <c r="E77" i="18"/>
  <c r="F77" i="18"/>
  <c r="G77" i="18"/>
  <c r="H77" i="18"/>
  <c r="I77" i="18"/>
  <c r="J77" i="18"/>
  <c r="K77" i="18"/>
  <c r="L77" i="18"/>
  <c r="M77" i="18"/>
  <c r="N77" i="18"/>
  <c r="O77" i="18"/>
  <c r="P77" i="18"/>
  <c r="D78" i="18"/>
  <c r="E78" i="18"/>
  <c r="F78" i="18"/>
  <c r="G78" i="18"/>
  <c r="H78" i="18"/>
  <c r="I78" i="18"/>
  <c r="J78" i="18"/>
  <c r="K78" i="18"/>
  <c r="L78" i="18"/>
  <c r="M78" i="18"/>
  <c r="N78" i="18"/>
  <c r="O78" i="18"/>
  <c r="P78" i="18"/>
  <c r="P79" i="18"/>
  <c r="D80" i="18"/>
  <c r="P80" i="18"/>
  <c r="P81" i="18"/>
  <c r="D82" i="18"/>
  <c r="E82" i="18"/>
  <c r="F82" i="18"/>
  <c r="G82" i="18"/>
  <c r="H82" i="18"/>
  <c r="I82" i="18"/>
  <c r="J82" i="18"/>
  <c r="K82" i="18"/>
  <c r="L82" i="18"/>
  <c r="M82" i="18"/>
  <c r="N82" i="18"/>
  <c r="O82" i="18"/>
  <c r="P82" i="18"/>
  <c r="P83" i="18"/>
  <c r="D84" i="18"/>
  <c r="E84" i="18"/>
  <c r="P84" i="18" s="1"/>
  <c r="D85" i="18"/>
  <c r="E85" i="18"/>
  <c r="F85" i="18"/>
  <c r="G85" i="18"/>
  <c r="H85" i="18"/>
  <c r="I85" i="18"/>
  <c r="J85" i="18"/>
  <c r="K85" i="18"/>
  <c r="L85" i="18"/>
  <c r="M85" i="18"/>
  <c r="N85" i="18"/>
  <c r="O85" i="18"/>
  <c r="P85" i="18"/>
  <c r="P86" i="18"/>
  <c r="D87" i="18"/>
  <c r="E87" i="18"/>
  <c r="F87" i="18"/>
  <c r="G87" i="18"/>
  <c r="H87" i="18"/>
  <c r="I87" i="18"/>
  <c r="J87" i="18"/>
  <c r="K87" i="18"/>
  <c r="L87" i="18"/>
  <c r="M87" i="18"/>
  <c r="N87" i="18"/>
  <c r="O87" i="18"/>
  <c r="P87" i="18"/>
  <c r="P88" i="18"/>
  <c r="D89" i="18"/>
  <c r="E89" i="18"/>
  <c r="F89" i="18"/>
  <c r="G89" i="18"/>
  <c r="H89" i="18"/>
  <c r="I89" i="18"/>
  <c r="J89" i="18"/>
  <c r="K89" i="18"/>
  <c r="L89" i="18"/>
  <c r="M89" i="18"/>
  <c r="N89" i="18"/>
  <c r="O89" i="18"/>
  <c r="P89" i="18"/>
  <c r="D90" i="18"/>
  <c r="E90" i="18"/>
  <c r="F90" i="18"/>
  <c r="G90" i="18"/>
  <c r="H90" i="18"/>
  <c r="I90" i="18"/>
  <c r="J90" i="18"/>
  <c r="K90" i="18"/>
  <c r="L90" i="18"/>
  <c r="M90" i="18"/>
  <c r="N90" i="18"/>
  <c r="O90" i="18"/>
  <c r="P92" i="18"/>
  <c r="P93" i="18"/>
  <c r="D94" i="18"/>
  <c r="D99" i="18" s="1"/>
  <c r="E94" i="18"/>
  <c r="E99" i="18" s="1"/>
  <c r="F94" i="18"/>
  <c r="F99" i="18" s="1"/>
  <c r="G94" i="18"/>
  <c r="G99" i="18" s="1"/>
  <c r="H94" i="18"/>
  <c r="H99" i="18" s="1"/>
  <c r="I94" i="18"/>
  <c r="I99" i="18" s="1"/>
  <c r="J94" i="18"/>
  <c r="J99" i="18" s="1"/>
  <c r="K94" i="18"/>
  <c r="K99" i="18" s="1"/>
  <c r="L94" i="18"/>
  <c r="L99" i="18" s="1"/>
  <c r="M94" i="18"/>
  <c r="M99" i="18" s="1"/>
  <c r="N94" i="18"/>
  <c r="N99" i="18" s="1"/>
  <c r="O94" i="18"/>
  <c r="O99" i="18" s="1"/>
  <c r="P94" i="18"/>
  <c r="B61" i="20"/>
  <c r="C61" i="20"/>
  <c r="D61" i="20"/>
  <c r="E61" i="20"/>
  <c r="F61" i="20"/>
  <c r="G61" i="20"/>
  <c r="H61" i="20"/>
  <c r="I61" i="20"/>
  <c r="J61" i="20"/>
  <c r="K61" i="20"/>
  <c r="L61" i="20"/>
  <c r="M61" i="20"/>
  <c r="R61" i="20"/>
  <c r="T61" i="20"/>
  <c r="B62" i="20"/>
  <c r="C62" i="20"/>
  <c r="D62" i="20"/>
  <c r="E62" i="20"/>
  <c r="F62" i="20"/>
  <c r="G62" i="20"/>
  <c r="H62" i="20"/>
  <c r="I62" i="20"/>
  <c r="J62" i="20"/>
  <c r="K62" i="20"/>
  <c r="L62" i="20"/>
  <c r="M62" i="20"/>
  <c r="N62" i="20"/>
  <c r="R62" i="20"/>
  <c r="T62" i="20"/>
  <c r="C63" i="20"/>
  <c r="D63" i="20"/>
  <c r="E63" i="20"/>
  <c r="F63" i="20"/>
  <c r="G63" i="20"/>
  <c r="H63" i="20"/>
  <c r="I63" i="20"/>
  <c r="J63" i="20"/>
  <c r="K63" i="20"/>
  <c r="L63" i="20"/>
  <c r="M63" i="20"/>
  <c r="R63" i="20"/>
  <c r="N68" i="20"/>
  <c r="R68" i="20"/>
  <c r="T68" i="20"/>
  <c r="N69" i="20"/>
  <c r="R69" i="20"/>
  <c r="T69" i="20"/>
  <c r="N70" i="20"/>
  <c r="R70" i="20"/>
  <c r="T70" i="20"/>
  <c r="N71" i="20"/>
  <c r="R71" i="20"/>
  <c r="T71" i="20"/>
  <c r="B72" i="20"/>
  <c r="C72" i="20"/>
  <c r="D72" i="20"/>
  <c r="E72" i="20"/>
  <c r="F72" i="20"/>
  <c r="G72" i="20"/>
  <c r="H72" i="20"/>
  <c r="I72" i="20"/>
  <c r="J72" i="20"/>
  <c r="K72" i="20"/>
  <c r="L72" i="20"/>
  <c r="M72" i="20"/>
  <c r="N72" i="20"/>
  <c r="R72" i="20"/>
  <c r="T72" i="20"/>
  <c r="N75" i="20"/>
  <c r="R75" i="20"/>
  <c r="T75" i="20"/>
  <c r="R76" i="20"/>
  <c r="N77" i="20"/>
  <c r="R77" i="20"/>
  <c r="T77" i="20"/>
  <c r="B78" i="20"/>
  <c r="C78" i="20"/>
  <c r="D78" i="20"/>
  <c r="E78" i="20"/>
  <c r="F78" i="20"/>
  <c r="G78" i="20"/>
  <c r="H78" i="20"/>
  <c r="I78" i="20"/>
  <c r="J78" i="20"/>
  <c r="K78" i="20"/>
  <c r="L78" i="20"/>
  <c r="M78" i="20"/>
  <c r="N78" i="20"/>
  <c r="R78" i="20"/>
  <c r="T78" i="20"/>
  <c r="B81" i="20"/>
  <c r="C81" i="20"/>
  <c r="D81" i="20"/>
  <c r="E81" i="20"/>
  <c r="F81" i="20"/>
  <c r="G81" i="20"/>
  <c r="H81" i="20"/>
  <c r="I81" i="20"/>
  <c r="J81" i="20"/>
  <c r="K81" i="20"/>
  <c r="L81" i="20"/>
  <c r="M81" i="20"/>
  <c r="N81" i="20"/>
  <c r="R81" i="20"/>
  <c r="T81" i="20"/>
  <c r="B82" i="20"/>
  <c r="C82" i="20"/>
  <c r="D82" i="20"/>
  <c r="E82" i="20"/>
  <c r="F82" i="20"/>
  <c r="G82" i="20"/>
  <c r="H82" i="20"/>
  <c r="I82" i="20"/>
  <c r="J82" i="20"/>
  <c r="K82" i="20"/>
  <c r="L82" i="20"/>
  <c r="M82" i="20"/>
  <c r="N82" i="20"/>
  <c r="R82" i="20"/>
  <c r="T82" i="20"/>
  <c r="B83" i="20"/>
  <c r="C83" i="20"/>
  <c r="D83" i="20"/>
  <c r="E83" i="20"/>
  <c r="F83" i="20"/>
  <c r="G83" i="20"/>
  <c r="H83" i="20"/>
  <c r="I83" i="20"/>
  <c r="J83" i="20"/>
  <c r="K83" i="20"/>
  <c r="L83" i="20"/>
  <c r="M83" i="20"/>
  <c r="N83" i="20"/>
  <c r="R83" i="20"/>
  <c r="T83" i="20"/>
  <c r="B84" i="20"/>
  <c r="C84" i="20"/>
  <c r="D84" i="20"/>
  <c r="E84" i="20"/>
  <c r="F84" i="20"/>
  <c r="G84" i="20"/>
  <c r="H84" i="20"/>
  <c r="I84" i="20"/>
  <c r="J84" i="20"/>
  <c r="K84" i="20"/>
  <c r="L84" i="20"/>
  <c r="M84" i="20"/>
  <c r="N84" i="20"/>
  <c r="R84" i="20"/>
  <c r="T84" i="20"/>
  <c r="B85" i="20"/>
  <c r="C85" i="20"/>
  <c r="D85" i="20"/>
  <c r="E85" i="20"/>
  <c r="F85" i="20"/>
  <c r="G85" i="20"/>
  <c r="H85" i="20"/>
  <c r="I85" i="20"/>
  <c r="J85" i="20"/>
  <c r="K85" i="20"/>
  <c r="L85" i="20"/>
  <c r="M85" i="20"/>
  <c r="N85" i="20"/>
  <c r="R85" i="20"/>
  <c r="T85" i="20"/>
  <c r="C88" i="20"/>
  <c r="D88" i="20"/>
  <c r="E88" i="20"/>
  <c r="F88" i="20"/>
  <c r="G88" i="20"/>
  <c r="H88" i="20"/>
  <c r="I88" i="20"/>
  <c r="J88" i="20"/>
  <c r="K88" i="20"/>
  <c r="L88" i="20"/>
  <c r="M88" i="20"/>
  <c r="R88" i="20"/>
  <c r="T88" i="20"/>
  <c r="N92" i="20"/>
  <c r="N103" i="20"/>
  <c r="N6" i="20"/>
  <c r="O6" i="20"/>
  <c r="N7" i="20"/>
  <c r="N8" i="20"/>
  <c r="N9" i="20"/>
  <c r="N10" i="20"/>
  <c r="N11" i="20"/>
  <c r="B12" i="20"/>
  <c r="C12" i="20"/>
  <c r="D12" i="20"/>
  <c r="E12" i="20"/>
  <c r="F12" i="20"/>
  <c r="G12" i="20"/>
  <c r="H12" i="20"/>
  <c r="I12" i="20"/>
  <c r="J12" i="20"/>
  <c r="K12" i="20"/>
  <c r="L12" i="20"/>
  <c r="M12" i="20"/>
  <c r="N12" i="20"/>
  <c r="B13" i="20"/>
  <c r="C13" i="20"/>
  <c r="D13" i="20"/>
  <c r="E13" i="20"/>
  <c r="F13" i="20"/>
  <c r="G13" i="20"/>
  <c r="H13" i="20"/>
  <c r="I13" i="20"/>
  <c r="J13" i="20"/>
  <c r="K13" i="20"/>
  <c r="L13" i="20"/>
  <c r="M13" i="20"/>
  <c r="N13" i="20"/>
  <c r="B14" i="20"/>
  <c r="C14" i="20"/>
  <c r="D14" i="20"/>
  <c r="E14" i="20"/>
  <c r="F14" i="20"/>
  <c r="G14" i="20"/>
  <c r="H14" i="20"/>
  <c r="I14" i="20"/>
  <c r="J14" i="20"/>
  <c r="K14" i="20"/>
  <c r="L14" i="20"/>
  <c r="M14" i="20"/>
  <c r="N14" i="20"/>
  <c r="N17" i="20"/>
  <c r="B23" i="20"/>
  <c r="C23" i="20"/>
  <c r="D23" i="20"/>
  <c r="E23" i="20"/>
  <c r="F23" i="20"/>
  <c r="G23" i="20"/>
  <c r="H23" i="20"/>
  <c r="I23" i="20"/>
  <c r="J23" i="20"/>
  <c r="K23" i="20"/>
  <c r="L23" i="20"/>
  <c r="M23" i="20"/>
  <c r="N23" i="20"/>
  <c r="B24" i="20"/>
  <c r="C24" i="20"/>
  <c r="D24" i="20"/>
  <c r="E24" i="20"/>
  <c r="F24" i="20"/>
  <c r="G24" i="20"/>
  <c r="H24" i="20"/>
  <c r="I24" i="20"/>
  <c r="J24" i="20"/>
  <c r="K24" i="20"/>
  <c r="L24" i="20"/>
  <c r="M24" i="20"/>
  <c r="N24" i="20"/>
  <c r="B25" i="20"/>
  <c r="C25" i="20"/>
  <c r="D25" i="20"/>
  <c r="E25" i="20"/>
  <c r="F25" i="20"/>
  <c r="G25" i="20"/>
  <c r="H25" i="20"/>
  <c r="I25" i="20"/>
  <c r="J25" i="20"/>
  <c r="K25" i="20"/>
  <c r="L25" i="20"/>
  <c r="M25" i="20"/>
  <c r="N25" i="20"/>
  <c r="N28" i="20"/>
  <c r="N29" i="20"/>
  <c r="N30" i="20"/>
  <c r="N31" i="20"/>
  <c r="N32" i="20"/>
  <c r="N33" i="20"/>
  <c r="B34" i="20"/>
  <c r="C34" i="20"/>
  <c r="D34" i="20"/>
  <c r="E34" i="20"/>
  <c r="F34" i="20"/>
  <c r="G34" i="20"/>
  <c r="H34" i="20"/>
  <c r="I34" i="20"/>
  <c r="J34" i="20"/>
  <c r="K34" i="20"/>
  <c r="L34" i="20"/>
  <c r="M34" i="20"/>
  <c r="N34" i="20"/>
  <c r="B35" i="20"/>
  <c r="C35" i="20"/>
  <c r="D35" i="20"/>
  <c r="E35" i="20"/>
  <c r="F35" i="20"/>
  <c r="G35" i="20"/>
  <c r="H35" i="20"/>
  <c r="I35" i="20"/>
  <c r="J35" i="20"/>
  <c r="K35" i="20"/>
  <c r="L35" i="20"/>
  <c r="M35" i="20"/>
  <c r="N35" i="20"/>
  <c r="B36" i="20"/>
  <c r="C36" i="20"/>
  <c r="D36" i="20"/>
  <c r="E36" i="20"/>
  <c r="F36" i="20"/>
  <c r="G36" i="20"/>
  <c r="H36" i="20"/>
  <c r="I36" i="20"/>
  <c r="J36" i="20"/>
  <c r="K36" i="20"/>
  <c r="L36" i="20"/>
  <c r="M36" i="20"/>
  <c r="N36" i="20"/>
  <c r="B38" i="20"/>
  <c r="B86" i="20" s="1"/>
  <c r="C38" i="20"/>
  <c r="D38" i="20"/>
  <c r="E38" i="20"/>
  <c r="F38" i="20"/>
  <c r="G38" i="20"/>
  <c r="H38" i="20"/>
  <c r="I38" i="20"/>
  <c r="J38" i="20"/>
  <c r="K38" i="20"/>
  <c r="L38" i="20"/>
  <c r="M38" i="20"/>
  <c r="N38" i="20"/>
  <c r="B39" i="20"/>
  <c r="C39" i="20"/>
  <c r="D39" i="20"/>
  <c r="E39" i="20"/>
  <c r="F39" i="20"/>
  <c r="G39" i="20"/>
  <c r="H39" i="20"/>
  <c r="I39" i="20"/>
  <c r="J39" i="20"/>
  <c r="K39" i="20"/>
  <c r="L39" i="20"/>
  <c r="M39" i="20"/>
  <c r="N39" i="20"/>
  <c r="O39" i="20"/>
  <c r="R39" i="20"/>
  <c r="T39" i="20"/>
  <c r="B40" i="20"/>
  <c r="C40" i="20"/>
  <c r="D40" i="20"/>
  <c r="E40" i="20"/>
  <c r="F40" i="20"/>
  <c r="G40" i="20"/>
  <c r="H40" i="20"/>
  <c r="I40" i="20"/>
  <c r="J40" i="20"/>
  <c r="K40" i="20"/>
  <c r="L40" i="20"/>
  <c r="M40" i="20"/>
  <c r="N40" i="20"/>
  <c r="O40" i="20"/>
  <c r="R40" i="20"/>
  <c r="T40" i="20"/>
  <c r="B41" i="20"/>
  <c r="C41" i="20"/>
  <c r="D41" i="20"/>
  <c r="E41" i="20"/>
  <c r="F41" i="20"/>
  <c r="G41" i="20"/>
  <c r="H41" i="20"/>
  <c r="I41" i="20"/>
  <c r="J41" i="20"/>
  <c r="K41" i="20"/>
  <c r="L41" i="20"/>
  <c r="M41" i="20"/>
  <c r="N41" i="20"/>
  <c r="O41" i="20"/>
  <c r="R41" i="20"/>
  <c r="T41" i="20"/>
  <c r="B42" i="20"/>
  <c r="C42" i="20"/>
  <c r="D42" i="20"/>
  <c r="E42" i="20"/>
  <c r="F42" i="20"/>
  <c r="G42" i="20"/>
  <c r="H42" i="20"/>
  <c r="I42" i="20"/>
  <c r="J42" i="20"/>
  <c r="K42" i="20"/>
  <c r="L42" i="20"/>
  <c r="M42" i="20"/>
  <c r="N42" i="20"/>
  <c r="O42" i="20"/>
  <c r="R42" i="20"/>
  <c r="T42" i="20"/>
  <c r="B43" i="20"/>
  <c r="C43" i="20"/>
  <c r="D43" i="20"/>
  <c r="E43" i="20"/>
  <c r="F43" i="20"/>
  <c r="G43" i="20"/>
  <c r="H43" i="20"/>
  <c r="I43" i="20"/>
  <c r="J43" i="20"/>
  <c r="K43" i="20"/>
  <c r="L43" i="20"/>
  <c r="M43" i="20"/>
  <c r="N43" i="20"/>
  <c r="O43" i="20"/>
  <c r="R43" i="20"/>
  <c r="T43" i="20"/>
  <c r="B44" i="20"/>
  <c r="C44" i="20"/>
  <c r="D44" i="20"/>
  <c r="E44" i="20"/>
  <c r="F44" i="20"/>
  <c r="G44" i="20"/>
  <c r="H44" i="20"/>
  <c r="I44" i="20"/>
  <c r="J44" i="20"/>
  <c r="K44" i="20"/>
  <c r="L44" i="20"/>
  <c r="M44" i="20"/>
  <c r="N44" i="20"/>
  <c r="B45" i="20"/>
  <c r="C45" i="20"/>
  <c r="C89" i="20" s="1"/>
  <c r="D45" i="20"/>
  <c r="D89" i="20" s="1"/>
  <c r="E45" i="20"/>
  <c r="E89" i="20" s="1"/>
  <c r="F45" i="20"/>
  <c r="F89" i="20" s="1"/>
  <c r="G45" i="20"/>
  <c r="G89" i="20" s="1"/>
  <c r="H45" i="20"/>
  <c r="H89" i="20" s="1"/>
  <c r="I45" i="20"/>
  <c r="I89" i="20" s="1"/>
  <c r="J45" i="20"/>
  <c r="J89" i="20" s="1"/>
  <c r="K45" i="20"/>
  <c r="K89" i="20" s="1"/>
  <c r="L45" i="20"/>
  <c r="L89" i="20" s="1"/>
  <c r="M45" i="20"/>
  <c r="M89" i="20" s="1"/>
  <c r="N45" i="20"/>
  <c r="B46" i="20"/>
  <c r="C46" i="20"/>
  <c r="D46" i="20"/>
  <c r="E46" i="20"/>
  <c r="F46" i="20"/>
  <c r="G46" i="20"/>
  <c r="H46" i="20"/>
  <c r="I46" i="20"/>
  <c r="J46" i="20"/>
  <c r="K46" i="20"/>
  <c r="L46" i="20"/>
  <c r="M46" i="20"/>
  <c r="N46" i="20"/>
  <c r="N51" i="20"/>
  <c r="O51" i="20"/>
  <c r="R51" i="20"/>
  <c r="T51" i="20"/>
  <c r="N52" i="20"/>
  <c r="O52" i="20"/>
  <c r="R52" i="20"/>
  <c r="T52" i="20"/>
  <c r="B53" i="20"/>
  <c r="B109" i="20" s="1"/>
  <c r="C53" i="20"/>
  <c r="C109" i="20" s="1"/>
  <c r="D53" i="20"/>
  <c r="D109" i="20" s="1"/>
  <c r="E53" i="20"/>
  <c r="E109" i="20" s="1"/>
  <c r="F53" i="20"/>
  <c r="F109" i="20" s="1"/>
  <c r="G53" i="20"/>
  <c r="G109" i="20" s="1"/>
  <c r="H53" i="20"/>
  <c r="H109" i="20" s="1"/>
  <c r="I53" i="20"/>
  <c r="I109" i="20" s="1"/>
  <c r="J53" i="20"/>
  <c r="J109" i="20" s="1"/>
  <c r="K53" i="20"/>
  <c r="K109" i="20" s="1"/>
  <c r="L53" i="20"/>
  <c r="L109" i="20" s="1"/>
  <c r="M53" i="20"/>
  <c r="M109" i="20" s="1"/>
  <c r="N53" i="20"/>
  <c r="R53" i="20"/>
  <c r="N55" i="20"/>
  <c r="N56" i="20"/>
  <c r="O56" i="20"/>
  <c r="R56" i="20"/>
  <c r="T56" i="20"/>
  <c r="N57" i="20"/>
  <c r="O57" i="20"/>
  <c r="R57" i="20"/>
  <c r="T57" i="20"/>
  <c r="B58" i="20"/>
  <c r="B111" i="20" s="1"/>
  <c r="C58" i="20"/>
  <c r="C111" i="20" s="1"/>
  <c r="D58" i="20"/>
  <c r="D111" i="20" s="1"/>
  <c r="E58" i="20"/>
  <c r="E111" i="20" s="1"/>
  <c r="F58" i="20"/>
  <c r="F111" i="20" s="1"/>
  <c r="G58" i="20"/>
  <c r="G111" i="20" s="1"/>
  <c r="H58" i="20"/>
  <c r="H111" i="20" s="1"/>
  <c r="I58" i="20"/>
  <c r="I111" i="20" s="1"/>
  <c r="J58" i="20"/>
  <c r="J111" i="20" s="1"/>
  <c r="K58" i="20"/>
  <c r="K111" i="20" s="1"/>
  <c r="L58" i="20"/>
  <c r="L111" i="20" s="1"/>
  <c r="M58" i="20"/>
  <c r="M111" i="20" s="1"/>
  <c r="N58" i="20"/>
  <c r="R58" i="20"/>
  <c r="B2" i="11"/>
  <c r="C35" i="11"/>
  <c r="D35" i="11"/>
  <c r="E35" i="11"/>
  <c r="C36" i="11"/>
  <c r="D36" i="11"/>
  <c r="E36" i="11"/>
  <c r="E42" i="11"/>
  <c r="B70" i="11"/>
  <c r="C70" i="11"/>
  <c r="D70" i="11"/>
  <c r="E70" i="11"/>
  <c r="F70" i="11"/>
  <c r="E72" i="11"/>
  <c r="E73" i="11"/>
  <c r="E74" i="11"/>
  <c r="E75" i="11"/>
  <c r="E76" i="11"/>
  <c r="C77" i="11"/>
  <c r="C6" i="11" s="1"/>
  <c r="D77" i="11"/>
  <c r="D6" i="11" s="1"/>
  <c r="D7" i="11" s="1"/>
  <c r="E77" i="11"/>
  <c r="E81" i="11"/>
  <c r="E82" i="11"/>
  <c r="E83" i="11"/>
  <c r="E84" i="11"/>
  <c r="E85" i="11"/>
  <c r="C86" i="11"/>
  <c r="D86" i="11"/>
  <c r="E86" i="11"/>
  <c r="E89" i="11"/>
  <c r="E90" i="11"/>
  <c r="E91" i="11"/>
  <c r="E92" i="11"/>
  <c r="E93" i="11"/>
  <c r="E94" i="11"/>
  <c r="E95" i="11"/>
  <c r="E96" i="11"/>
  <c r="C97" i="11"/>
  <c r="D97" i="11"/>
  <c r="E97" i="11"/>
  <c r="C99" i="11"/>
  <c r="C10" i="11" s="1"/>
  <c r="D99" i="11"/>
  <c r="D10" i="11" s="1"/>
  <c r="E99" i="11"/>
  <c r="E10" i="11" s="1"/>
  <c r="E102" i="11"/>
  <c r="E103" i="11"/>
  <c r="E104" i="11"/>
  <c r="E105" i="11"/>
  <c r="E106" i="11"/>
  <c r="E107" i="11"/>
  <c r="E108" i="11"/>
  <c r="E109" i="11"/>
  <c r="E110" i="11"/>
  <c r="E111" i="11"/>
  <c r="C112" i="11"/>
  <c r="C11" i="11" s="1"/>
  <c r="D112" i="11"/>
  <c r="D11" i="11" s="1"/>
  <c r="E112" i="11"/>
  <c r="E116" i="11"/>
  <c r="E117" i="11"/>
  <c r="E118" i="11"/>
  <c r="E119" i="11"/>
  <c r="E120" i="11"/>
  <c r="E121" i="11"/>
  <c r="E122" i="11"/>
  <c r="C123" i="11"/>
  <c r="C12" i="11" s="1"/>
  <c r="D123" i="11"/>
  <c r="D12" i="11" s="1"/>
  <c r="E123" i="11"/>
  <c r="E126" i="11"/>
  <c r="C127" i="11"/>
  <c r="C13" i="11" s="1"/>
  <c r="D127" i="11"/>
  <c r="D13" i="11" s="1"/>
  <c r="E127" i="11"/>
  <c r="E130" i="11"/>
  <c r="E131" i="11"/>
  <c r="E132" i="11"/>
  <c r="E133" i="11"/>
  <c r="E134" i="11"/>
  <c r="E135" i="11"/>
  <c r="E136" i="11"/>
  <c r="E137" i="11"/>
  <c r="E138" i="11"/>
  <c r="E139" i="11"/>
  <c r="E140" i="11"/>
  <c r="E141" i="11"/>
  <c r="C142" i="11"/>
  <c r="C14" i="11" s="1"/>
  <c r="D142" i="11"/>
  <c r="D14" i="11" s="1"/>
  <c r="E142" i="11"/>
  <c r="E146" i="11"/>
  <c r="E147" i="11"/>
  <c r="E148" i="11"/>
  <c r="E149" i="11"/>
  <c r="E150" i="11"/>
  <c r="E151" i="11"/>
  <c r="E152" i="11"/>
  <c r="E153" i="11"/>
  <c r="E154" i="11"/>
  <c r="E155" i="11"/>
  <c r="E156" i="11"/>
  <c r="E157" i="11"/>
  <c r="E158" i="11"/>
  <c r="C159" i="11"/>
  <c r="C21" i="11" s="1"/>
  <c r="D159" i="11"/>
  <c r="D21" i="11" s="1"/>
  <c r="E159"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C190" i="11"/>
  <c r="C26" i="11" s="1"/>
  <c r="E26" i="11" s="1"/>
  <c r="B99" i="34" s="1"/>
  <c r="D190" i="11"/>
  <c r="D26" i="11" s="1"/>
  <c r="E190" i="11"/>
  <c r="E193" i="11"/>
  <c r="E194" i="11"/>
  <c r="E195" i="11"/>
  <c r="E196" i="11"/>
  <c r="E197" i="11"/>
  <c r="C198" i="11"/>
  <c r="C25" i="11" s="1"/>
  <c r="D198" i="11"/>
  <c r="D25" i="11" s="1"/>
  <c r="E198" i="11"/>
  <c r="E201" i="11"/>
  <c r="E202" i="11"/>
  <c r="E203" i="11"/>
  <c r="E204" i="11"/>
  <c r="C205" i="11"/>
  <c r="C24" i="11" s="1"/>
  <c r="D205" i="11"/>
  <c r="D24" i="11" s="1"/>
  <c r="E205" i="11"/>
  <c r="E208" i="11"/>
  <c r="E209" i="11"/>
  <c r="C210" i="11"/>
  <c r="C23" i="11" s="1"/>
  <c r="D210" i="11"/>
  <c r="D23" i="11" s="1"/>
  <c r="D27" i="11" s="1"/>
  <c r="E210" i="11"/>
  <c r="E213" i="11"/>
  <c r="E214" i="11"/>
  <c r="E215" i="11"/>
  <c r="E216" i="11"/>
  <c r="E217" i="11"/>
  <c r="E218" i="11"/>
  <c r="C219" i="11"/>
  <c r="C34" i="11" s="1"/>
  <c r="D219" i="11"/>
  <c r="D34" i="11" s="1"/>
  <c r="D37" i="11" s="1"/>
  <c r="E219" i="11"/>
  <c r="E221" i="11"/>
  <c r="E222" i="11"/>
  <c r="C223" i="11"/>
  <c r="D223" i="11"/>
  <c r="E223" i="11"/>
  <c r="F158" i="34"/>
  <c r="E158" i="34"/>
  <c r="D158" i="34"/>
  <c r="F164" i="34"/>
  <c r="E164" i="34"/>
  <c r="D164" i="34"/>
  <c r="F160" i="34"/>
  <c r="E160" i="34"/>
  <c r="D160" i="34"/>
  <c r="G153" i="34"/>
  <c r="A153" i="34"/>
  <c r="G152" i="34"/>
  <c r="A152" i="34"/>
  <c r="G151" i="34"/>
  <c r="A151" i="34"/>
  <c r="G150" i="34"/>
  <c r="A150" i="34"/>
  <c r="G149" i="34"/>
  <c r="A149" i="34"/>
  <c r="G148" i="34"/>
  <c r="A148" i="34"/>
  <c r="G147" i="34"/>
  <c r="A147" i="34"/>
  <c r="G146" i="34"/>
  <c r="A146" i="34"/>
  <c r="G145" i="34"/>
  <c r="A145" i="34"/>
  <c r="G144" i="34"/>
  <c r="A144" i="34"/>
  <c r="G143" i="34"/>
  <c r="A143" i="34"/>
  <c r="G142" i="34"/>
  <c r="A142" i="34"/>
  <c r="G141" i="34"/>
  <c r="A141" i="34"/>
  <c r="G140" i="34"/>
  <c r="A140" i="34"/>
  <c r="G139" i="34"/>
  <c r="A139" i="34"/>
  <c r="G138" i="34"/>
  <c r="A138" i="34"/>
  <c r="G137" i="34"/>
  <c r="A137" i="34"/>
  <c r="G136" i="34"/>
  <c r="A136" i="34"/>
  <c r="A135" i="34"/>
  <c r="G134" i="34"/>
  <c r="A134" i="34"/>
  <c r="G133" i="34"/>
  <c r="A133" i="34"/>
  <c r="G132" i="34"/>
  <c r="A132" i="34"/>
  <c r="G131" i="34"/>
  <c r="A131" i="34"/>
  <c r="G130" i="34"/>
  <c r="A130" i="34"/>
  <c r="G129" i="34"/>
  <c r="A129" i="34"/>
  <c r="G128" i="34"/>
  <c r="A128" i="34"/>
  <c r="G127" i="34"/>
  <c r="A127" i="34"/>
  <c r="G126" i="34"/>
  <c r="A126" i="34"/>
  <c r="G125" i="34"/>
  <c r="A125" i="34"/>
  <c r="G124" i="34"/>
  <c r="A124" i="34"/>
  <c r="G123" i="34"/>
  <c r="A123" i="34"/>
  <c r="G122" i="34"/>
  <c r="A122" i="34"/>
  <c r="G121" i="34"/>
  <c r="A121" i="34"/>
  <c r="E121" i="34" s="1"/>
  <c r="G120" i="34"/>
  <c r="A120" i="34"/>
  <c r="G119" i="34"/>
  <c r="A119" i="34"/>
  <c r="G118" i="34"/>
  <c r="A118" i="34"/>
  <c r="G117" i="34"/>
  <c r="A117" i="34"/>
  <c r="G116" i="34"/>
  <c r="A116" i="34"/>
  <c r="G115" i="34"/>
  <c r="A115" i="34"/>
  <c r="G114" i="34"/>
  <c r="A114" i="34"/>
  <c r="G113" i="34"/>
  <c r="A113" i="34"/>
  <c r="G112" i="34"/>
  <c r="A112" i="34"/>
  <c r="G111" i="34"/>
  <c r="A111" i="34"/>
  <c r="G110" i="34"/>
  <c r="A110" i="34"/>
  <c r="G109" i="34"/>
  <c r="A109" i="34"/>
  <c r="G108" i="34"/>
  <c r="A108" i="34"/>
  <c r="G107" i="34"/>
  <c r="A107" i="34"/>
  <c r="G106" i="34"/>
  <c r="A106" i="34"/>
  <c r="G105" i="34"/>
  <c r="A105" i="34"/>
  <c r="G104" i="34"/>
  <c r="A104" i="34"/>
  <c r="G103" i="34"/>
  <c r="A103" i="34"/>
  <c r="G102" i="34"/>
  <c r="A102" i="34"/>
  <c r="G101" i="34"/>
  <c r="A101" i="34"/>
  <c r="G100" i="34"/>
  <c r="A100" i="34"/>
  <c r="G99" i="34"/>
  <c r="A99" i="34"/>
  <c r="G98" i="34"/>
  <c r="A98" i="34"/>
  <c r="G97" i="34"/>
  <c r="A97" i="34"/>
  <c r="G96" i="34"/>
  <c r="A96" i="34"/>
  <c r="G95" i="34"/>
  <c r="A95" i="34"/>
  <c r="G94" i="34"/>
  <c r="A94" i="34"/>
  <c r="G93" i="34"/>
  <c r="A93" i="34"/>
  <c r="G92" i="34"/>
  <c r="A92" i="34"/>
  <c r="G91" i="34"/>
  <c r="A91" i="34"/>
  <c r="G90" i="34"/>
  <c r="A90" i="34"/>
  <c r="G89" i="34"/>
  <c r="A89" i="34"/>
  <c r="G88" i="34"/>
  <c r="A88" i="34"/>
  <c r="G87" i="34"/>
  <c r="A87" i="34"/>
  <c r="G86" i="34"/>
  <c r="A86" i="34"/>
  <c r="G85" i="34"/>
  <c r="A85" i="34"/>
  <c r="G84" i="34"/>
  <c r="A84" i="34"/>
  <c r="G83" i="34"/>
  <c r="A83" i="34"/>
  <c r="G82" i="34"/>
  <c r="A82" i="34"/>
  <c r="G81" i="34"/>
  <c r="A81" i="34"/>
  <c r="G80" i="34"/>
  <c r="A80" i="34"/>
  <c r="G79" i="34"/>
  <c r="A79" i="34"/>
  <c r="G78" i="34"/>
  <c r="A78" i="34"/>
  <c r="G77" i="34"/>
  <c r="A77" i="34"/>
  <c r="G76" i="34"/>
  <c r="A76" i="34"/>
  <c r="G75" i="34"/>
  <c r="A75" i="34"/>
  <c r="G74" i="34"/>
  <c r="A74" i="34"/>
  <c r="G73" i="34"/>
  <c r="A73" i="34"/>
  <c r="G72" i="34"/>
  <c r="A72" i="34"/>
  <c r="E72" i="34" s="1"/>
  <c r="G71" i="34"/>
  <c r="A71" i="34"/>
  <c r="G70" i="34"/>
  <c r="A70" i="34"/>
  <c r="G69" i="34"/>
  <c r="A69" i="34"/>
  <c r="A68" i="34"/>
  <c r="G67" i="34"/>
  <c r="A67" i="34"/>
  <c r="G66" i="34"/>
  <c r="A66" i="34"/>
  <c r="G65" i="34"/>
  <c r="A65" i="34"/>
  <c r="G64" i="34"/>
  <c r="A64" i="34"/>
  <c r="G63" i="34"/>
  <c r="A63" i="34"/>
  <c r="G62" i="34"/>
  <c r="A62" i="34"/>
  <c r="G61" i="34"/>
  <c r="A61" i="34"/>
  <c r="G60" i="34"/>
  <c r="A60" i="34"/>
  <c r="G59" i="34"/>
  <c r="A59" i="34"/>
  <c r="G58" i="34"/>
  <c r="A58" i="34"/>
  <c r="G57" i="34"/>
  <c r="A57" i="34"/>
  <c r="G56" i="34"/>
  <c r="A56" i="34"/>
  <c r="G55" i="34"/>
  <c r="A55" i="34"/>
  <c r="G54" i="34"/>
  <c r="A54" i="34"/>
  <c r="E54" i="34" s="1"/>
  <c r="G53" i="34"/>
  <c r="A53" i="34"/>
  <c r="G52" i="34"/>
  <c r="A52" i="34"/>
  <c r="G51" i="34"/>
  <c r="A51" i="34"/>
  <c r="G50" i="34"/>
  <c r="A50" i="34"/>
  <c r="G49" i="34"/>
  <c r="A49" i="34"/>
  <c r="G48" i="34"/>
  <c r="A48" i="34"/>
  <c r="G47" i="34"/>
  <c r="A47" i="34"/>
  <c r="G46" i="34"/>
  <c r="A46" i="34"/>
  <c r="G45" i="34"/>
  <c r="A45" i="34"/>
  <c r="G44" i="34"/>
  <c r="A44" i="34"/>
  <c r="G43" i="34"/>
  <c r="A43" i="34"/>
  <c r="G42" i="34"/>
  <c r="A42" i="34"/>
  <c r="G41" i="34"/>
  <c r="A41" i="34"/>
  <c r="G40" i="34"/>
  <c r="A40" i="34"/>
  <c r="G39" i="34"/>
  <c r="A39" i="34"/>
  <c r="G38" i="34"/>
  <c r="A38" i="34"/>
  <c r="G37" i="34"/>
  <c r="A37" i="34"/>
  <c r="G36" i="34"/>
  <c r="A36" i="34"/>
  <c r="G35" i="34"/>
  <c r="A35" i="34"/>
  <c r="G34" i="34"/>
  <c r="A34" i="34"/>
  <c r="G33" i="34"/>
  <c r="A33" i="34"/>
  <c r="G32" i="34"/>
  <c r="A32" i="34"/>
  <c r="G31" i="34"/>
  <c r="A31" i="34"/>
  <c r="G30" i="34"/>
  <c r="A30" i="34"/>
  <c r="G29" i="34"/>
  <c r="A29" i="34"/>
  <c r="G28" i="34"/>
  <c r="A28" i="34"/>
  <c r="E28" i="34" s="1"/>
  <c r="G27" i="34"/>
  <c r="A27" i="34"/>
  <c r="G26" i="34"/>
  <c r="A26" i="34"/>
  <c r="G25" i="34"/>
  <c r="A25" i="34"/>
  <c r="G24" i="34"/>
  <c r="A24" i="34"/>
  <c r="G23" i="34"/>
  <c r="A23" i="34"/>
  <c r="G22" i="34"/>
  <c r="A22" i="34"/>
  <c r="G21" i="34"/>
  <c r="A21" i="34"/>
  <c r="G20" i="34"/>
  <c r="A20" i="34"/>
  <c r="C20" i="34" s="1"/>
  <c r="G19" i="34"/>
  <c r="A19" i="34"/>
  <c r="G18" i="34"/>
  <c r="A18" i="34"/>
  <c r="G17" i="34"/>
  <c r="A17" i="34"/>
  <c r="G16" i="34"/>
  <c r="A16" i="34"/>
  <c r="G15" i="34"/>
  <c r="A15" i="34"/>
  <c r="G14" i="34"/>
  <c r="A14" i="34"/>
  <c r="G13" i="34"/>
  <c r="A13" i="34"/>
  <c r="G12" i="34"/>
  <c r="A12" i="34"/>
  <c r="G11" i="34"/>
  <c r="A11" i="34"/>
  <c r="G10" i="34"/>
  <c r="A10" i="34"/>
  <c r="G9" i="34"/>
  <c r="A9" i="34"/>
  <c r="A8" i="34"/>
  <c r="E8" i="34" s="1"/>
  <c r="G7" i="34"/>
  <c r="A7" i="34"/>
  <c r="E7" i="34" s="1"/>
  <c r="G45" i="33"/>
  <c r="C45" i="33"/>
  <c r="F42" i="33"/>
  <c r="B42" i="33"/>
  <c r="F41" i="33"/>
  <c r="F43" i="33" s="1"/>
  <c r="B41" i="33"/>
  <c r="B43" i="33" s="1"/>
  <c r="G36" i="33"/>
  <c r="H36" i="33" s="1"/>
  <c r="I36" i="33" s="1"/>
  <c r="C36" i="33"/>
  <c r="D36" i="33" s="1"/>
  <c r="E36" i="33" s="1"/>
  <c r="G35" i="33"/>
  <c r="H35" i="33" s="1"/>
  <c r="I35" i="33" s="1"/>
  <c r="C35" i="33"/>
  <c r="D35" i="33" s="1"/>
  <c r="E35" i="33" s="1"/>
  <c r="G34" i="33"/>
  <c r="G37" i="33" s="1"/>
  <c r="F34" i="33"/>
  <c r="C34" i="33"/>
  <c r="C37" i="33" s="1"/>
  <c r="B34" i="33"/>
  <c r="G26" i="33"/>
  <c r="F26" i="33"/>
  <c r="H26" i="33" s="1"/>
  <c r="I26" i="33" s="1"/>
  <c r="C26" i="33"/>
  <c r="B26" i="33"/>
  <c r="D26" i="33" s="1"/>
  <c r="E26" i="33" s="1"/>
  <c r="G25" i="33"/>
  <c r="F25" i="33"/>
  <c r="H25" i="33" s="1"/>
  <c r="I25" i="33" s="1"/>
  <c r="C25" i="33"/>
  <c r="B25" i="33"/>
  <c r="D25" i="33" s="1"/>
  <c r="E25" i="33" s="1"/>
  <c r="G24" i="33"/>
  <c r="F24" i="33"/>
  <c r="H24" i="33" s="1"/>
  <c r="I24" i="33" s="1"/>
  <c r="C24" i="33"/>
  <c r="B24" i="33"/>
  <c r="D24" i="33" s="1"/>
  <c r="E24" i="33" s="1"/>
  <c r="G23" i="33"/>
  <c r="G27" i="33" s="1"/>
  <c r="F23" i="33"/>
  <c r="C23" i="33"/>
  <c r="C27" i="33" s="1"/>
  <c r="B23" i="33"/>
  <c r="G22" i="33"/>
  <c r="F22" i="33"/>
  <c r="C22" i="33"/>
  <c r="C28" i="33" s="1"/>
  <c r="B22" i="33"/>
  <c r="G15" i="33"/>
  <c r="F15" i="33"/>
  <c r="H15" i="33" s="1"/>
  <c r="I15" i="33" s="1"/>
  <c r="C15" i="33"/>
  <c r="B15" i="33"/>
  <c r="D15" i="33" s="1"/>
  <c r="E15" i="33" s="1"/>
  <c r="G14" i="33"/>
  <c r="F14" i="33"/>
  <c r="H14" i="33" s="1"/>
  <c r="I14" i="33" s="1"/>
  <c r="C14" i="33"/>
  <c r="B14" i="33"/>
  <c r="D14" i="33" s="1"/>
  <c r="E14" i="33" s="1"/>
  <c r="G13" i="33"/>
  <c r="F13" i="33"/>
  <c r="H13" i="33" s="1"/>
  <c r="I13" i="33" s="1"/>
  <c r="C13" i="33"/>
  <c r="B13" i="33"/>
  <c r="D13" i="33" s="1"/>
  <c r="E13" i="33" s="1"/>
  <c r="G12" i="33"/>
  <c r="F12" i="33"/>
  <c r="H12" i="33" s="1"/>
  <c r="I12" i="33" s="1"/>
  <c r="C12" i="33"/>
  <c r="B12" i="33"/>
  <c r="D12" i="33" s="1"/>
  <c r="E12" i="33" s="1"/>
  <c r="G10" i="33"/>
  <c r="F10" i="33"/>
  <c r="H10" i="33" s="1"/>
  <c r="I10" i="33" s="1"/>
  <c r="C10" i="33"/>
  <c r="B10" i="33"/>
  <c r="D10" i="33" s="1"/>
  <c r="E10" i="33" s="1"/>
  <c r="G9" i="33"/>
  <c r="G11" i="33" s="1"/>
  <c r="G16" i="33" s="1"/>
  <c r="F9" i="33"/>
  <c r="C9" i="33"/>
  <c r="C11" i="33" s="1"/>
  <c r="C16" i="33" s="1"/>
  <c r="B9" i="33"/>
  <c r="G6" i="33"/>
  <c r="F6" i="33"/>
  <c r="C6" i="33"/>
  <c r="B6" i="33"/>
  <c r="B81" i="32"/>
  <c r="B92" i="32" s="1"/>
  <c r="B75" i="32"/>
  <c r="B68" i="32"/>
  <c r="B58" i="32"/>
  <c r="B61" i="32" s="1"/>
  <c r="B63" i="32" s="1"/>
  <c r="B45" i="32"/>
  <c r="B32" i="32"/>
  <c r="B30" i="32"/>
  <c r="B35" i="32" s="1"/>
  <c r="B27" i="32"/>
  <c r="B15" i="32"/>
  <c r="B9" i="32"/>
  <c r="C90" i="31"/>
  <c r="B90" i="31"/>
  <c r="C85" i="31"/>
  <c r="C84" i="31"/>
  <c r="C82" i="31"/>
  <c r="C81" i="31"/>
  <c r="C77" i="31"/>
  <c r="C76" i="31"/>
  <c r="C73" i="31"/>
  <c r="B73" i="31"/>
  <c r="B66" i="31"/>
  <c r="C64" i="31"/>
  <c r="C66" i="31" s="1"/>
  <c r="C56" i="31"/>
  <c r="C59" i="31" s="1"/>
  <c r="C61" i="31" s="1"/>
  <c r="B56" i="31"/>
  <c r="B59" i="31" s="1"/>
  <c r="B61" i="31" s="1"/>
  <c r="B43" i="31"/>
  <c r="B45" i="31" s="1"/>
  <c r="C41" i="31"/>
  <c r="C40" i="31"/>
  <c r="C39" i="31"/>
  <c r="C37" i="31"/>
  <c r="C36" i="31"/>
  <c r="C43" i="31" s="1"/>
  <c r="B33" i="31"/>
  <c r="C31" i="31"/>
  <c r="C28" i="31"/>
  <c r="C33" i="31" s="1"/>
  <c r="B25" i="31"/>
  <c r="C22" i="31"/>
  <c r="C20" i="31"/>
  <c r="C25" i="31" s="1"/>
  <c r="C15" i="31"/>
  <c r="B15" i="31"/>
  <c r="C9" i="31"/>
  <c r="B9" i="31"/>
  <c r="B88" i="30"/>
  <c r="C85" i="30"/>
  <c r="C84" i="30"/>
  <c r="C83" i="30"/>
  <c r="C82" i="30"/>
  <c r="C81" i="30"/>
  <c r="C77" i="30"/>
  <c r="C76" i="30"/>
  <c r="C88" i="30" s="1"/>
  <c r="C73" i="30"/>
  <c r="B73" i="30"/>
  <c r="C68" i="30"/>
  <c r="B66" i="30"/>
  <c r="C64" i="30"/>
  <c r="C66" i="30" s="1"/>
  <c r="C56" i="30"/>
  <c r="C59" i="30" s="1"/>
  <c r="C61" i="30" s="1"/>
  <c r="B56" i="30"/>
  <c r="B59" i="30" s="1"/>
  <c r="B61" i="30" s="1"/>
  <c r="B55" i="30"/>
  <c r="B43" i="30"/>
  <c r="B45" i="30" s="1"/>
  <c r="C41" i="30"/>
  <c r="C40" i="30"/>
  <c r="C39" i="30"/>
  <c r="C37" i="30"/>
  <c r="C36" i="30"/>
  <c r="C43" i="30" s="1"/>
  <c r="B33" i="30"/>
  <c r="C32" i="30"/>
  <c r="C31" i="30"/>
  <c r="C30" i="30"/>
  <c r="C28" i="30"/>
  <c r="C27" i="30"/>
  <c r="C33" i="30" s="1"/>
  <c r="B25" i="30"/>
  <c r="C24" i="30"/>
  <c r="C23" i="30"/>
  <c r="C22" i="30"/>
  <c r="C20" i="30"/>
  <c r="C19" i="30"/>
  <c r="C25" i="30" s="1"/>
  <c r="C15" i="30"/>
  <c r="B15" i="30"/>
  <c r="B9" i="30"/>
  <c r="C7" i="30"/>
  <c r="W203" i="17"/>
  <c r="X203" i="17" s="1"/>
  <c r="W202" i="17"/>
  <c r="X202" i="17" s="1"/>
  <c r="W201" i="17"/>
  <c r="X201" i="17" s="1"/>
  <c r="W200" i="17"/>
  <c r="X200" i="17" s="1"/>
  <c r="W199" i="17"/>
  <c r="X199" i="17" s="1"/>
  <c r="W198" i="17"/>
  <c r="X198" i="17" s="1"/>
  <c r="W197" i="17"/>
  <c r="X197" i="17" s="1"/>
  <c r="W196" i="17"/>
  <c r="X196" i="17" s="1"/>
  <c r="W195" i="17"/>
  <c r="X195" i="17" s="1"/>
  <c r="W194" i="17"/>
  <c r="X194" i="17" s="1"/>
  <c r="W193" i="17"/>
  <c r="X193" i="17" s="1"/>
  <c r="W192" i="17"/>
  <c r="X192" i="17" s="1"/>
  <c r="W191" i="17"/>
  <c r="X191" i="17" s="1"/>
  <c r="W190" i="17"/>
  <c r="X190" i="17" s="1"/>
  <c r="W189" i="17"/>
  <c r="X189" i="17" s="1"/>
  <c r="W188" i="17"/>
  <c r="X188" i="17" s="1"/>
  <c r="W187" i="17"/>
  <c r="X187" i="17" s="1"/>
  <c r="W186" i="17"/>
  <c r="X186" i="17" s="1"/>
  <c r="W185" i="17"/>
  <c r="X185" i="17" s="1"/>
  <c r="W184" i="17"/>
  <c r="X184" i="17" s="1"/>
  <c r="W183" i="17"/>
  <c r="X183" i="17" s="1"/>
  <c r="W182" i="17"/>
  <c r="X182" i="17" s="1"/>
  <c r="W181" i="17"/>
  <c r="X181" i="17" s="1"/>
  <c r="W180" i="17"/>
  <c r="X180" i="17" s="1"/>
  <c r="W179" i="17"/>
  <c r="X179" i="17" s="1"/>
  <c r="W178" i="17"/>
  <c r="X178" i="17" s="1"/>
  <c r="W177" i="17"/>
  <c r="X177" i="17" s="1"/>
  <c r="W176" i="17"/>
  <c r="X176" i="17" s="1"/>
  <c r="W175" i="17"/>
  <c r="X175" i="17" s="1"/>
  <c r="W174" i="17"/>
  <c r="X174" i="17" s="1"/>
  <c r="W173" i="17"/>
  <c r="X173" i="17" s="1"/>
  <c r="W172" i="17"/>
  <c r="X172" i="17" s="1"/>
  <c r="W171" i="17"/>
  <c r="X171" i="17" s="1"/>
  <c r="W170" i="17"/>
  <c r="X170" i="17" s="1"/>
  <c r="W169" i="17"/>
  <c r="X169" i="17" s="1"/>
  <c r="W168" i="17"/>
  <c r="X168" i="17" s="1"/>
  <c r="W167" i="17"/>
  <c r="X167" i="17" s="1"/>
  <c r="W166" i="17"/>
  <c r="X166" i="17" s="1"/>
  <c r="W165" i="17"/>
  <c r="X165" i="17" s="1"/>
  <c r="W164" i="17"/>
  <c r="X164" i="17" s="1"/>
  <c r="W163" i="17"/>
  <c r="X163" i="17" s="1"/>
  <c r="W162" i="17"/>
  <c r="X162" i="17" s="1"/>
  <c r="W161" i="17"/>
  <c r="X161" i="17" s="1"/>
  <c r="W160" i="17"/>
  <c r="X160" i="17" s="1"/>
  <c r="W159" i="17"/>
  <c r="X159" i="17" s="1"/>
  <c r="W158" i="17"/>
  <c r="X158" i="17" s="1"/>
  <c r="W157" i="17"/>
  <c r="X157" i="17" s="1"/>
  <c r="W156" i="17"/>
  <c r="X156" i="17" s="1"/>
  <c r="W155" i="17"/>
  <c r="X155" i="17" s="1"/>
  <c r="W154" i="17"/>
  <c r="X154" i="17" s="1"/>
  <c r="W153" i="17"/>
  <c r="X153" i="17" s="1"/>
  <c r="W152" i="17"/>
  <c r="X152" i="17" s="1"/>
  <c r="W151" i="17"/>
  <c r="X151" i="17" s="1"/>
  <c r="W150" i="17"/>
  <c r="X150" i="17" s="1"/>
  <c r="W149" i="17"/>
  <c r="X149" i="17" s="1"/>
  <c r="W148" i="17"/>
  <c r="X148" i="17" s="1"/>
  <c r="W147" i="17"/>
  <c r="X147" i="17" s="1"/>
  <c r="W146" i="17"/>
  <c r="X146" i="17" s="1"/>
  <c r="W145" i="17"/>
  <c r="X145" i="17" s="1"/>
  <c r="W144" i="17"/>
  <c r="X144" i="17" s="1"/>
  <c r="W143" i="17"/>
  <c r="X143" i="17" s="1"/>
  <c r="W142" i="17"/>
  <c r="X142" i="17" s="1"/>
  <c r="W141" i="17"/>
  <c r="X141" i="17" s="1"/>
  <c r="W140" i="17"/>
  <c r="X140" i="17" s="1"/>
  <c r="W139" i="17"/>
  <c r="X139" i="17" s="1"/>
  <c r="W138" i="17"/>
  <c r="X138" i="17" s="1"/>
  <c r="W137" i="17"/>
  <c r="X137" i="17" s="1"/>
  <c r="W136" i="17"/>
  <c r="X136" i="17" s="1"/>
  <c r="W135" i="17"/>
  <c r="X135" i="17" s="1"/>
  <c r="W134" i="17"/>
  <c r="X134" i="17" s="1"/>
  <c r="W133" i="17"/>
  <c r="X133" i="17" s="1"/>
  <c r="W132" i="17"/>
  <c r="X132" i="17" s="1"/>
  <c r="W131" i="17"/>
  <c r="X131" i="17" s="1"/>
  <c r="W130" i="17"/>
  <c r="X130" i="17" s="1"/>
  <c r="W129" i="17"/>
  <c r="X129" i="17" s="1"/>
  <c r="W128" i="17"/>
  <c r="X128" i="17" s="1"/>
  <c r="W127" i="17"/>
  <c r="X127" i="17" s="1"/>
  <c r="W126" i="17"/>
  <c r="X126" i="17" s="1"/>
  <c r="W125" i="17"/>
  <c r="X125" i="17" s="1"/>
  <c r="W124" i="17"/>
  <c r="X124" i="17" s="1"/>
  <c r="W123" i="17"/>
  <c r="X123" i="17" s="1"/>
  <c r="W122" i="17"/>
  <c r="X122" i="17" s="1"/>
  <c r="W121" i="17"/>
  <c r="X121" i="17" s="1"/>
  <c r="W120" i="17"/>
  <c r="X120" i="17" s="1"/>
  <c r="W119" i="17"/>
  <c r="X119" i="17" s="1"/>
  <c r="W118" i="17"/>
  <c r="X118" i="17" s="1"/>
  <c r="W117" i="17"/>
  <c r="X117" i="17" s="1"/>
  <c r="W116" i="17"/>
  <c r="X116" i="17" s="1"/>
  <c r="W115" i="17"/>
  <c r="X115" i="17" s="1"/>
  <c r="W114" i="17"/>
  <c r="X114" i="17" s="1"/>
  <c r="W113" i="17"/>
  <c r="X113" i="17" s="1"/>
  <c r="W112" i="17"/>
  <c r="X112" i="17" s="1"/>
  <c r="W111" i="17"/>
  <c r="X111" i="17" s="1"/>
  <c r="W110" i="17"/>
  <c r="X110" i="17" s="1"/>
  <c r="W109" i="17"/>
  <c r="X109" i="17" s="1"/>
  <c r="W108" i="17"/>
  <c r="X108" i="17" s="1"/>
  <c r="W107" i="17"/>
  <c r="X107" i="17" s="1"/>
  <c r="W106" i="17"/>
  <c r="X106" i="17" s="1"/>
  <c r="W105" i="17"/>
  <c r="X105" i="17" s="1"/>
  <c r="W104" i="17"/>
  <c r="X104" i="17" s="1"/>
  <c r="W103" i="17"/>
  <c r="X103" i="17" s="1"/>
  <c r="W102" i="17"/>
  <c r="X102" i="17" s="1"/>
  <c r="W101" i="17"/>
  <c r="X101" i="17" s="1"/>
  <c r="W100" i="17"/>
  <c r="X100" i="17" s="1"/>
  <c r="W99" i="17"/>
  <c r="X99" i="17" s="1"/>
  <c r="W98" i="17"/>
  <c r="X98" i="17" s="1"/>
  <c r="W97" i="17"/>
  <c r="X97" i="17" s="1"/>
  <c r="W96" i="17"/>
  <c r="X96" i="17" s="1"/>
  <c r="W95" i="17"/>
  <c r="X95" i="17" s="1"/>
  <c r="W94" i="17"/>
  <c r="X94" i="17" s="1"/>
  <c r="W93" i="17"/>
  <c r="X93" i="17" s="1"/>
  <c r="W92" i="17"/>
  <c r="X92" i="17" s="1"/>
  <c r="W91" i="17"/>
  <c r="X91" i="17" s="1"/>
  <c r="W90" i="17"/>
  <c r="X90" i="17" s="1"/>
  <c r="W89" i="17"/>
  <c r="X89" i="17" s="1"/>
  <c r="W88" i="17"/>
  <c r="X88" i="17" s="1"/>
  <c r="W87" i="17"/>
  <c r="X87" i="17" s="1"/>
  <c r="W86" i="17"/>
  <c r="X86" i="17" s="1"/>
  <c r="W85" i="17"/>
  <c r="X85" i="17" s="1"/>
  <c r="W84" i="17"/>
  <c r="X84" i="17" s="1"/>
  <c r="W83" i="17"/>
  <c r="X83" i="17" s="1"/>
  <c r="W82" i="17"/>
  <c r="X82" i="17" s="1"/>
  <c r="W81" i="17"/>
  <c r="X81" i="17" s="1"/>
  <c r="W80" i="17"/>
  <c r="X80" i="17" s="1"/>
  <c r="W79" i="17"/>
  <c r="X79" i="17" s="1"/>
  <c r="W78" i="17"/>
  <c r="X78" i="17" s="1"/>
  <c r="W77" i="17"/>
  <c r="X77" i="17" s="1"/>
  <c r="W76" i="17"/>
  <c r="X76" i="17" s="1"/>
  <c r="W75" i="17"/>
  <c r="X75" i="17" s="1"/>
  <c r="W74" i="17"/>
  <c r="X74" i="17" s="1"/>
  <c r="W73" i="17"/>
  <c r="X73" i="17" s="1"/>
  <c r="W72" i="17"/>
  <c r="X72" i="17" s="1"/>
  <c r="W71" i="17"/>
  <c r="X71" i="17" s="1"/>
  <c r="W70" i="17"/>
  <c r="X70" i="17" s="1"/>
  <c r="W69" i="17"/>
  <c r="X69" i="17" s="1"/>
  <c r="W68" i="17"/>
  <c r="X68" i="17" s="1"/>
  <c r="W67" i="17"/>
  <c r="X67" i="17" s="1"/>
  <c r="W66" i="17"/>
  <c r="X66" i="17" s="1"/>
  <c r="W65" i="17"/>
  <c r="X65" i="17" s="1"/>
  <c r="W64" i="17"/>
  <c r="X64" i="17" s="1"/>
  <c r="W63" i="17"/>
  <c r="X63" i="17" s="1"/>
  <c r="W62" i="17"/>
  <c r="X62" i="17" s="1"/>
  <c r="W61" i="17"/>
  <c r="X61" i="17" s="1"/>
  <c r="W60" i="17"/>
  <c r="X60" i="17" s="1"/>
  <c r="W59" i="17"/>
  <c r="X59" i="17" s="1"/>
  <c r="W58" i="17"/>
  <c r="X58" i="17" s="1"/>
  <c r="W57" i="17"/>
  <c r="X57" i="17" s="1"/>
  <c r="W56" i="17"/>
  <c r="X56" i="17" s="1"/>
  <c r="W55" i="17"/>
  <c r="X55" i="17" s="1"/>
  <c r="W54" i="17"/>
  <c r="X54" i="17" s="1"/>
  <c r="W53" i="17"/>
  <c r="X53" i="17" s="1"/>
  <c r="W52" i="17"/>
  <c r="X52" i="17" s="1"/>
  <c r="W51" i="17"/>
  <c r="X51" i="17" s="1"/>
  <c r="W50" i="17"/>
  <c r="X50" i="17" s="1"/>
  <c r="W49" i="17"/>
  <c r="X49" i="17" s="1"/>
  <c r="W48" i="17"/>
  <c r="X48" i="17" s="1"/>
  <c r="W47" i="17"/>
  <c r="X47" i="17" s="1"/>
  <c r="W46" i="17"/>
  <c r="X46" i="17" s="1"/>
  <c r="W45" i="17"/>
  <c r="X45" i="17" s="1"/>
  <c r="W44" i="17"/>
  <c r="X44" i="17" s="1"/>
  <c r="W43" i="17"/>
  <c r="X43" i="17" s="1"/>
  <c r="W42" i="17"/>
  <c r="X42" i="17" s="1"/>
  <c r="W41" i="17"/>
  <c r="X41" i="17" s="1"/>
  <c r="W40" i="17"/>
  <c r="X40" i="17" s="1"/>
  <c r="W39" i="17"/>
  <c r="X39" i="17" s="1"/>
  <c r="W38" i="17"/>
  <c r="X38" i="17" s="1"/>
  <c r="W37" i="17"/>
  <c r="X37" i="17" s="1"/>
  <c r="W36" i="17"/>
  <c r="X36" i="17" s="1"/>
  <c r="W35" i="17"/>
  <c r="X35" i="17" s="1"/>
  <c r="W34" i="17"/>
  <c r="X34" i="17" s="1"/>
  <c r="W33" i="17"/>
  <c r="X33" i="17" s="1"/>
  <c r="W32" i="17"/>
  <c r="X32" i="17" s="1"/>
  <c r="W31" i="17"/>
  <c r="X31" i="17" s="1"/>
  <c r="W30" i="17"/>
  <c r="X30" i="17" s="1"/>
  <c r="W29" i="17"/>
  <c r="X29" i="17" s="1"/>
  <c r="W28" i="17"/>
  <c r="X28" i="17" s="1"/>
  <c r="W27" i="17"/>
  <c r="X27" i="17" s="1"/>
  <c r="W26" i="17"/>
  <c r="X26" i="17" s="1"/>
  <c r="W25" i="17"/>
  <c r="X25" i="17" s="1"/>
  <c r="W24" i="17"/>
  <c r="X24" i="17" s="1"/>
  <c r="W23" i="17"/>
  <c r="X23" i="17" s="1"/>
  <c r="W22" i="17"/>
  <c r="X22" i="17" s="1"/>
  <c r="W21" i="17"/>
  <c r="X21" i="17" s="1"/>
  <c r="W20" i="17"/>
  <c r="X20" i="17" s="1"/>
  <c r="W19" i="17"/>
  <c r="X19" i="17" s="1"/>
  <c r="W18" i="17"/>
  <c r="X18" i="17" s="1"/>
  <c r="W17" i="17"/>
  <c r="X17" i="17" s="1"/>
  <c r="W16" i="17"/>
  <c r="X16" i="17" s="1"/>
  <c r="W15" i="17"/>
  <c r="X15" i="17" s="1"/>
  <c r="W14" i="17"/>
  <c r="X14" i="17" s="1"/>
  <c r="W13" i="17"/>
  <c r="X13" i="17" s="1"/>
  <c r="W12" i="17"/>
  <c r="X12" i="17" s="1"/>
  <c r="W11" i="17"/>
  <c r="X11" i="17" s="1"/>
  <c r="W10" i="17"/>
  <c r="X10" i="17" s="1"/>
  <c r="W9" i="17"/>
  <c r="X9" i="17" s="1"/>
  <c r="W8" i="17"/>
  <c r="X8" i="17" s="1"/>
  <c r="W7" i="17"/>
  <c r="X7" i="17" s="1"/>
  <c r="W6" i="17"/>
  <c r="X6" i="17" s="1"/>
  <c r="U320" i="16"/>
  <c r="U319" i="16"/>
  <c r="U318" i="16"/>
  <c r="U317" i="16"/>
  <c r="U316" i="16"/>
  <c r="U315" i="16"/>
  <c r="U314" i="16"/>
  <c r="U313" i="16"/>
  <c r="U312" i="16"/>
  <c r="U311" i="16"/>
  <c r="U310" i="16"/>
  <c r="U309" i="16"/>
  <c r="U308" i="16"/>
  <c r="U307" i="16"/>
  <c r="U306" i="16"/>
  <c r="U305" i="16"/>
  <c r="U304" i="16"/>
  <c r="U303" i="16"/>
  <c r="U302" i="16"/>
  <c r="U301" i="16"/>
  <c r="U300" i="16"/>
  <c r="U299" i="16"/>
  <c r="U298" i="16"/>
  <c r="U297" i="16"/>
  <c r="U296" i="16"/>
  <c r="U295" i="16"/>
  <c r="U294" i="16"/>
  <c r="U293" i="16"/>
  <c r="U292" i="16"/>
  <c r="U291" i="16"/>
  <c r="U290" i="16"/>
  <c r="U289" i="16"/>
  <c r="U288" i="16"/>
  <c r="U287" i="16"/>
  <c r="U286" i="16"/>
  <c r="U285" i="16"/>
  <c r="U284" i="16"/>
  <c r="U283" i="16"/>
  <c r="U282" i="16"/>
  <c r="U281" i="16"/>
  <c r="U280" i="16"/>
  <c r="U279" i="16"/>
  <c r="U278" i="16"/>
  <c r="U277" i="16"/>
  <c r="U276" i="16"/>
  <c r="U275" i="16"/>
  <c r="U274" i="16"/>
  <c r="U273" i="16"/>
  <c r="U272" i="16"/>
  <c r="U271" i="16"/>
  <c r="U270" i="16"/>
  <c r="U269" i="16"/>
  <c r="U268" i="16"/>
  <c r="U267" i="16"/>
  <c r="U266" i="16"/>
  <c r="U265" i="16"/>
  <c r="U264" i="16"/>
  <c r="U263" i="16"/>
  <c r="U262" i="16"/>
  <c r="U261" i="16"/>
  <c r="U260" i="16"/>
  <c r="U259" i="16"/>
  <c r="U258" i="16"/>
  <c r="U257" i="16"/>
  <c r="U256" i="16"/>
  <c r="U255" i="16"/>
  <c r="U254" i="16"/>
  <c r="U253" i="16"/>
  <c r="U252" i="16"/>
  <c r="U251" i="16"/>
  <c r="U250" i="16"/>
  <c r="U249" i="16"/>
  <c r="U248" i="16"/>
  <c r="U247" i="16"/>
  <c r="U246" i="16"/>
  <c r="U245" i="16"/>
  <c r="U244" i="16"/>
  <c r="U243" i="16"/>
  <c r="U242" i="16"/>
  <c r="U241" i="16"/>
  <c r="U240" i="16"/>
  <c r="U239" i="16"/>
  <c r="U238" i="16"/>
  <c r="U237" i="16"/>
  <c r="U236" i="16"/>
  <c r="U235" i="16"/>
  <c r="U234" i="16"/>
  <c r="U233" i="16"/>
  <c r="U232" i="16"/>
  <c r="U231" i="16"/>
  <c r="U230" i="16"/>
  <c r="U229" i="16"/>
  <c r="U228" i="16"/>
  <c r="U227" i="16"/>
  <c r="U226" i="16"/>
  <c r="U225" i="16"/>
  <c r="U224" i="16"/>
  <c r="U223" i="16"/>
  <c r="U222" i="16"/>
  <c r="U221" i="16"/>
  <c r="U220" i="16"/>
  <c r="U219" i="16"/>
  <c r="U218" i="16"/>
  <c r="U217" i="16"/>
  <c r="U216" i="16"/>
  <c r="U215" i="16"/>
  <c r="U214" i="16"/>
  <c r="U213" i="16"/>
  <c r="U212" i="16"/>
  <c r="U211" i="16"/>
  <c r="U210" i="16"/>
  <c r="U209" i="16"/>
  <c r="U208" i="16"/>
  <c r="U207" i="16"/>
  <c r="U206" i="16"/>
  <c r="U205" i="16"/>
  <c r="U204" i="16"/>
  <c r="U203" i="16"/>
  <c r="U202" i="16"/>
  <c r="U201" i="16"/>
  <c r="U200" i="16"/>
  <c r="U199" i="16"/>
  <c r="U198" i="16"/>
  <c r="U197" i="16"/>
  <c r="U196" i="16"/>
  <c r="U195" i="16"/>
  <c r="U194" i="16"/>
  <c r="U193" i="16"/>
  <c r="U192" i="16"/>
  <c r="U191" i="16"/>
  <c r="U190" i="16"/>
  <c r="U189" i="16"/>
  <c r="U188" i="16"/>
  <c r="U187" i="16"/>
  <c r="U186" i="16"/>
  <c r="U185" i="16"/>
  <c r="U184" i="16"/>
  <c r="U183" i="16"/>
  <c r="U182" i="16"/>
  <c r="U181" i="16"/>
  <c r="U180" i="16"/>
  <c r="U179" i="16"/>
  <c r="U178" i="16"/>
  <c r="U177" i="16"/>
  <c r="U176" i="16"/>
  <c r="U175" i="16"/>
  <c r="U174" i="16"/>
  <c r="U173" i="16"/>
  <c r="U172" i="16"/>
  <c r="U171" i="16"/>
  <c r="U170" i="16"/>
  <c r="U169" i="16"/>
  <c r="U168" i="16"/>
  <c r="U167" i="16"/>
  <c r="U166" i="16"/>
  <c r="U165" i="16"/>
  <c r="U164" i="16"/>
  <c r="U163" i="16"/>
  <c r="U162" i="16"/>
  <c r="U161" i="16"/>
  <c r="U160" i="16"/>
  <c r="U159" i="16"/>
  <c r="U158" i="16"/>
  <c r="U157" i="16"/>
  <c r="U156" i="16"/>
  <c r="U155" i="16"/>
  <c r="U154" i="16"/>
  <c r="U153" i="16"/>
  <c r="U152" i="16"/>
  <c r="U151" i="16"/>
  <c r="U150" i="16"/>
  <c r="U149" i="16"/>
  <c r="U148" i="16"/>
  <c r="U147" i="16"/>
  <c r="U146" i="16"/>
  <c r="U145" i="16"/>
  <c r="U144" i="16"/>
  <c r="U143" i="16"/>
  <c r="U142" i="16"/>
  <c r="U141" i="16"/>
  <c r="U140" i="16"/>
  <c r="U139" i="16"/>
  <c r="U138" i="16"/>
  <c r="U137" i="16"/>
  <c r="U136" i="16"/>
  <c r="U135" i="16"/>
  <c r="U134" i="16"/>
  <c r="U133" i="16"/>
  <c r="U132" i="16"/>
  <c r="U131" i="16"/>
  <c r="U130" i="16"/>
  <c r="U129" i="16"/>
  <c r="U128" i="16"/>
  <c r="U127" i="16"/>
  <c r="U126" i="16"/>
  <c r="U125" i="16"/>
  <c r="U124" i="16"/>
  <c r="U123" i="16"/>
  <c r="U122" i="16"/>
  <c r="U121" i="16"/>
  <c r="U120" i="16"/>
  <c r="U119" i="16"/>
  <c r="U118" i="16"/>
  <c r="U117" i="16"/>
  <c r="U116" i="16"/>
  <c r="U115" i="16"/>
  <c r="U114" i="16"/>
  <c r="U113" i="16"/>
  <c r="U112" i="16"/>
  <c r="U111" i="16"/>
  <c r="U110" i="16"/>
  <c r="U109" i="16"/>
  <c r="U108" i="16"/>
  <c r="U107" i="16"/>
  <c r="U106" i="16"/>
  <c r="U105" i="16"/>
  <c r="U104" i="16"/>
  <c r="U103" i="16"/>
  <c r="U102" i="16"/>
  <c r="U101" i="16"/>
  <c r="U100" i="16"/>
  <c r="U99" i="16"/>
  <c r="U98" i="16"/>
  <c r="U97" i="16"/>
  <c r="U96" i="16"/>
  <c r="U95" i="16"/>
  <c r="U94" i="16"/>
  <c r="U93" i="16"/>
  <c r="U92" i="16"/>
  <c r="U91" i="16"/>
  <c r="U90" i="16"/>
  <c r="U89" i="16"/>
  <c r="U88" i="16"/>
  <c r="U87" i="16"/>
  <c r="U86" i="16"/>
  <c r="U85" i="16"/>
  <c r="U84" i="16"/>
  <c r="U83" i="16"/>
  <c r="U82" i="16"/>
  <c r="U81" i="16"/>
  <c r="U80" i="16"/>
  <c r="U79" i="16"/>
  <c r="U78" i="16"/>
  <c r="U77" i="16"/>
  <c r="U76" i="16"/>
  <c r="U75" i="16"/>
  <c r="U74" i="16"/>
  <c r="U73" i="16"/>
  <c r="U72" i="16"/>
  <c r="U71" i="16"/>
  <c r="U70" i="16"/>
  <c r="U69" i="16"/>
  <c r="U68" i="16"/>
  <c r="U67" i="16"/>
  <c r="U66" i="16"/>
  <c r="U65" i="16"/>
  <c r="U64" i="16"/>
  <c r="U63" i="16"/>
  <c r="U62" i="16"/>
  <c r="U61" i="16"/>
  <c r="U60" i="16"/>
  <c r="U59" i="16"/>
  <c r="U58" i="16"/>
  <c r="U57" i="16"/>
  <c r="U56" i="16"/>
  <c r="U55" i="16"/>
  <c r="U54" i="16"/>
  <c r="U53" i="16"/>
  <c r="U52" i="16"/>
  <c r="U51" i="16"/>
  <c r="U50" i="16"/>
  <c r="U49" i="16"/>
  <c r="U48" i="16"/>
  <c r="U47" i="16"/>
  <c r="U46" i="16"/>
  <c r="U45" i="16"/>
  <c r="U44" i="16"/>
  <c r="U43" i="16"/>
  <c r="U42" i="16"/>
  <c r="U41" i="16"/>
  <c r="U40" i="16"/>
  <c r="U39" i="16"/>
  <c r="U38" i="16"/>
  <c r="U37" i="16"/>
  <c r="U36" i="16"/>
  <c r="U35" i="16"/>
  <c r="U34" i="16"/>
  <c r="U33" i="16"/>
  <c r="U32" i="16"/>
  <c r="U31" i="16"/>
  <c r="U30" i="16"/>
  <c r="U29" i="16"/>
  <c r="U28" i="16"/>
  <c r="U27" i="16"/>
  <c r="U26" i="16"/>
  <c r="U25" i="16"/>
  <c r="U24" i="16"/>
  <c r="U23" i="16"/>
  <c r="U22" i="16"/>
  <c r="U21" i="16"/>
  <c r="U20" i="16"/>
  <c r="U19" i="16"/>
  <c r="U18" i="16"/>
  <c r="U17" i="16"/>
  <c r="U16" i="16"/>
  <c r="U15" i="16"/>
  <c r="U14" i="16"/>
  <c r="U13" i="16"/>
  <c r="U12" i="16"/>
  <c r="U11" i="16"/>
  <c r="U10" i="16"/>
  <c r="U9" i="16"/>
  <c r="U8" i="16"/>
  <c r="U7" i="16"/>
  <c r="U6" i="16"/>
  <c r="U5" i="16"/>
  <c r="K153" i="15"/>
  <c r="K152" i="15"/>
  <c r="K151" i="15"/>
  <c r="K150" i="15"/>
  <c r="K147" i="15"/>
  <c r="K146" i="15"/>
  <c r="K145" i="15"/>
  <c r="K144" i="15"/>
  <c r="K142" i="15"/>
  <c r="K140" i="15"/>
  <c r="K139" i="15"/>
  <c r="K137" i="15"/>
  <c r="K135" i="15"/>
  <c r="K134" i="15"/>
  <c r="K133" i="15"/>
  <c r="K132" i="15"/>
  <c r="K131" i="15"/>
  <c r="K130" i="15"/>
  <c r="K129" i="15"/>
  <c r="K128" i="15"/>
  <c r="K125" i="15"/>
  <c r="K123" i="15"/>
  <c r="K121" i="15"/>
  <c r="K118" i="15"/>
  <c r="K117" i="15"/>
  <c r="K114" i="15"/>
  <c r="K113" i="15"/>
  <c r="K111" i="15"/>
  <c r="K110" i="15"/>
  <c r="K109" i="15"/>
  <c r="K108" i="15"/>
  <c r="K107" i="15"/>
  <c r="K105" i="15"/>
  <c r="K104" i="15"/>
  <c r="K99" i="15"/>
  <c r="K97" i="15"/>
  <c r="K96" i="15"/>
  <c r="K95" i="15"/>
  <c r="K94" i="15"/>
  <c r="K93" i="15"/>
  <c r="K91" i="15"/>
  <c r="K90" i="15"/>
  <c r="K88" i="15"/>
  <c r="K87" i="15"/>
  <c r="K86" i="15"/>
  <c r="K85" i="15"/>
  <c r="K81" i="15"/>
  <c r="K80" i="15"/>
  <c r="K78" i="15"/>
  <c r="K74" i="15"/>
  <c r="K73" i="15"/>
  <c r="K70" i="15"/>
  <c r="K68" i="15"/>
  <c r="K67" i="15"/>
  <c r="K66" i="15"/>
  <c r="K65" i="15"/>
  <c r="K64" i="15"/>
  <c r="K61" i="15"/>
  <c r="K58" i="15"/>
  <c r="K54" i="15"/>
  <c r="K53" i="15"/>
  <c r="K52" i="15"/>
  <c r="K51" i="15"/>
  <c r="K50" i="15"/>
  <c r="K49" i="15"/>
  <c r="K48" i="15"/>
  <c r="K47" i="15"/>
  <c r="K46" i="15"/>
  <c r="K45" i="15"/>
  <c r="K43" i="15"/>
  <c r="K42" i="15"/>
  <c r="K41" i="15"/>
  <c r="K40" i="15"/>
  <c r="K39" i="15"/>
  <c r="K38" i="15"/>
  <c r="K36" i="15"/>
  <c r="K34" i="15"/>
  <c r="K33" i="15"/>
  <c r="K31" i="15"/>
  <c r="K30" i="15"/>
  <c r="K28" i="15"/>
  <c r="K27" i="15"/>
  <c r="K26" i="15"/>
  <c r="K24" i="15"/>
  <c r="K23" i="15"/>
  <c r="K22" i="15"/>
  <c r="K21" i="15"/>
  <c r="K20" i="15"/>
  <c r="K19" i="15"/>
  <c r="K17" i="15"/>
  <c r="K15" i="15"/>
  <c r="K14" i="15"/>
  <c r="K13" i="15"/>
  <c r="K12" i="15"/>
  <c r="K10" i="15"/>
  <c r="K9" i="15"/>
  <c r="K8" i="15"/>
  <c r="K147" i="12"/>
  <c r="K146" i="12"/>
  <c r="K145" i="12"/>
  <c r="K144" i="12"/>
  <c r="K143" i="12"/>
  <c r="K142" i="12"/>
  <c r="K141" i="12"/>
  <c r="K140" i="12"/>
  <c r="K139" i="12"/>
  <c r="K138" i="12"/>
  <c r="K137" i="12"/>
  <c r="K136" i="12"/>
  <c r="K135" i="12"/>
  <c r="K134" i="12"/>
  <c r="K129" i="12"/>
  <c r="K128" i="12"/>
  <c r="K127" i="12"/>
  <c r="K126" i="12"/>
  <c r="K125" i="12"/>
  <c r="K124" i="12"/>
  <c r="K123" i="12"/>
  <c r="K122" i="12"/>
  <c r="K121" i="12"/>
  <c r="K120" i="12"/>
  <c r="K119" i="12"/>
  <c r="K118" i="12"/>
  <c r="K117" i="12"/>
  <c r="K116" i="12"/>
  <c r="K115" i="12"/>
  <c r="K114" i="12"/>
  <c r="K113" i="12"/>
  <c r="K112" i="12"/>
  <c r="K111" i="12"/>
  <c r="K110" i="12"/>
  <c r="K109" i="12"/>
  <c r="K108" i="12"/>
  <c r="K107" i="12"/>
  <c r="K106" i="12"/>
  <c r="K105" i="12"/>
  <c r="K104" i="12"/>
  <c r="K103" i="12"/>
  <c r="K102" i="12"/>
  <c r="K101" i="12"/>
  <c r="K100" i="12"/>
  <c r="K99" i="12"/>
  <c r="K98" i="12"/>
  <c r="K97" i="12"/>
  <c r="K96" i="12"/>
  <c r="K95" i="12"/>
  <c r="K94" i="12"/>
  <c r="K93" i="12"/>
  <c r="K92" i="12"/>
  <c r="K91" i="12"/>
  <c r="K90" i="12"/>
  <c r="K89" i="12"/>
  <c r="K88" i="12"/>
  <c r="K87" i="12"/>
  <c r="K86" i="12"/>
  <c r="K85" i="12"/>
  <c r="K70" i="12"/>
  <c r="K66" i="12"/>
  <c r="K53" i="12"/>
  <c r="K52" i="12"/>
  <c r="K51" i="12"/>
  <c r="K50" i="12"/>
  <c r="K49" i="12"/>
  <c r="K48" i="12"/>
  <c r="K47" i="12"/>
  <c r="K46" i="12"/>
  <c r="K45" i="12"/>
  <c r="K44" i="12"/>
  <c r="K43" i="12"/>
  <c r="K32" i="12"/>
  <c r="K23" i="12"/>
  <c r="K16" i="12"/>
  <c r="K8" i="12"/>
  <c r="K152" i="13"/>
  <c r="K151" i="13"/>
  <c r="K150" i="13"/>
  <c r="K149" i="13"/>
  <c r="K146" i="13"/>
  <c r="K145" i="13"/>
  <c r="K144" i="13"/>
  <c r="K143" i="13"/>
  <c r="K141" i="13"/>
  <c r="K139" i="13"/>
  <c r="K138" i="13"/>
  <c r="K136" i="13"/>
  <c r="K134" i="13"/>
  <c r="K133" i="13"/>
  <c r="K132" i="13"/>
  <c r="K131" i="13"/>
  <c r="K130" i="13"/>
  <c r="K129" i="13"/>
  <c r="K128" i="13"/>
  <c r="K127" i="13"/>
  <c r="K124" i="13"/>
  <c r="K122" i="13"/>
  <c r="K120" i="13"/>
  <c r="K117" i="13"/>
  <c r="K116" i="13"/>
  <c r="K113" i="13"/>
  <c r="K112" i="13"/>
  <c r="K110" i="13"/>
  <c r="K109" i="13"/>
  <c r="K108" i="13"/>
  <c r="K107" i="13"/>
  <c r="K106" i="13"/>
  <c r="K104" i="13"/>
  <c r="K103" i="13"/>
  <c r="K98" i="13"/>
  <c r="K96" i="13"/>
  <c r="K95" i="13"/>
  <c r="K94" i="13"/>
  <c r="K93" i="13"/>
  <c r="K92" i="13"/>
  <c r="K90" i="13"/>
  <c r="K89" i="13"/>
  <c r="K87" i="13"/>
  <c r="K86" i="13"/>
  <c r="K85" i="13"/>
  <c r="K84" i="13"/>
  <c r="K80" i="13"/>
  <c r="K79" i="13"/>
  <c r="K77" i="13"/>
  <c r="K73" i="13"/>
  <c r="K69" i="13"/>
  <c r="K67" i="13"/>
  <c r="K66" i="13"/>
  <c r="F65" i="13"/>
  <c r="K65" i="13" s="1"/>
  <c r="K64" i="13"/>
  <c r="K63" i="13"/>
  <c r="K60" i="13"/>
  <c r="K57" i="13"/>
  <c r="K53" i="13"/>
  <c r="K52" i="13"/>
  <c r="K51" i="13"/>
  <c r="K50" i="13"/>
  <c r="K49" i="13"/>
  <c r="K48" i="13"/>
  <c r="K47" i="13"/>
  <c r="K46" i="13"/>
  <c r="K45" i="13"/>
  <c r="K44" i="13"/>
  <c r="K42" i="13"/>
  <c r="K41" i="13"/>
  <c r="K40" i="13"/>
  <c r="K39" i="13"/>
  <c r="K38" i="13"/>
  <c r="K37" i="13"/>
  <c r="K35" i="13"/>
  <c r="K33" i="13"/>
  <c r="K29" i="13"/>
  <c r="K27" i="13"/>
  <c r="K26" i="13"/>
  <c r="K25" i="13"/>
  <c r="K23" i="13"/>
  <c r="K22" i="13"/>
  <c r="K21" i="13"/>
  <c r="K20" i="13"/>
  <c r="K19" i="13"/>
  <c r="K18" i="13"/>
  <c r="K16" i="13"/>
  <c r="K14" i="13"/>
  <c r="K13" i="13"/>
  <c r="K12" i="13"/>
  <c r="K10" i="13"/>
  <c r="K9" i="13"/>
  <c r="K8" i="13"/>
  <c r="K151" i="10"/>
  <c r="K150" i="10"/>
  <c r="K148" i="10"/>
  <c r="K145" i="10"/>
  <c r="K144" i="10"/>
  <c r="K143" i="10"/>
  <c r="K142" i="10"/>
  <c r="K140" i="10"/>
  <c r="K138" i="10"/>
  <c r="K137" i="10"/>
  <c r="K135" i="10"/>
  <c r="K133" i="10"/>
  <c r="K132" i="10"/>
  <c r="K131" i="10"/>
  <c r="K130" i="10"/>
  <c r="K129" i="10"/>
  <c r="K126" i="10"/>
  <c r="K123" i="10"/>
  <c r="K121" i="10"/>
  <c r="K119" i="10"/>
  <c r="K116" i="10"/>
  <c r="K115" i="10"/>
  <c r="K112" i="10"/>
  <c r="K111" i="10"/>
  <c r="K109" i="10"/>
  <c r="K108" i="10"/>
  <c r="K107" i="10"/>
  <c r="K106" i="10"/>
  <c r="K105" i="10"/>
  <c r="K103" i="10"/>
  <c r="K102" i="10"/>
  <c r="K97" i="10"/>
  <c r="K95" i="10"/>
  <c r="K94" i="10"/>
  <c r="K93" i="10"/>
  <c r="K92" i="10"/>
  <c r="K91" i="10"/>
  <c r="K89" i="10"/>
  <c r="K88" i="10"/>
  <c r="K86" i="10"/>
  <c r="K85" i="10"/>
  <c r="K84" i="10"/>
  <c r="K83" i="10"/>
  <c r="K79" i="10"/>
  <c r="K78" i="10"/>
  <c r="K76" i="10"/>
  <c r="K72" i="10"/>
  <c r="K68" i="10"/>
  <c r="K66" i="10"/>
  <c r="K65" i="10"/>
  <c r="K64" i="10"/>
  <c r="K63" i="10"/>
  <c r="K62" i="10"/>
  <c r="K59" i="10"/>
  <c r="K56" i="10"/>
  <c r="K52" i="10"/>
  <c r="K51" i="10"/>
  <c r="K50" i="10"/>
  <c r="K49" i="10"/>
  <c r="K48" i="10"/>
  <c r="K47" i="10"/>
  <c r="K46" i="10"/>
  <c r="K45" i="10"/>
  <c r="K44" i="10"/>
  <c r="K43" i="10"/>
  <c r="K41" i="10"/>
  <c r="K40" i="10"/>
  <c r="K39" i="10"/>
  <c r="K38" i="10"/>
  <c r="K37" i="10"/>
  <c r="K36" i="10"/>
  <c r="K34" i="10"/>
  <c r="K32" i="10"/>
  <c r="K29" i="10"/>
  <c r="K27" i="10"/>
  <c r="K26" i="10"/>
  <c r="K25" i="10"/>
  <c r="K23" i="10"/>
  <c r="K22" i="10"/>
  <c r="K21" i="10"/>
  <c r="K20" i="10"/>
  <c r="K19" i="10"/>
  <c r="K18" i="10"/>
  <c r="K16" i="10"/>
  <c r="K14" i="10"/>
  <c r="K12" i="10"/>
  <c r="K10" i="10"/>
  <c r="K9" i="10"/>
  <c r="K8" i="10"/>
  <c r="H135" i="34" l="1"/>
  <c r="H68" i="34"/>
  <c r="I67" i="34"/>
  <c r="G135" i="34"/>
  <c r="G68" i="34"/>
  <c r="C5" i="25"/>
  <c r="C11" i="25"/>
  <c r="C15" i="25"/>
  <c r="C12" i="25"/>
  <c r="C23" i="25"/>
  <c r="C21" i="25"/>
  <c r="C6" i="25"/>
  <c r="C10" i="25"/>
  <c r="C13" i="25"/>
  <c r="C19" i="25"/>
  <c r="C18" i="25"/>
  <c r="C7" i="25"/>
  <c r="C9" i="25"/>
  <c r="C17" i="25"/>
  <c r="C16" i="25"/>
  <c r="C14" i="25"/>
  <c r="C8" i="25"/>
  <c r="C22" i="25"/>
  <c r="C20" i="25"/>
  <c r="C24" i="25"/>
  <c r="C25" i="25"/>
  <c r="C26" i="25"/>
  <c r="C27" i="25"/>
  <c r="C28" i="25"/>
  <c r="C29" i="25"/>
  <c r="C30" i="25"/>
  <c r="K15" i="25"/>
  <c r="M15" i="25" s="1"/>
  <c r="K18" i="25"/>
  <c r="M18" i="25" s="1"/>
  <c r="K9" i="25"/>
  <c r="M9" i="25" s="1"/>
  <c r="K17" i="25"/>
  <c r="M17" i="25" s="1"/>
  <c r="K24" i="25"/>
  <c r="M24" i="25" s="1"/>
  <c r="K23" i="25"/>
  <c r="M23" i="25" s="1"/>
  <c r="K11" i="25"/>
  <c r="K16" i="25"/>
  <c r="M16" i="25" s="1"/>
  <c r="K22" i="25"/>
  <c r="M22" i="25" s="1"/>
  <c r="K12" i="25"/>
  <c r="K14" i="25"/>
  <c r="K5" i="25"/>
  <c r="K20" i="25"/>
  <c r="K19" i="25"/>
  <c r="K6" i="25"/>
  <c r="M6" i="25" s="1"/>
  <c r="K25" i="25"/>
  <c r="K21" i="25"/>
  <c r="M21" i="25" s="1"/>
  <c r="K26" i="25"/>
  <c r="M26" i="25" s="1"/>
  <c r="K7" i="25"/>
  <c r="K27" i="25"/>
  <c r="M27" i="25" s="1"/>
  <c r="K13" i="25"/>
  <c r="K28" i="25"/>
  <c r="M28" i="25" s="1"/>
  <c r="K10" i="25"/>
  <c r="K29" i="25"/>
  <c r="K8" i="25"/>
  <c r="K30" i="25"/>
  <c r="M30" i="25" s="1"/>
  <c r="L13" i="25"/>
  <c r="L5" i="25"/>
  <c r="L19" i="25"/>
  <c r="L8" i="25"/>
  <c r="L10" i="25"/>
  <c r="L20" i="25"/>
  <c r="L14" i="25"/>
  <c r="L11" i="25"/>
  <c r="L29" i="25"/>
  <c r="L12" i="25"/>
  <c r="L25" i="25"/>
  <c r="P19" i="25"/>
  <c r="P6" i="25"/>
  <c r="P7" i="25"/>
  <c r="P21" i="25"/>
  <c r="P20" i="25"/>
  <c r="P8" i="25"/>
  <c r="P9" i="25"/>
  <c r="P10" i="25"/>
  <c r="P11" i="25"/>
  <c r="P25" i="25"/>
  <c r="P12" i="25"/>
  <c r="P22" i="25"/>
  <c r="P26" i="25"/>
  <c r="P13" i="25"/>
  <c r="P14" i="25"/>
  <c r="P27" i="25"/>
  <c r="P24" i="25"/>
  <c r="P23" i="25"/>
  <c r="P28" i="25"/>
  <c r="P15" i="25"/>
  <c r="P16" i="25"/>
  <c r="P17" i="25"/>
  <c r="P29" i="25"/>
  <c r="P18" i="25"/>
  <c r="P5" i="25"/>
  <c r="P30" i="25"/>
  <c r="Q15" i="25"/>
  <c r="Q17" i="25"/>
  <c r="Q12" i="25"/>
  <c r="Q21" i="25"/>
  <c r="Q25" i="25"/>
  <c r="Q8" i="25"/>
  <c r="Q22" i="25"/>
  <c r="Q18" i="25"/>
  <c r="Q26" i="25"/>
  <c r="Q23" i="25"/>
  <c r="Q6" i="25"/>
  <c r="Q5" i="25"/>
  <c r="Q27" i="25"/>
  <c r="Q13" i="25"/>
  <c r="Q11" i="25"/>
  <c r="Q19" i="25"/>
  <c r="Q28" i="25"/>
  <c r="Q24" i="25"/>
  <c r="Q14" i="25"/>
  <c r="Q16" i="25"/>
  <c r="Q10" i="25"/>
  <c r="Q29" i="25"/>
  <c r="Q7" i="25"/>
  <c r="Q20" i="25"/>
  <c r="Q9" i="25"/>
  <c r="Q30" i="25"/>
  <c r="R10" i="25"/>
  <c r="R11" i="25"/>
  <c r="R12" i="25"/>
  <c r="R13" i="25"/>
  <c r="R26" i="25"/>
  <c r="R14" i="25"/>
  <c r="R15" i="25"/>
  <c r="R16" i="25"/>
  <c r="R17" i="25"/>
  <c r="R27" i="25"/>
  <c r="R18" i="25"/>
  <c r="R19" i="25"/>
  <c r="R20" i="25"/>
  <c r="R21" i="25"/>
  <c r="R28" i="25"/>
  <c r="R22" i="25"/>
  <c r="R23" i="25"/>
  <c r="R24" i="25"/>
  <c r="R5" i="25"/>
  <c r="R6" i="25"/>
  <c r="R29" i="25"/>
  <c r="R7" i="25"/>
  <c r="R8" i="25"/>
  <c r="R9" i="25"/>
  <c r="R25" i="25"/>
  <c r="R30" i="25"/>
  <c r="P10" i="24"/>
  <c r="R10" i="24"/>
  <c r="Q10" i="24"/>
  <c r="P19" i="24"/>
  <c r="Q19" i="24"/>
  <c r="R19" i="24"/>
  <c r="K6" i="24"/>
  <c r="K12" i="24"/>
  <c r="M12" i="24" s="1"/>
  <c r="C14" i="24"/>
  <c r="K14" i="24"/>
  <c r="M14" i="24" s="1"/>
  <c r="C7" i="24"/>
  <c r="K7" i="24"/>
  <c r="M7" i="24" s="1"/>
  <c r="K16" i="24"/>
  <c r="M16" i="24" s="1"/>
  <c r="K28" i="24"/>
  <c r="M28" i="24" s="1"/>
  <c r="C6" i="24"/>
  <c r="C8" i="24"/>
  <c r="K8" i="24"/>
  <c r="M8" i="24" s="1"/>
  <c r="K17" i="24"/>
  <c r="M17" i="24" s="1"/>
  <c r="K22" i="24"/>
  <c r="M22" i="24" s="1"/>
  <c r="C18" i="24"/>
  <c r="C22" i="24"/>
  <c r="C10" i="24"/>
  <c r="K10" i="24"/>
  <c r="M10" i="24" s="1"/>
  <c r="C27" i="24"/>
  <c r="K21" i="24"/>
  <c r="M21" i="24" s="1"/>
  <c r="C26" i="24"/>
  <c r="C13" i="24"/>
  <c r="K18" i="24"/>
  <c r="M18" i="24" s="1"/>
  <c r="C15" i="24"/>
  <c r="K15" i="24"/>
  <c r="M15" i="24" s="1"/>
  <c r="C16" i="24"/>
  <c r="C23" i="24"/>
  <c r="C17" i="24"/>
  <c r="C20" i="24"/>
  <c r="K20" i="24"/>
  <c r="M20" i="24" s="1"/>
  <c r="K19" i="24"/>
  <c r="M19" i="24" s="1"/>
  <c r="C21" i="24"/>
  <c r="C19" i="24"/>
  <c r="K13" i="24"/>
  <c r="M13" i="24" s="1"/>
  <c r="K23" i="24"/>
  <c r="M23" i="24" s="1"/>
  <c r="C24" i="24"/>
  <c r="K24" i="24"/>
  <c r="M24" i="24" s="1"/>
  <c r="C25" i="24"/>
  <c r="K25" i="24"/>
  <c r="M25" i="24" s="1"/>
  <c r="K26" i="24"/>
  <c r="M26" i="24" s="1"/>
  <c r="K27" i="24"/>
  <c r="M27" i="24" s="1"/>
  <c r="C28" i="24"/>
  <c r="C29" i="24"/>
  <c r="K29" i="24"/>
  <c r="M29" i="24" s="1"/>
  <c r="C12" i="24"/>
  <c r="K11" i="24"/>
  <c r="M11" i="24" s="1"/>
  <c r="K9" i="24"/>
  <c r="M9" i="24" s="1"/>
  <c r="C9" i="24"/>
  <c r="C11" i="24"/>
  <c r="P6" i="24"/>
  <c r="P22" i="24"/>
  <c r="P27" i="24"/>
  <c r="P7" i="24"/>
  <c r="P25" i="24"/>
  <c r="P9" i="24"/>
  <c r="P13" i="24"/>
  <c r="P8" i="24"/>
  <c r="P21" i="24"/>
  <c r="P23" i="24"/>
  <c r="P11" i="24"/>
  <c r="P28" i="24"/>
  <c r="P16" i="24"/>
  <c r="P14" i="24"/>
  <c r="P17" i="24"/>
  <c r="P24" i="24"/>
  <c r="P12" i="24"/>
  <c r="P15" i="24"/>
  <c r="P26" i="24"/>
  <c r="P18" i="24"/>
  <c r="P29" i="24"/>
  <c r="P20" i="24"/>
  <c r="Q6" i="24"/>
  <c r="Q16" i="24"/>
  <c r="Q7" i="24"/>
  <c r="Q13" i="24"/>
  <c r="Q8" i="24"/>
  <c r="Q18" i="24"/>
  <c r="Q9" i="24"/>
  <c r="Q11" i="24"/>
  <c r="Q12" i="24"/>
  <c r="Q14" i="24"/>
  <c r="Q15" i="24"/>
  <c r="Q20" i="24"/>
  <c r="Q22" i="24"/>
  <c r="Q21" i="24"/>
  <c r="Q28" i="24"/>
  <c r="Q24" i="24"/>
  <c r="Q27" i="24"/>
  <c r="Q26" i="24"/>
  <c r="Q29" i="24"/>
  <c r="Q25" i="24"/>
  <c r="Q23" i="24"/>
  <c r="Q17" i="24"/>
  <c r="R6" i="24"/>
  <c r="R7" i="24"/>
  <c r="R8" i="24"/>
  <c r="R9" i="24"/>
  <c r="R17" i="24"/>
  <c r="R20" i="24"/>
  <c r="R23" i="24"/>
  <c r="R25" i="24"/>
  <c r="R13" i="24"/>
  <c r="R18" i="24"/>
  <c r="R27" i="24"/>
  <c r="R11" i="24"/>
  <c r="R24" i="24"/>
  <c r="R29" i="24"/>
  <c r="R28" i="24"/>
  <c r="R15" i="24"/>
  <c r="R22" i="24"/>
  <c r="R21" i="24"/>
  <c r="R12" i="24"/>
  <c r="R26" i="24"/>
  <c r="R16" i="24"/>
  <c r="R14" i="24"/>
  <c r="C6" i="22"/>
  <c r="C14" i="22"/>
  <c r="C16" i="22"/>
  <c r="C18" i="22"/>
  <c r="C19" i="22"/>
  <c r="C21" i="22"/>
  <c r="C22" i="22"/>
  <c r="C23" i="22"/>
  <c r="C24" i="22"/>
  <c r="C27" i="22"/>
  <c r="C29" i="22"/>
  <c r="C17" i="22"/>
  <c r="C15" i="22"/>
  <c r="C13" i="22"/>
  <c r="C12" i="22"/>
  <c r="C5" i="22"/>
  <c r="C7" i="22"/>
  <c r="C10" i="22"/>
  <c r="C8" i="22"/>
  <c r="C11" i="22"/>
  <c r="C9" i="22"/>
  <c r="C28" i="22"/>
  <c r="C26" i="22"/>
  <c r="C25" i="22"/>
  <c r="C20" i="22"/>
  <c r="C5" i="21"/>
  <c r="C8" i="21"/>
  <c r="C12" i="21"/>
  <c r="C13" i="21"/>
  <c r="C15" i="21"/>
  <c r="C20" i="21"/>
  <c r="C27" i="21"/>
  <c r="C7" i="21"/>
  <c r="C9" i="21"/>
  <c r="C10" i="21"/>
  <c r="C18" i="21"/>
  <c r="C19" i="21"/>
  <c r="C21" i="21"/>
  <c r="C25" i="21"/>
  <c r="C26" i="21"/>
  <c r="C28" i="21"/>
  <c r="C14" i="21"/>
  <c r="C24" i="21"/>
  <c r="C29" i="21"/>
  <c r="C22" i="21"/>
  <c r="C23" i="21"/>
  <c r="C6" i="21"/>
  <c r="C11" i="21"/>
  <c r="C16" i="21"/>
  <c r="C17" i="21"/>
  <c r="G504" i="19"/>
  <c r="G522" i="19" s="1"/>
  <c r="G523" i="19" s="1"/>
  <c r="G525" i="19" s="1"/>
  <c r="H504" i="19"/>
  <c r="H522" i="19" s="1"/>
  <c r="H523" i="19" s="1"/>
  <c r="H525" i="19" s="1"/>
  <c r="I504" i="19"/>
  <c r="I522" i="19" s="1"/>
  <c r="I523" i="19" s="1"/>
  <c r="I525" i="19" s="1"/>
  <c r="J504" i="19"/>
  <c r="J522" i="19" s="1"/>
  <c r="J523" i="19" s="1"/>
  <c r="J525" i="19" s="1"/>
  <c r="K504" i="19"/>
  <c r="K522" i="19" s="1"/>
  <c r="K523" i="19" s="1"/>
  <c r="K525" i="19" s="1"/>
  <c r="L504" i="19"/>
  <c r="L522" i="19" s="1"/>
  <c r="L523" i="19" s="1"/>
  <c r="L525" i="19" s="1"/>
  <c r="M504" i="19"/>
  <c r="M522" i="19"/>
  <c r="M523" i="19" s="1"/>
  <c r="M525" i="19" s="1"/>
  <c r="N504" i="19"/>
  <c r="N522" i="19" s="1"/>
  <c r="N523" i="19" s="1"/>
  <c r="N525" i="19" s="1"/>
  <c r="O504" i="19"/>
  <c r="O522" i="19" s="1"/>
  <c r="O523" i="19" s="1"/>
  <c r="O525" i="19" s="1"/>
  <c r="P504" i="19"/>
  <c r="P522" i="19"/>
  <c r="P523" i="19" s="1"/>
  <c r="P525" i="19" s="1"/>
  <c r="Q504" i="19"/>
  <c r="Q522" i="19"/>
  <c r="Q369" i="19"/>
  <c r="C374" i="19"/>
  <c r="S452" i="19"/>
  <c r="T452" i="19" s="1"/>
  <c r="Q351" i="19"/>
  <c r="E366" i="19"/>
  <c r="E352" i="19"/>
  <c r="F366" i="19"/>
  <c r="F352" i="19"/>
  <c r="F353" i="19" s="1"/>
  <c r="G366" i="19"/>
  <c r="G352" i="19"/>
  <c r="G353" i="19" s="1"/>
  <c r="H352" i="19"/>
  <c r="H353" i="19" s="1"/>
  <c r="H372" i="19" s="1"/>
  <c r="H366" i="19"/>
  <c r="I366" i="19"/>
  <c r="I352" i="19"/>
  <c r="I353" i="19" s="1"/>
  <c r="J366" i="19"/>
  <c r="J352" i="19"/>
  <c r="J353" i="19" s="1"/>
  <c r="K366" i="19"/>
  <c r="K352" i="19"/>
  <c r="K353" i="19" s="1"/>
  <c r="L352" i="19"/>
  <c r="L353" i="19" s="1"/>
  <c r="L366" i="19"/>
  <c r="M352" i="19"/>
  <c r="M353" i="19" s="1"/>
  <c r="M366" i="19"/>
  <c r="N352" i="19"/>
  <c r="N353" i="19" s="1"/>
  <c r="N366" i="19"/>
  <c r="O352" i="19"/>
  <c r="O353" i="19" s="1"/>
  <c r="O366" i="19"/>
  <c r="P366" i="19"/>
  <c r="P352" i="19"/>
  <c r="P353" i="19" s="1"/>
  <c r="Q264" i="19"/>
  <c r="Q152" i="19"/>
  <c r="E163" i="19"/>
  <c r="E162" i="19"/>
  <c r="E161" i="19"/>
  <c r="E158" i="19"/>
  <c r="E160" i="19"/>
  <c r="E157" i="19"/>
  <c r="E165" i="19"/>
  <c r="E212" i="19"/>
  <c r="G160" i="19"/>
  <c r="G161" i="19"/>
  <c r="G158" i="19"/>
  <c r="G162" i="19"/>
  <c r="G157" i="19"/>
  <c r="G163" i="19"/>
  <c r="G212" i="19"/>
  <c r="G165" i="19"/>
  <c r="H158" i="19"/>
  <c r="H160" i="19"/>
  <c r="H163" i="19"/>
  <c r="H162" i="19"/>
  <c r="H161" i="19"/>
  <c r="H212" i="19"/>
  <c r="H157" i="19"/>
  <c r="H165" i="19" s="1"/>
  <c r="E180" i="19"/>
  <c r="D215" i="19"/>
  <c r="D214" i="19"/>
  <c r="E211" i="19"/>
  <c r="E206" i="19"/>
  <c r="E208" i="19" s="1"/>
  <c r="F180" i="19"/>
  <c r="F206" i="19"/>
  <c r="F208" i="19" s="1"/>
  <c r="F209" i="19" s="1"/>
  <c r="F211" i="19"/>
  <c r="G206" i="19"/>
  <c r="G208" i="19" s="1"/>
  <c r="G209" i="19" s="1"/>
  <c r="G211" i="19"/>
  <c r="H211" i="19"/>
  <c r="H206" i="19"/>
  <c r="H208" i="19" s="1"/>
  <c r="H209" i="19" s="1"/>
  <c r="I211" i="19"/>
  <c r="I206" i="19"/>
  <c r="I208" i="19" s="1"/>
  <c r="I209" i="19" s="1"/>
  <c r="J211" i="19"/>
  <c r="J206" i="19"/>
  <c r="J208" i="19" s="1"/>
  <c r="J209" i="19" s="1"/>
  <c r="K206" i="19"/>
  <c r="K208" i="19" s="1"/>
  <c r="K209" i="19" s="1"/>
  <c r="K211" i="19"/>
  <c r="L211" i="19"/>
  <c r="L206" i="19"/>
  <c r="L208" i="19" s="1"/>
  <c r="L209" i="19" s="1"/>
  <c r="M211" i="19"/>
  <c r="M206" i="19"/>
  <c r="M208" i="19" s="1"/>
  <c r="M209" i="19" s="1"/>
  <c r="N206" i="19"/>
  <c r="N208" i="19" s="1"/>
  <c r="N209" i="19" s="1"/>
  <c r="N211" i="19"/>
  <c r="O206" i="19"/>
  <c r="O208" i="19" s="1"/>
  <c r="O209" i="19" s="1"/>
  <c r="O211" i="19"/>
  <c r="P206" i="19"/>
  <c r="P208" i="19" s="1"/>
  <c r="P209" i="19" s="1"/>
  <c r="P211" i="19"/>
  <c r="Q130" i="19"/>
  <c r="I76" i="19"/>
  <c r="I58" i="19"/>
  <c r="I80" i="19"/>
  <c r="I56" i="19"/>
  <c r="I69" i="19" s="1"/>
  <c r="J56" i="19"/>
  <c r="J76" i="19"/>
  <c r="J80" i="19"/>
  <c r="J79" i="19"/>
  <c r="J58" i="19"/>
  <c r="K80" i="19"/>
  <c r="K58" i="19"/>
  <c r="K76" i="19"/>
  <c r="K86" i="19" s="1"/>
  <c r="K56" i="19"/>
  <c r="K69" i="19" s="1"/>
  <c r="L76" i="19"/>
  <c r="L80" i="19"/>
  <c r="L58" i="19"/>
  <c r="L56" i="19"/>
  <c r="L69" i="19" s="1"/>
  <c r="M76" i="19"/>
  <c r="M79" i="19"/>
  <c r="M56" i="19"/>
  <c r="M80" i="19"/>
  <c r="M58" i="19"/>
  <c r="N80" i="19"/>
  <c r="N56" i="19"/>
  <c r="N58" i="19"/>
  <c r="N76" i="19"/>
  <c r="N86" i="19" s="1"/>
  <c r="O58" i="19"/>
  <c r="O76" i="19"/>
  <c r="O80" i="19"/>
  <c r="O56" i="19"/>
  <c r="O69" i="19" s="1"/>
  <c r="P80" i="19"/>
  <c r="P56" i="19"/>
  <c r="P76" i="19"/>
  <c r="P86" i="19" s="1"/>
  <c r="P58" i="19"/>
  <c r="E48" i="19"/>
  <c r="E61" i="19"/>
  <c r="E183" i="19"/>
  <c r="E66" i="19"/>
  <c r="E59" i="19"/>
  <c r="E11" i="19"/>
  <c r="E194" i="19"/>
  <c r="F11" i="19"/>
  <c r="F66" i="19"/>
  <c r="F194" i="19"/>
  <c r="F204" i="19" s="1"/>
  <c r="F183" i="19"/>
  <c r="F48" i="19"/>
  <c r="F59" i="19"/>
  <c r="F61" i="19"/>
  <c r="G11" i="19"/>
  <c r="G194" i="19"/>
  <c r="G204" i="19" s="1"/>
  <c r="G61" i="19"/>
  <c r="G59" i="19"/>
  <c r="G48" i="19"/>
  <c r="G53" i="19" s="1"/>
  <c r="G66" i="19"/>
  <c r="G183" i="19"/>
  <c r="G188" i="19" s="1"/>
  <c r="H183" i="19"/>
  <c r="H188" i="19" s="1"/>
  <c r="H59" i="19"/>
  <c r="H48" i="19"/>
  <c r="H53" i="19" s="1"/>
  <c r="H61" i="19"/>
  <c r="H11" i="19"/>
  <c r="H194" i="19"/>
  <c r="H204" i="19" s="1"/>
  <c r="H66" i="19"/>
  <c r="E26" i="19"/>
  <c r="E27" i="19"/>
  <c r="E28" i="19"/>
  <c r="E77" i="19"/>
  <c r="E30" i="19"/>
  <c r="F77" i="19"/>
  <c r="F27" i="19"/>
  <c r="F28" i="19"/>
  <c r="F26" i="19"/>
  <c r="F30" i="19" s="1"/>
  <c r="G77" i="19"/>
  <c r="G26" i="19"/>
  <c r="G27" i="19"/>
  <c r="G28" i="19"/>
  <c r="G30" i="19" s="1"/>
  <c r="Q15" i="19"/>
  <c r="H77" i="19"/>
  <c r="H26" i="19"/>
  <c r="H27" i="19"/>
  <c r="H28" i="19"/>
  <c r="H30" i="19"/>
  <c r="I28" i="19"/>
  <c r="I26" i="19"/>
  <c r="I27" i="19"/>
  <c r="I30" i="19" s="1"/>
  <c r="I77" i="19"/>
  <c r="J27" i="19"/>
  <c r="J28" i="19"/>
  <c r="J26" i="19"/>
  <c r="J30" i="19" s="1"/>
  <c r="J77" i="19"/>
  <c r="K26" i="19"/>
  <c r="K77" i="19"/>
  <c r="K27" i="19"/>
  <c r="K30" i="19" s="1"/>
  <c r="K28" i="19"/>
  <c r="L27" i="19"/>
  <c r="L26" i="19"/>
  <c r="L77" i="19"/>
  <c r="L28" i="19"/>
  <c r="L30" i="19" s="1"/>
  <c r="M26" i="19"/>
  <c r="M28" i="19"/>
  <c r="M77" i="19"/>
  <c r="M27" i="19"/>
  <c r="M30" i="19"/>
  <c r="N26" i="19"/>
  <c r="N30" i="19" s="1"/>
  <c r="N28" i="19"/>
  <c r="N77" i="19"/>
  <c r="N27" i="19"/>
  <c r="O28" i="19"/>
  <c r="O27" i="19"/>
  <c r="O26" i="19"/>
  <c r="O30" i="19"/>
  <c r="O77" i="19"/>
  <c r="P77" i="19"/>
  <c r="P28" i="19"/>
  <c r="P27" i="19"/>
  <c r="P26" i="19"/>
  <c r="P30" i="19" s="1"/>
  <c r="D101" i="18"/>
  <c r="D103" i="18"/>
  <c r="E101" i="18"/>
  <c r="E103" i="18"/>
  <c r="F103" i="18"/>
  <c r="F101" i="18"/>
  <c r="G101" i="18"/>
  <c r="G103" i="18"/>
  <c r="H103" i="18"/>
  <c r="H101" i="18"/>
  <c r="I101" i="18"/>
  <c r="I103" i="18"/>
  <c r="J103" i="18"/>
  <c r="J101" i="18"/>
  <c r="K103" i="18"/>
  <c r="K101" i="18"/>
  <c r="L101" i="18"/>
  <c r="L103" i="18"/>
  <c r="M103" i="18"/>
  <c r="M101" i="18"/>
  <c r="P90" i="18"/>
  <c r="N103" i="18"/>
  <c r="N101" i="18"/>
  <c r="O103" i="18"/>
  <c r="O101" i="18"/>
  <c r="N61" i="20"/>
  <c r="B63" i="20"/>
  <c r="C86" i="20"/>
  <c r="C64" i="20"/>
  <c r="D86" i="20"/>
  <c r="D64" i="20"/>
  <c r="E64" i="20"/>
  <c r="E86" i="20"/>
  <c r="F86" i="20"/>
  <c r="F64" i="20"/>
  <c r="G64" i="20"/>
  <c r="G86" i="20"/>
  <c r="H86" i="20"/>
  <c r="H64" i="20"/>
  <c r="I64" i="20"/>
  <c r="I86" i="20"/>
  <c r="J86" i="20"/>
  <c r="J64" i="20"/>
  <c r="K64" i="20"/>
  <c r="K86" i="20"/>
  <c r="L64" i="20"/>
  <c r="L86" i="20"/>
  <c r="M64" i="20"/>
  <c r="M86" i="20"/>
  <c r="O83" i="20"/>
  <c r="O84" i="20"/>
  <c r="O85" i="20"/>
  <c r="O70" i="20"/>
  <c r="O62" i="20"/>
  <c r="O68" i="20"/>
  <c r="O69" i="20"/>
  <c r="O71" i="20"/>
  <c r="O72" i="20"/>
  <c r="O75" i="20"/>
  <c r="N86" i="20"/>
  <c r="O77" i="20"/>
  <c r="O78" i="20"/>
  <c r="O81" i="20"/>
  <c r="O82" i="20"/>
  <c r="C94" i="20"/>
  <c r="C90" i="20"/>
  <c r="D94" i="20"/>
  <c r="D90" i="20"/>
  <c r="E94" i="20"/>
  <c r="E90" i="20"/>
  <c r="F94" i="20"/>
  <c r="F90" i="20"/>
  <c r="G94" i="20"/>
  <c r="G90" i="20"/>
  <c r="H94" i="20"/>
  <c r="H90" i="20"/>
  <c r="I94" i="20"/>
  <c r="I90" i="20"/>
  <c r="J94" i="20"/>
  <c r="J90" i="20"/>
  <c r="K94" i="20"/>
  <c r="K90" i="20"/>
  <c r="L94" i="20"/>
  <c r="L90" i="20"/>
  <c r="M94" i="20"/>
  <c r="M90" i="20"/>
  <c r="C7" i="11"/>
  <c r="E6" i="11"/>
  <c r="E21" i="11"/>
  <c r="C27" i="11"/>
  <c r="E23" i="11"/>
  <c r="C37" i="11"/>
  <c r="E37" i="11" s="1"/>
  <c r="B152" i="34" s="1"/>
  <c r="E34" i="11"/>
  <c r="Q228" i="19"/>
  <c r="Q177" i="19"/>
  <c r="Q101" i="19"/>
  <c r="P99" i="18"/>
  <c r="C15" i="11"/>
  <c r="D15" i="11"/>
  <c r="D16" i="11" s="1"/>
  <c r="E11" i="11"/>
  <c r="E12" i="11"/>
  <c r="E13" i="11"/>
  <c r="E14" i="11"/>
  <c r="D29" i="11"/>
  <c r="E25" i="11"/>
  <c r="E24" i="11"/>
  <c r="B7" i="34"/>
  <c r="D7" i="34"/>
  <c r="C7" i="34"/>
  <c r="F7" i="34"/>
  <c r="F153" i="34"/>
  <c r="E153" i="34"/>
  <c r="D153" i="34"/>
  <c r="C153" i="34"/>
  <c r="F152" i="34"/>
  <c r="D152" i="34"/>
  <c r="C152" i="34"/>
  <c r="E152" i="34"/>
  <c r="E151" i="34"/>
  <c r="D151" i="34"/>
  <c r="B151" i="34"/>
  <c r="I151" i="34" s="1"/>
  <c r="F151" i="34"/>
  <c r="C151" i="34"/>
  <c r="F150" i="34"/>
  <c r="D150" i="34"/>
  <c r="C150" i="34"/>
  <c r="E150" i="34"/>
  <c r="B150" i="34"/>
  <c r="I150" i="34" s="1"/>
  <c r="F149" i="34"/>
  <c r="D149" i="34"/>
  <c r="C149" i="34"/>
  <c r="B149" i="34"/>
  <c r="I149" i="34" s="1"/>
  <c r="E149" i="34"/>
  <c r="E148" i="34"/>
  <c r="B148" i="34"/>
  <c r="I148" i="34" s="1"/>
  <c r="C148" i="34"/>
  <c r="D148" i="34"/>
  <c r="F148" i="34"/>
  <c r="F147" i="34"/>
  <c r="E147" i="34"/>
  <c r="D147" i="34"/>
  <c r="C147" i="34"/>
  <c r="B147" i="34"/>
  <c r="I147" i="34" s="1"/>
  <c r="C146" i="34"/>
  <c r="E146" i="34"/>
  <c r="B146" i="34"/>
  <c r="I146" i="34" s="1"/>
  <c r="F146" i="34"/>
  <c r="D146" i="34"/>
  <c r="B145" i="34"/>
  <c r="I145" i="34" s="1"/>
  <c r="D145" i="34"/>
  <c r="E145" i="34"/>
  <c r="F145" i="34"/>
  <c r="C145" i="34"/>
  <c r="E144" i="34"/>
  <c r="B144" i="34"/>
  <c r="I144" i="34" s="1"/>
  <c r="C144" i="34"/>
  <c r="F144" i="34"/>
  <c r="D144" i="34"/>
  <c r="D143" i="34"/>
  <c r="B143" i="34"/>
  <c r="I143" i="34" s="1"/>
  <c r="F143" i="34"/>
  <c r="E143" i="34"/>
  <c r="C143" i="34"/>
  <c r="F142" i="34"/>
  <c r="B142" i="34"/>
  <c r="I142" i="34" s="1"/>
  <c r="E142" i="34"/>
  <c r="D142" i="34"/>
  <c r="C142" i="34"/>
  <c r="D141" i="34"/>
  <c r="C141" i="34"/>
  <c r="B141" i="34"/>
  <c r="I141" i="34" s="1"/>
  <c r="F141" i="34"/>
  <c r="E141" i="34"/>
  <c r="C140" i="34"/>
  <c r="D140" i="34"/>
  <c r="F140" i="34"/>
  <c r="E140" i="34"/>
  <c r="B140" i="34"/>
  <c r="I140" i="34" s="1"/>
  <c r="C139" i="34"/>
  <c r="D139" i="34"/>
  <c r="F139" i="34"/>
  <c r="E139" i="34"/>
  <c r="B139" i="34"/>
  <c r="I139" i="34" s="1"/>
  <c r="F138" i="34"/>
  <c r="E138" i="34"/>
  <c r="B138" i="34"/>
  <c r="I138" i="34" s="1"/>
  <c r="C138" i="34"/>
  <c r="D138" i="34"/>
  <c r="F137" i="34"/>
  <c r="E137" i="34"/>
  <c r="C137" i="34"/>
  <c r="B137" i="34"/>
  <c r="I137" i="34" s="1"/>
  <c r="D137" i="34"/>
  <c r="F136" i="34"/>
  <c r="B136" i="34"/>
  <c r="I136" i="34" s="1"/>
  <c r="E136" i="34"/>
  <c r="C136" i="34"/>
  <c r="D136" i="34"/>
  <c r="D134" i="34"/>
  <c r="F134" i="34"/>
  <c r="E134" i="34"/>
  <c r="C134" i="34"/>
  <c r="C133" i="34"/>
  <c r="E133" i="34"/>
  <c r="F133" i="34"/>
  <c r="D133" i="34"/>
  <c r="C132" i="34"/>
  <c r="D132" i="34"/>
  <c r="F132" i="34"/>
  <c r="E132" i="34"/>
  <c r="B132" i="34"/>
  <c r="I132" i="34" s="1"/>
  <c r="C131" i="34"/>
  <c r="F131" i="34"/>
  <c r="B131" i="34"/>
  <c r="I131" i="34" s="1"/>
  <c r="E131" i="34"/>
  <c r="D131" i="34"/>
  <c r="D130" i="34"/>
  <c r="B130" i="34"/>
  <c r="I130" i="34" s="1"/>
  <c r="E130" i="34"/>
  <c r="F130" i="34"/>
  <c r="C130" i="34"/>
  <c r="B129" i="34"/>
  <c r="I129" i="34" s="1"/>
  <c r="D129" i="34"/>
  <c r="C129" i="34"/>
  <c r="E129" i="34"/>
  <c r="F129" i="34"/>
  <c r="D128" i="34"/>
  <c r="B128" i="34"/>
  <c r="I128" i="34" s="1"/>
  <c r="F128" i="34"/>
  <c r="E128" i="34"/>
  <c r="C128" i="34"/>
  <c r="D127" i="34"/>
  <c r="E127" i="34"/>
  <c r="F127" i="34"/>
  <c r="B127" i="34"/>
  <c r="I127" i="34" s="1"/>
  <c r="C127" i="34"/>
  <c r="F126" i="34"/>
  <c r="B126" i="34"/>
  <c r="I126" i="34" s="1"/>
  <c r="D126" i="34"/>
  <c r="C126" i="34"/>
  <c r="E126" i="34"/>
  <c r="E125" i="34"/>
  <c r="C125" i="34"/>
  <c r="B125" i="34"/>
  <c r="I125" i="34" s="1"/>
  <c r="D125" i="34"/>
  <c r="F125" i="34"/>
  <c r="E124" i="34"/>
  <c r="B124" i="34"/>
  <c r="I124" i="34" s="1"/>
  <c r="F124" i="34"/>
  <c r="C124" i="34"/>
  <c r="D124" i="34"/>
  <c r="D123" i="34"/>
  <c r="C123" i="34"/>
  <c r="B123" i="34"/>
  <c r="I123" i="34" s="1"/>
  <c r="E123" i="34"/>
  <c r="F123" i="34"/>
  <c r="E122" i="34"/>
  <c r="D122" i="34"/>
  <c r="F122" i="34"/>
  <c r="C122" i="34"/>
  <c r="B122" i="34"/>
  <c r="I122" i="34" s="1"/>
  <c r="C121" i="34"/>
  <c r="B121" i="34"/>
  <c r="I121" i="34" s="1"/>
  <c r="D121" i="34"/>
  <c r="F121" i="34"/>
  <c r="C120" i="34"/>
  <c r="E120" i="34"/>
  <c r="D120" i="34"/>
  <c r="F120" i="34"/>
  <c r="B120" i="34"/>
  <c r="I120" i="34" s="1"/>
  <c r="C119" i="34"/>
  <c r="D119" i="34"/>
  <c r="B119" i="34"/>
  <c r="I119" i="34" s="1"/>
  <c r="E119" i="34"/>
  <c r="F119" i="34"/>
  <c r="E118" i="34"/>
  <c r="C118" i="34"/>
  <c r="D118" i="34"/>
  <c r="B118" i="34"/>
  <c r="I118" i="34" s="1"/>
  <c r="F118" i="34"/>
  <c r="F117" i="34"/>
  <c r="D117" i="34"/>
  <c r="E117" i="34"/>
  <c r="C117" i="34"/>
  <c r="B117" i="34"/>
  <c r="I117" i="34" s="1"/>
  <c r="F116" i="34"/>
  <c r="D116" i="34"/>
  <c r="B116" i="34"/>
  <c r="I116" i="34" s="1"/>
  <c r="C116" i="34"/>
  <c r="E116" i="34"/>
  <c r="C115" i="34"/>
  <c r="D115" i="34"/>
  <c r="F115" i="34"/>
  <c r="E115" i="34"/>
  <c r="B115" i="34"/>
  <c r="I115" i="34" s="1"/>
  <c r="C114" i="34"/>
  <c r="D114" i="34"/>
  <c r="B114" i="34"/>
  <c r="I114" i="34" s="1"/>
  <c r="E114" i="34"/>
  <c r="F114" i="34"/>
  <c r="D113" i="34"/>
  <c r="F113" i="34"/>
  <c r="B113" i="34"/>
  <c r="I113" i="34" s="1"/>
  <c r="E113" i="34"/>
  <c r="C113" i="34"/>
  <c r="C112" i="34"/>
  <c r="F112" i="34"/>
  <c r="D112" i="34"/>
  <c r="B112" i="34"/>
  <c r="I112" i="34" s="1"/>
  <c r="E112" i="34"/>
  <c r="B111" i="34"/>
  <c r="I111" i="34" s="1"/>
  <c r="F111" i="34"/>
  <c r="E111" i="34"/>
  <c r="D111" i="34"/>
  <c r="C111" i="34"/>
  <c r="C110" i="34"/>
  <c r="E110" i="34"/>
  <c r="F110" i="34"/>
  <c r="B110" i="34"/>
  <c r="I110" i="34" s="1"/>
  <c r="D110" i="34"/>
  <c r="B109" i="34"/>
  <c r="I109" i="34" s="1"/>
  <c r="E109" i="34"/>
  <c r="C109" i="34"/>
  <c r="D109" i="34"/>
  <c r="F109" i="34"/>
  <c r="E108" i="34"/>
  <c r="C108" i="34"/>
  <c r="B108" i="34"/>
  <c r="I108" i="34" s="1"/>
  <c r="D108" i="34"/>
  <c r="F108" i="34"/>
  <c r="B107" i="34"/>
  <c r="I107" i="34" s="1"/>
  <c r="D107" i="34"/>
  <c r="F107" i="34"/>
  <c r="E107" i="34"/>
  <c r="C107" i="34"/>
  <c r="D106" i="34"/>
  <c r="C106" i="34"/>
  <c r="F106" i="34"/>
  <c r="E106" i="34"/>
  <c r="B106" i="34"/>
  <c r="I106" i="34" s="1"/>
  <c r="C105" i="34"/>
  <c r="F105" i="34"/>
  <c r="E105" i="34"/>
  <c r="B105" i="34"/>
  <c r="I105" i="34" s="1"/>
  <c r="D105" i="34"/>
  <c r="F104" i="34"/>
  <c r="C104" i="34"/>
  <c r="D104" i="34"/>
  <c r="B104" i="34"/>
  <c r="I104" i="34" s="1"/>
  <c r="E104" i="34"/>
  <c r="C103" i="34"/>
  <c r="F103" i="34"/>
  <c r="E103" i="34"/>
  <c r="D103" i="34"/>
  <c r="B103" i="34"/>
  <c r="I103" i="34" s="1"/>
  <c r="C102" i="34"/>
  <c r="B102" i="34"/>
  <c r="I102" i="34" s="1"/>
  <c r="F102" i="34"/>
  <c r="D102" i="34"/>
  <c r="E102" i="34"/>
  <c r="C101" i="34"/>
  <c r="D101" i="34"/>
  <c r="F101" i="34"/>
  <c r="E101" i="34"/>
  <c r="B101" i="34"/>
  <c r="I101" i="34" s="1"/>
  <c r="C100" i="34"/>
  <c r="F100" i="34"/>
  <c r="B100" i="34"/>
  <c r="I100" i="34" s="1"/>
  <c r="E100" i="34"/>
  <c r="D100" i="34"/>
  <c r="F99" i="34"/>
  <c r="D99" i="34"/>
  <c r="E99" i="34"/>
  <c r="C99" i="34"/>
  <c r="B98" i="34"/>
  <c r="I98" i="34" s="1"/>
  <c r="E98" i="34"/>
  <c r="C98" i="34"/>
  <c r="F98" i="34"/>
  <c r="D98" i="34"/>
  <c r="D97" i="34"/>
  <c r="E97" i="34"/>
  <c r="B97" i="34"/>
  <c r="I97" i="34" s="1"/>
  <c r="C97" i="34"/>
  <c r="F97" i="34"/>
  <c r="F96" i="34"/>
  <c r="D96" i="34"/>
  <c r="B96" i="34"/>
  <c r="I96" i="34" s="1"/>
  <c r="C96" i="34"/>
  <c r="E96" i="34"/>
  <c r="D95" i="34"/>
  <c r="B95" i="34"/>
  <c r="I95" i="34" s="1"/>
  <c r="E95" i="34"/>
  <c r="F95" i="34"/>
  <c r="C95" i="34"/>
  <c r="D94" i="34"/>
  <c r="C94" i="34"/>
  <c r="F94" i="34"/>
  <c r="E94" i="34"/>
  <c r="B94" i="34"/>
  <c r="I94" i="34" s="1"/>
  <c r="F93" i="34"/>
  <c r="C93" i="34"/>
  <c r="D93" i="34"/>
  <c r="B93" i="34"/>
  <c r="I93" i="34" s="1"/>
  <c r="E93" i="34"/>
  <c r="D92" i="34"/>
  <c r="B92" i="34"/>
  <c r="I92" i="34" s="1"/>
  <c r="C92" i="34"/>
  <c r="E92" i="34"/>
  <c r="F92" i="34"/>
  <c r="E91" i="34"/>
  <c r="B91" i="34"/>
  <c r="I91" i="34" s="1"/>
  <c r="F91" i="34"/>
  <c r="C91" i="34"/>
  <c r="D91" i="34"/>
  <c r="C90" i="34"/>
  <c r="F90" i="34"/>
  <c r="E90" i="34"/>
  <c r="B90" i="34"/>
  <c r="I90" i="34" s="1"/>
  <c r="D90" i="34"/>
  <c r="E89" i="34"/>
  <c r="B89" i="34"/>
  <c r="I89" i="34" s="1"/>
  <c r="C89" i="34"/>
  <c r="F89" i="34"/>
  <c r="D89" i="34"/>
  <c r="D88" i="34"/>
  <c r="E88" i="34"/>
  <c r="C88" i="34"/>
  <c r="B88" i="34"/>
  <c r="I88" i="34" s="1"/>
  <c r="F88" i="34"/>
  <c r="D87" i="34"/>
  <c r="F87" i="34"/>
  <c r="B87" i="34"/>
  <c r="I87" i="34" s="1"/>
  <c r="E87" i="34"/>
  <c r="C87" i="34"/>
  <c r="B86" i="34"/>
  <c r="I86" i="34" s="1"/>
  <c r="C86" i="34"/>
  <c r="E86" i="34"/>
  <c r="F86" i="34"/>
  <c r="D86" i="34"/>
  <c r="E85" i="34"/>
  <c r="C85" i="34"/>
  <c r="F85" i="34"/>
  <c r="D85" i="34"/>
  <c r="B85" i="34"/>
  <c r="I85" i="34" s="1"/>
  <c r="C84" i="34"/>
  <c r="B84" i="34"/>
  <c r="I84" i="34" s="1"/>
  <c r="D84" i="34"/>
  <c r="E84" i="34"/>
  <c r="F84" i="34"/>
  <c r="B83" i="34"/>
  <c r="I83" i="34" s="1"/>
  <c r="D83" i="34"/>
  <c r="E83" i="34"/>
  <c r="C83" i="34"/>
  <c r="F83" i="34"/>
  <c r="B82" i="34"/>
  <c r="I82" i="34" s="1"/>
  <c r="E82" i="34"/>
  <c r="D82" i="34"/>
  <c r="C82" i="34"/>
  <c r="F82" i="34"/>
  <c r="C81" i="34"/>
  <c r="D81" i="34"/>
  <c r="F81" i="34"/>
  <c r="E81" i="34"/>
  <c r="B81" i="34"/>
  <c r="I81" i="34" s="1"/>
  <c r="D80" i="34"/>
  <c r="F80" i="34"/>
  <c r="B80" i="34"/>
  <c r="I80" i="34" s="1"/>
  <c r="C80" i="34"/>
  <c r="E80" i="34"/>
  <c r="B79" i="34"/>
  <c r="I79" i="34" s="1"/>
  <c r="C79" i="34"/>
  <c r="E79" i="34"/>
  <c r="D79" i="34"/>
  <c r="F79" i="34"/>
  <c r="F78" i="34"/>
  <c r="D78" i="34"/>
  <c r="C78" i="34"/>
  <c r="B78" i="34"/>
  <c r="I78" i="34" s="1"/>
  <c r="E78" i="34"/>
  <c r="E77" i="34"/>
  <c r="D77" i="34"/>
  <c r="F77" i="34"/>
  <c r="C77" i="34"/>
  <c r="B77" i="34"/>
  <c r="I77" i="34" s="1"/>
  <c r="C76" i="34"/>
  <c r="F76" i="34"/>
  <c r="B76" i="34"/>
  <c r="I76" i="34" s="1"/>
  <c r="E76" i="34"/>
  <c r="D76" i="34"/>
  <c r="B75" i="34"/>
  <c r="I75" i="34" s="1"/>
  <c r="F75" i="34"/>
  <c r="D75" i="34"/>
  <c r="C75" i="34"/>
  <c r="E75" i="34"/>
  <c r="B74" i="34"/>
  <c r="I74" i="34" s="1"/>
  <c r="D74" i="34"/>
  <c r="F74" i="34"/>
  <c r="C74" i="34"/>
  <c r="E74" i="34"/>
  <c r="E73" i="34"/>
  <c r="F73" i="34"/>
  <c r="D73" i="34"/>
  <c r="C73" i="34"/>
  <c r="B73" i="34"/>
  <c r="I73" i="34" s="1"/>
  <c r="B72" i="34"/>
  <c r="I72" i="34" s="1"/>
  <c r="D72" i="34"/>
  <c r="F72" i="34"/>
  <c r="C72" i="34"/>
  <c r="D71" i="34"/>
  <c r="B71" i="34"/>
  <c r="I71" i="34" s="1"/>
  <c r="F71" i="34"/>
  <c r="E71" i="34"/>
  <c r="C71" i="34"/>
  <c r="C70" i="34"/>
  <c r="E70" i="34"/>
  <c r="F70" i="34"/>
  <c r="B70" i="34"/>
  <c r="I70" i="34" s="1"/>
  <c r="D70" i="34"/>
  <c r="D69" i="34"/>
  <c r="B69" i="34"/>
  <c r="I69" i="34" s="1"/>
  <c r="C69" i="34"/>
  <c r="E69" i="34"/>
  <c r="F69" i="34"/>
  <c r="E67" i="34"/>
  <c r="C67" i="34"/>
  <c r="D67" i="34"/>
  <c r="F67" i="34"/>
  <c r="C66" i="34"/>
  <c r="E66" i="34"/>
  <c r="F66" i="34"/>
  <c r="D66" i="34"/>
  <c r="E65" i="34"/>
  <c r="F65" i="34"/>
  <c r="B65" i="34"/>
  <c r="I65" i="34" s="1"/>
  <c r="C65" i="34"/>
  <c r="D65" i="34"/>
  <c r="D64" i="34"/>
  <c r="C64" i="34"/>
  <c r="E64" i="34"/>
  <c r="F64" i="34"/>
  <c r="B64" i="34"/>
  <c r="I64" i="34" s="1"/>
  <c r="E63" i="34"/>
  <c r="B63" i="34"/>
  <c r="I63" i="34" s="1"/>
  <c r="F63" i="34"/>
  <c r="D63" i="34"/>
  <c r="C63" i="34"/>
  <c r="B62" i="34"/>
  <c r="I62" i="34" s="1"/>
  <c r="C62" i="34"/>
  <c r="E62" i="34"/>
  <c r="D62" i="34"/>
  <c r="F62" i="34"/>
  <c r="B61" i="34"/>
  <c r="I61" i="34" s="1"/>
  <c r="D61" i="34"/>
  <c r="F61" i="34"/>
  <c r="C61" i="34"/>
  <c r="E61" i="34"/>
  <c r="C60" i="34"/>
  <c r="E60" i="34"/>
  <c r="B60" i="34"/>
  <c r="I60" i="34" s="1"/>
  <c r="D60" i="34"/>
  <c r="F60" i="34"/>
  <c r="F59" i="34"/>
  <c r="B59" i="34"/>
  <c r="I59" i="34" s="1"/>
  <c r="C59" i="34"/>
  <c r="D59" i="34"/>
  <c r="E59" i="34"/>
  <c r="F58" i="34"/>
  <c r="D58" i="34"/>
  <c r="B58" i="34"/>
  <c r="I58" i="34" s="1"/>
  <c r="C58" i="34"/>
  <c r="E58" i="34"/>
  <c r="F57" i="34"/>
  <c r="B57" i="34"/>
  <c r="I57" i="34" s="1"/>
  <c r="D57" i="34"/>
  <c r="C57" i="34"/>
  <c r="E57" i="34"/>
  <c r="E56" i="34"/>
  <c r="D56" i="34"/>
  <c r="B56" i="34"/>
  <c r="I56" i="34" s="1"/>
  <c r="C56" i="34"/>
  <c r="F56" i="34"/>
  <c r="B55" i="34"/>
  <c r="I55" i="34" s="1"/>
  <c r="D55" i="34"/>
  <c r="F55" i="34"/>
  <c r="C55" i="34"/>
  <c r="E55" i="34"/>
  <c r="F54" i="34"/>
  <c r="D54" i="34"/>
  <c r="C54" i="34"/>
  <c r="B54" i="34"/>
  <c r="I54" i="34" s="1"/>
  <c r="B53" i="34"/>
  <c r="I53" i="34" s="1"/>
  <c r="F53" i="34"/>
  <c r="E53" i="34"/>
  <c r="D53" i="34"/>
  <c r="C53" i="34"/>
  <c r="D52" i="34"/>
  <c r="B52" i="34"/>
  <c r="I52" i="34" s="1"/>
  <c r="C52" i="34"/>
  <c r="F52" i="34"/>
  <c r="E52" i="34"/>
  <c r="F51" i="34"/>
  <c r="D51" i="34"/>
  <c r="B51" i="34"/>
  <c r="I51" i="34" s="1"/>
  <c r="C51" i="34"/>
  <c r="E51" i="34"/>
  <c r="B50" i="34"/>
  <c r="I50" i="34" s="1"/>
  <c r="C50" i="34"/>
  <c r="F50" i="34"/>
  <c r="E50" i="34"/>
  <c r="D50" i="34"/>
  <c r="F49" i="34"/>
  <c r="D49" i="34"/>
  <c r="C49" i="34"/>
  <c r="B49" i="34"/>
  <c r="I49" i="34" s="1"/>
  <c r="E49" i="34"/>
  <c r="C48" i="34"/>
  <c r="E48" i="34"/>
  <c r="D48" i="34"/>
  <c r="B48" i="34"/>
  <c r="I48" i="34" s="1"/>
  <c r="F48" i="34"/>
  <c r="E47" i="34"/>
  <c r="F47" i="34"/>
  <c r="D47" i="34"/>
  <c r="B47" i="34"/>
  <c r="I47" i="34" s="1"/>
  <c r="C47" i="34"/>
  <c r="E46" i="34"/>
  <c r="B46" i="34"/>
  <c r="I46" i="34" s="1"/>
  <c r="D46" i="34"/>
  <c r="C46" i="34"/>
  <c r="F46" i="34"/>
  <c r="F45" i="34"/>
  <c r="D45" i="34"/>
  <c r="B45" i="34"/>
  <c r="I45" i="34" s="1"/>
  <c r="E45" i="34"/>
  <c r="C45" i="34"/>
  <c r="B44" i="34"/>
  <c r="I44" i="34" s="1"/>
  <c r="F44" i="34"/>
  <c r="D44" i="34"/>
  <c r="E44" i="34"/>
  <c r="C44" i="34"/>
  <c r="D43" i="34"/>
  <c r="F43" i="34"/>
  <c r="C43" i="34"/>
  <c r="E43" i="34"/>
  <c r="B43" i="34"/>
  <c r="I43" i="34" s="1"/>
  <c r="E42" i="34"/>
  <c r="C42" i="34"/>
  <c r="D42" i="34"/>
  <c r="F42" i="34"/>
  <c r="B42" i="34"/>
  <c r="I42" i="34" s="1"/>
  <c r="B41" i="34"/>
  <c r="I41" i="34" s="1"/>
  <c r="D41" i="34"/>
  <c r="F41" i="34"/>
  <c r="E41" i="34"/>
  <c r="C41" i="34"/>
  <c r="C40" i="34"/>
  <c r="E40" i="34"/>
  <c r="B40" i="34"/>
  <c r="I40" i="34" s="1"/>
  <c r="D40" i="34"/>
  <c r="F40" i="34"/>
  <c r="E39" i="34"/>
  <c r="F39" i="34"/>
  <c r="D39" i="34"/>
  <c r="B39" i="34"/>
  <c r="I39" i="34" s="1"/>
  <c r="C39" i="34"/>
  <c r="F38" i="34"/>
  <c r="B38" i="34"/>
  <c r="I38" i="34" s="1"/>
  <c r="D38" i="34"/>
  <c r="E38" i="34"/>
  <c r="C38" i="34"/>
  <c r="C37" i="34"/>
  <c r="E37" i="34"/>
  <c r="F37" i="34"/>
  <c r="B37" i="34"/>
  <c r="I37" i="34" s="1"/>
  <c r="D37" i="34"/>
  <c r="F36" i="34"/>
  <c r="C36" i="34"/>
  <c r="E36" i="34"/>
  <c r="B36" i="34"/>
  <c r="I36" i="34" s="1"/>
  <c r="D36" i="34"/>
  <c r="D35" i="34"/>
  <c r="B35" i="34"/>
  <c r="I35" i="34" s="1"/>
  <c r="C35" i="34"/>
  <c r="E35" i="34"/>
  <c r="F35" i="34"/>
  <c r="B34" i="34"/>
  <c r="I34" i="34" s="1"/>
  <c r="F34" i="34"/>
  <c r="E34" i="34"/>
  <c r="C34" i="34"/>
  <c r="D34" i="34"/>
  <c r="D33" i="34"/>
  <c r="F33" i="34"/>
  <c r="E33" i="34"/>
  <c r="B33" i="34"/>
  <c r="I33" i="34" s="1"/>
  <c r="C33" i="34"/>
  <c r="E32" i="34"/>
  <c r="C32" i="34"/>
  <c r="F32" i="34"/>
  <c r="D32" i="34"/>
  <c r="B32" i="34"/>
  <c r="I32" i="34" s="1"/>
  <c r="D31" i="34"/>
  <c r="C31" i="34"/>
  <c r="B31" i="34"/>
  <c r="I31" i="34" s="1"/>
  <c r="E31" i="34"/>
  <c r="F31" i="34"/>
  <c r="C30" i="34"/>
  <c r="B30" i="34"/>
  <c r="I30" i="34" s="1"/>
  <c r="D30" i="34"/>
  <c r="E30" i="34"/>
  <c r="F30" i="34"/>
  <c r="D29" i="34"/>
  <c r="F29" i="34"/>
  <c r="B29" i="34"/>
  <c r="I29" i="34" s="1"/>
  <c r="C29" i="34"/>
  <c r="E29" i="34"/>
  <c r="C28" i="34"/>
  <c r="F28" i="34"/>
  <c r="B28" i="34"/>
  <c r="I28" i="34" s="1"/>
  <c r="D28" i="34"/>
  <c r="C27" i="34"/>
  <c r="D27" i="34"/>
  <c r="F27" i="34"/>
  <c r="E27" i="34"/>
  <c r="B27" i="34"/>
  <c r="I27" i="34" s="1"/>
  <c r="E26" i="34"/>
  <c r="F26" i="34"/>
  <c r="C26" i="34"/>
  <c r="D26" i="34"/>
  <c r="B26" i="34"/>
  <c r="I26" i="34" s="1"/>
  <c r="E25" i="34"/>
  <c r="B25" i="34"/>
  <c r="I25" i="34" s="1"/>
  <c r="F25" i="34"/>
  <c r="D25" i="34"/>
  <c r="C25" i="34"/>
  <c r="C24" i="34"/>
  <c r="F24" i="34"/>
  <c r="E24" i="34"/>
  <c r="B24" i="34"/>
  <c r="I24" i="34" s="1"/>
  <c r="D24" i="34"/>
  <c r="C23" i="34"/>
  <c r="F23" i="34"/>
  <c r="E23" i="34"/>
  <c r="D23" i="34"/>
  <c r="B23" i="34"/>
  <c r="I23" i="34" s="1"/>
  <c r="C22" i="34"/>
  <c r="E22" i="34"/>
  <c r="B22" i="34"/>
  <c r="I22" i="34" s="1"/>
  <c r="F22" i="34"/>
  <c r="D22" i="34"/>
  <c r="F21" i="34"/>
  <c r="D21" i="34"/>
  <c r="C21" i="34"/>
  <c r="B21" i="34"/>
  <c r="I21" i="34" s="1"/>
  <c r="E21" i="34"/>
  <c r="E20" i="34"/>
  <c r="B20" i="34"/>
  <c r="I20" i="34" s="1"/>
  <c r="F20" i="34"/>
  <c r="D20" i="34"/>
  <c r="D19" i="34"/>
  <c r="F19" i="34"/>
  <c r="C19" i="34"/>
  <c r="E19" i="34"/>
  <c r="B19" i="34"/>
  <c r="I19" i="34" s="1"/>
  <c r="B18" i="34"/>
  <c r="I18" i="34" s="1"/>
  <c r="E18" i="34"/>
  <c r="D18" i="34"/>
  <c r="F18" i="34"/>
  <c r="C18" i="34"/>
  <c r="F17" i="34"/>
  <c r="D17" i="34"/>
  <c r="E17" i="34"/>
  <c r="B17" i="34"/>
  <c r="I17" i="34" s="1"/>
  <c r="C17" i="34"/>
  <c r="D16" i="34"/>
  <c r="F16" i="34"/>
  <c r="C16" i="34"/>
  <c r="E16" i="34"/>
  <c r="B16" i="34"/>
  <c r="I16" i="34" s="1"/>
  <c r="C15" i="34"/>
  <c r="E15" i="34"/>
  <c r="E159" i="34" s="1"/>
  <c r="E161" i="34" s="1"/>
  <c r="F15" i="34"/>
  <c r="F159" i="34" s="1"/>
  <c r="F161" i="34" s="1"/>
  <c r="D15" i="34"/>
  <c r="D159" i="34" s="1"/>
  <c r="D161" i="34" s="1"/>
  <c r="D14" i="34"/>
  <c r="F14" i="34"/>
  <c r="B14" i="34"/>
  <c r="I14" i="34" s="1"/>
  <c r="C14" i="34"/>
  <c r="E14" i="34"/>
  <c r="D13" i="34"/>
  <c r="C13" i="34"/>
  <c r="F13" i="34"/>
  <c r="E13" i="34"/>
  <c r="B13" i="34"/>
  <c r="I13" i="34" s="1"/>
  <c r="E12" i="34"/>
  <c r="C12" i="34"/>
  <c r="F12" i="34"/>
  <c r="D12" i="34"/>
  <c r="B12" i="34"/>
  <c r="I12" i="34" s="1"/>
  <c r="B11" i="34"/>
  <c r="I11" i="34" s="1"/>
  <c r="C11" i="34"/>
  <c r="E11" i="34"/>
  <c r="F11" i="34"/>
  <c r="D11" i="34"/>
  <c r="D10" i="34"/>
  <c r="F10" i="34"/>
  <c r="C10" i="34"/>
  <c r="E10" i="34"/>
  <c r="B10" i="34"/>
  <c r="I10" i="34" s="1"/>
  <c r="E9" i="34"/>
  <c r="B9" i="34"/>
  <c r="I9" i="34" s="1"/>
  <c r="C9" i="34"/>
  <c r="F9" i="34"/>
  <c r="D9" i="34"/>
  <c r="B8" i="34"/>
  <c r="I8" i="34" s="1"/>
  <c r="C8" i="34"/>
  <c r="F8" i="34"/>
  <c r="D8" i="34"/>
  <c r="H34" i="33"/>
  <c r="I34" i="33" s="1"/>
  <c r="F37" i="33"/>
  <c r="H37" i="33" s="1"/>
  <c r="I37" i="33" s="1"/>
  <c r="D34" i="33"/>
  <c r="E34" i="33" s="1"/>
  <c r="B37" i="33"/>
  <c r="D37" i="33" s="1"/>
  <c r="E37" i="33" s="1"/>
  <c r="F27" i="33"/>
  <c r="H27" i="33" s="1"/>
  <c r="I27" i="33" s="1"/>
  <c r="H23" i="33"/>
  <c r="I23" i="33" s="1"/>
  <c r="B27" i="33"/>
  <c r="D27" i="33" s="1"/>
  <c r="E27" i="33" s="1"/>
  <c r="D23" i="33"/>
  <c r="E23" i="33" s="1"/>
  <c r="H22" i="33"/>
  <c r="I22" i="33" s="1"/>
  <c r="F28" i="33"/>
  <c r="D22" i="33"/>
  <c r="E22" i="33" s="1"/>
  <c r="B28" i="33"/>
  <c r="D28" i="33" s="1"/>
  <c r="E28" i="33" s="1"/>
  <c r="F11" i="33"/>
  <c r="H9" i="33"/>
  <c r="I9" i="33" s="1"/>
  <c r="D9" i="33"/>
  <c r="E9" i="33" s="1"/>
  <c r="B11" i="33"/>
  <c r="G18" i="33"/>
  <c r="H6" i="33"/>
  <c r="I6" i="33" s="1"/>
  <c r="C18" i="33"/>
  <c r="D6" i="33"/>
  <c r="E6" i="33" s="1"/>
  <c r="G28" i="33"/>
  <c r="B94" i="32"/>
  <c r="B47" i="32"/>
  <c r="B49" i="32" s="1"/>
  <c r="B47" i="31"/>
  <c r="C92" i="31"/>
  <c r="B92" i="31"/>
  <c r="C45" i="31"/>
  <c r="C47" i="31" s="1"/>
  <c r="B47" i="30"/>
  <c r="B90" i="30"/>
  <c r="C90" i="30"/>
  <c r="C45" i="30"/>
  <c r="C135" i="34" l="1"/>
  <c r="E68" i="34"/>
  <c r="C68" i="34"/>
  <c r="D68" i="34"/>
  <c r="F68" i="34"/>
  <c r="N15" i="25"/>
  <c r="N18" i="25"/>
  <c r="N9" i="25"/>
  <c r="N17" i="25"/>
  <c r="N24" i="25"/>
  <c r="N23" i="25"/>
  <c r="N16" i="25"/>
  <c r="N22" i="25"/>
  <c r="K31" i="25"/>
  <c r="M5" i="25"/>
  <c r="N6" i="25"/>
  <c r="N21" i="25"/>
  <c r="N26" i="25"/>
  <c r="N27" i="25"/>
  <c r="N28" i="25"/>
  <c r="N30" i="25"/>
  <c r="P31" i="25"/>
  <c r="S5" i="25"/>
  <c r="K30" i="24"/>
  <c r="M6" i="24"/>
  <c r="N12" i="24"/>
  <c r="N14" i="24"/>
  <c r="N7" i="24"/>
  <c r="N16" i="24"/>
  <c r="N28" i="24"/>
  <c r="N8" i="24"/>
  <c r="N17" i="24"/>
  <c r="N22" i="24"/>
  <c r="N10" i="24"/>
  <c r="N21" i="24"/>
  <c r="N18" i="24"/>
  <c r="N15" i="24"/>
  <c r="N20" i="24"/>
  <c r="N19" i="24"/>
  <c r="N13" i="24"/>
  <c r="N23" i="24"/>
  <c r="N24" i="24"/>
  <c r="N25" i="24"/>
  <c r="N26" i="24"/>
  <c r="N27" i="24"/>
  <c r="N29" i="24"/>
  <c r="N11" i="24"/>
  <c r="N9" i="24"/>
  <c r="P30" i="24"/>
  <c r="S6" i="24"/>
  <c r="P378" i="19"/>
  <c r="N378" i="19"/>
  <c r="K378" i="19"/>
  <c r="J378" i="19"/>
  <c r="G378" i="19"/>
  <c r="E378" i="19"/>
  <c r="O378" i="19"/>
  <c r="L378" i="19"/>
  <c r="H378" i="19"/>
  <c r="F378" i="19"/>
  <c r="M378" i="19"/>
  <c r="I378" i="19"/>
  <c r="C375" i="19"/>
  <c r="E367" i="19"/>
  <c r="E370" i="19"/>
  <c r="F367" i="19"/>
  <c r="F370" i="19"/>
  <c r="F371" i="19" s="1"/>
  <c r="G367" i="19"/>
  <c r="G370" i="19"/>
  <c r="G371" i="19" s="1"/>
  <c r="H367" i="19"/>
  <c r="H370" i="19"/>
  <c r="H371" i="19" s="1"/>
  <c r="I367" i="19"/>
  <c r="I370" i="19"/>
  <c r="I371" i="19" s="1"/>
  <c r="J367" i="19"/>
  <c r="J370" i="19"/>
  <c r="J371" i="19" s="1"/>
  <c r="K367" i="19"/>
  <c r="K370" i="19"/>
  <c r="K371" i="19" s="1"/>
  <c r="L367" i="19"/>
  <c r="L370" i="19"/>
  <c r="L371" i="19" s="1"/>
  <c r="M367" i="19"/>
  <c r="M370" i="19"/>
  <c r="M371" i="19" s="1"/>
  <c r="N367" i="19"/>
  <c r="N370" i="19"/>
  <c r="N371" i="19" s="1"/>
  <c r="O367" i="19"/>
  <c r="O370" i="19"/>
  <c r="O371" i="19" s="1"/>
  <c r="P367" i="19"/>
  <c r="P370" i="19"/>
  <c r="P371" i="19" s="1"/>
  <c r="E188" i="19"/>
  <c r="Q180" i="19"/>
  <c r="P215" i="19"/>
  <c r="O215" i="19"/>
  <c r="O221" i="19" s="1"/>
  <c r="O267" i="19" s="1"/>
  <c r="N215" i="19"/>
  <c r="N221" i="19" s="1"/>
  <c r="N267" i="19" s="1"/>
  <c r="M215" i="19"/>
  <c r="L215" i="19"/>
  <c r="L221" i="19" s="1"/>
  <c r="L267" i="19" s="1"/>
  <c r="K215" i="19"/>
  <c r="K221" i="19" s="1"/>
  <c r="K267" i="19" s="1"/>
  <c r="J215" i="19"/>
  <c r="I215" i="19"/>
  <c r="I221" i="19" s="1"/>
  <c r="I267" i="19" s="1"/>
  <c r="H215" i="19"/>
  <c r="H221" i="19" s="1"/>
  <c r="H267" i="19" s="1"/>
  <c r="G215" i="19"/>
  <c r="F215" i="19"/>
  <c r="F221" i="19" s="1"/>
  <c r="E215" i="19"/>
  <c r="Q215" i="19" s="1"/>
  <c r="P214" i="19"/>
  <c r="P221" i="19" s="1"/>
  <c r="P267" i="19" s="1"/>
  <c r="M214" i="19"/>
  <c r="M221" i="19" s="1"/>
  <c r="M267" i="19" s="1"/>
  <c r="J214" i="19"/>
  <c r="J221" i="19" s="1"/>
  <c r="J267" i="19" s="1"/>
  <c r="G214" i="19"/>
  <c r="E221" i="19"/>
  <c r="Q211" i="19"/>
  <c r="E209" i="19"/>
  <c r="Q209" i="19" s="1"/>
  <c r="Q208" i="19"/>
  <c r="E56" i="19"/>
  <c r="E45" i="19"/>
  <c r="E58" i="19"/>
  <c r="E80" i="19"/>
  <c r="E76" i="19"/>
  <c r="E204" i="19"/>
  <c r="Q204" i="19" s="1"/>
  <c r="Q194" i="19"/>
  <c r="F56" i="19"/>
  <c r="F80" i="19"/>
  <c r="F76" i="19"/>
  <c r="F86" i="19" s="1"/>
  <c r="F45" i="19"/>
  <c r="F53" i="19" s="1"/>
  <c r="F58" i="19"/>
  <c r="G58" i="19"/>
  <c r="G56" i="19"/>
  <c r="G69" i="19" s="1"/>
  <c r="G80" i="19"/>
  <c r="G79" i="19"/>
  <c r="Q79" i="19" s="1"/>
  <c r="G76" i="19"/>
  <c r="G86" i="19" s="1"/>
  <c r="G133" i="19" s="1"/>
  <c r="H58" i="19"/>
  <c r="H80" i="19"/>
  <c r="H76" i="19"/>
  <c r="H86" i="19" s="1"/>
  <c r="H133" i="19" s="1"/>
  <c r="H56" i="19"/>
  <c r="H69" i="19" s="1"/>
  <c r="N63" i="20"/>
  <c r="O61" i="20"/>
  <c r="B88" i="20"/>
  <c r="B89" i="20" s="1"/>
  <c r="B64" i="20"/>
  <c r="C16" i="11"/>
  <c r="E7" i="11"/>
  <c r="G135" i="19"/>
  <c r="G137" i="19" s="1"/>
  <c r="G139" i="19"/>
  <c r="H135" i="19"/>
  <c r="H137" i="19" s="1"/>
  <c r="H139" i="19"/>
  <c r="M11" i="25"/>
  <c r="M12" i="25"/>
  <c r="M14" i="25"/>
  <c r="M20" i="25"/>
  <c r="M19" i="25"/>
  <c r="M25" i="25"/>
  <c r="M13" i="25"/>
  <c r="M10" i="25"/>
  <c r="M29" i="25"/>
  <c r="M8" i="25"/>
  <c r="L31" i="25"/>
  <c r="S19" i="25"/>
  <c r="S6" i="25"/>
  <c r="T6" i="25" s="1"/>
  <c r="U6" i="25" s="1"/>
  <c r="S21" i="25"/>
  <c r="T21" i="25" s="1"/>
  <c r="U21" i="25" s="1"/>
  <c r="S20" i="25"/>
  <c r="S8" i="25"/>
  <c r="S9" i="25"/>
  <c r="T9" i="25" s="1"/>
  <c r="U9" i="25" s="1"/>
  <c r="S10" i="25"/>
  <c r="S11" i="25"/>
  <c r="S25" i="25"/>
  <c r="S12" i="25"/>
  <c r="S22" i="25"/>
  <c r="T22" i="25" s="1"/>
  <c r="U22" i="25" s="1"/>
  <c r="S26" i="25"/>
  <c r="T26" i="25" s="1"/>
  <c r="U26" i="25" s="1"/>
  <c r="S13" i="25"/>
  <c r="S14" i="25"/>
  <c r="S27" i="25"/>
  <c r="T27" i="25" s="1"/>
  <c r="U27" i="25" s="1"/>
  <c r="S24" i="25"/>
  <c r="T24" i="25" s="1"/>
  <c r="U24" i="25" s="1"/>
  <c r="S23" i="25"/>
  <c r="T23" i="25" s="1"/>
  <c r="U23" i="25" s="1"/>
  <c r="S28" i="25"/>
  <c r="T28" i="25" s="1"/>
  <c r="U28" i="25" s="1"/>
  <c r="S15" i="25"/>
  <c r="T15" i="25" s="1"/>
  <c r="U15" i="25" s="1"/>
  <c r="S16" i="25"/>
  <c r="T16" i="25" s="1"/>
  <c r="U16" i="25" s="1"/>
  <c r="S17" i="25"/>
  <c r="T17" i="25" s="1"/>
  <c r="U17" i="25" s="1"/>
  <c r="S29" i="25"/>
  <c r="S18" i="25"/>
  <c r="T18" i="25" s="1"/>
  <c r="U18" i="25" s="1"/>
  <c r="S30" i="25"/>
  <c r="T30" i="25" s="1"/>
  <c r="U30" i="25" s="1"/>
  <c r="Q31" i="25"/>
  <c r="R31" i="25"/>
  <c r="S10" i="24"/>
  <c r="T10" i="24" s="1"/>
  <c r="U10" i="24" s="1"/>
  <c r="S19" i="24"/>
  <c r="T19" i="24" s="1"/>
  <c r="U19" i="24" s="1"/>
  <c r="S22" i="24"/>
  <c r="T22" i="24" s="1"/>
  <c r="U22" i="24" s="1"/>
  <c r="S7" i="24"/>
  <c r="T7" i="24" s="1"/>
  <c r="U7" i="24" s="1"/>
  <c r="S25" i="24"/>
  <c r="T25" i="24" s="1"/>
  <c r="U25" i="24" s="1"/>
  <c r="S9" i="24"/>
  <c r="T9" i="24" s="1"/>
  <c r="U9" i="24" s="1"/>
  <c r="S8" i="24"/>
  <c r="T8" i="24" s="1"/>
  <c r="U8" i="24" s="1"/>
  <c r="S23" i="24"/>
  <c r="T23" i="24" s="1"/>
  <c r="U23" i="24" s="1"/>
  <c r="S28" i="24"/>
  <c r="T28" i="24" s="1"/>
  <c r="U28" i="24" s="1"/>
  <c r="S14" i="24"/>
  <c r="T14" i="24" s="1"/>
  <c r="U14" i="24" s="1"/>
  <c r="S17" i="24"/>
  <c r="T17" i="24" s="1"/>
  <c r="U17" i="24" s="1"/>
  <c r="S12" i="24"/>
  <c r="T12" i="24" s="1"/>
  <c r="U12" i="24" s="1"/>
  <c r="S26" i="24"/>
  <c r="T26" i="24" s="1"/>
  <c r="U26" i="24" s="1"/>
  <c r="S29" i="24"/>
  <c r="T29" i="24" s="1"/>
  <c r="U29" i="24" s="1"/>
  <c r="S20" i="24"/>
  <c r="T20" i="24" s="1"/>
  <c r="U20" i="24" s="1"/>
  <c r="C30" i="21"/>
  <c r="Q163" i="19"/>
  <c r="Q158" i="19"/>
  <c r="Q160" i="19"/>
  <c r="Q165" i="19"/>
  <c r="I86" i="19"/>
  <c r="I133" i="19" s="1"/>
  <c r="J69" i="19"/>
  <c r="J86" i="19"/>
  <c r="J133" i="19" s="1"/>
  <c r="L86" i="19"/>
  <c r="L133" i="19" s="1"/>
  <c r="M86" i="19"/>
  <c r="M69" i="19"/>
  <c r="N69" i="19"/>
  <c r="O86" i="19"/>
  <c r="O133" i="19" s="1"/>
  <c r="P69" i="19"/>
  <c r="P133" i="19"/>
  <c r="Q48" i="19"/>
  <c r="Q61" i="19"/>
  <c r="Q183" i="19"/>
  <c r="Q66" i="19"/>
  <c r="Q59" i="19"/>
  <c r="Q26" i="19"/>
  <c r="Q27" i="19"/>
  <c r="Q28" i="19"/>
  <c r="Q77" i="19"/>
  <c r="Q30" i="19"/>
  <c r="P101" i="18"/>
  <c r="D31" i="11"/>
  <c r="D39" i="11" s="1"/>
  <c r="E15" i="11"/>
  <c r="S27" i="24"/>
  <c r="T27" i="24" s="1"/>
  <c r="U27" i="24" s="1"/>
  <c r="S13" i="24"/>
  <c r="T13" i="24" s="1"/>
  <c r="U13" i="24" s="1"/>
  <c r="S21" i="24"/>
  <c r="T21" i="24" s="1"/>
  <c r="U21" i="24" s="1"/>
  <c r="S11" i="24"/>
  <c r="T11" i="24" s="1"/>
  <c r="U11" i="24" s="1"/>
  <c r="S16" i="24"/>
  <c r="T16" i="24" s="1"/>
  <c r="U16" i="24" s="1"/>
  <c r="S24" i="24"/>
  <c r="T24" i="24" s="1"/>
  <c r="U24" i="24" s="1"/>
  <c r="S15" i="24"/>
  <c r="T15" i="24" s="1"/>
  <c r="U15" i="24" s="1"/>
  <c r="S18" i="24"/>
  <c r="T18" i="24" s="1"/>
  <c r="U18" i="24" s="1"/>
  <c r="Q30" i="24"/>
  <c r="R30" i="24"/>
  <c r="Q162" i="19"/>
  <c r="Q161" i="19"/>
  <c r="Q157" i="19"/>
  <c r="Q212" i="19"/>
  <c r="F188" i="19"/>
  <c r="Q352" i="19"/>
  <c r="Q353" i="19" s="1"/>
  <c r="E353" i="19"/>
  <c r="E27" i="11"/>
  <c r="C29" i="11"/>
  <c r="E29" i="11" s="1"/>
  <c r="B133" i="34" s="1"/>
  <c r="I133" i="34" s="1"/>
  <c r="N133" i="19"/>
  <c r="K133" i="19"/>
  <c r="I7" i="34"/>
  <c r="D163" i="34"/>
  <c r="D165" i="34" s="1"/>
  <c r="D135" i="34"/>
  <c r="F163" i="34"/>
  <c r="F165" i="34" s="1"/>
  <c r="F135" i="34"/>
  <c r="E163" i="34"/>
  <c r="E165" i="34" s="1"/>
  <c r="E135" i="34"/>
  <c r="F16" i="33"/>
  <c r="H11" i="33"/>
  <c r="I11" i="33" s="1"/>
  <c r="B16" i="33"/>
  <c r="D11" i="33"/>
  <c r="E11" i="33" s="1"/>
  <c r="G19" i="33"/>
  <c r="G30" i="33"/>
  <c r="C19" i="33"/>
  <c r="C30" i="33"/>
  <c r="H28" i="33"/>
  <c r="I28" i="33" s="1"/>
  <c r="B50" i="32"/>
  <c r="B96" i="32"/>
  <c r="C94" i="31"/>
  <c r="C48" i="31"/>
  <c r="B48" i="31"/>
  <c r="B94" i="31"/>
  <c r="B48" i="30"/>
  <c r="B92" i="30"/>
  <c r="E45" i="30"/>
  <c r="C47" i="30"/>
  <c r="M31" i="25" l="1"/>
  <c r="T5" i="25"/>
  <c r="U5" i="25" s="1"/>
  <c r="N5" i="25"/>
  <c r="M30" i="24"/>
  <c r="N30" i="24" s="1"/>
  <c r="T6" i="24"/>
  <c r="N6" i="24"/>
  <c r="Q378" i="19"/>
  <c r="P379" i="19"/>
  <c r="P380" i="19" s="1"/>
  <c r="N379" i="19"/>
  <c r="N380" i="19" s="1"/>
  <c r="L379" i="19"/>
  <c r="L380" i="19" s="1"/>
  <c r="J379" i="19"/>
  <c r="J380" i="19" s="1"/>
  <c r="I379" i="19"/>
  <c r="I380" i="19" s="1"/>
  <c r="H379" i="19"/>
  <c r="H380" i="19" s="1"/>
  <c r="F379" i="19"/>
  <c r="F380" i="19" s="1"/>
  <c r="E379" i="19"/>
  <c r="O379" i="19"/>
  <c r="O380" i="19" s="1"/>
  <c r="M379" i="19"/>
  <c r="M380" i="19" s="1"/>
  <c r="K379" i="19"/>
  <c r="K380" i="19" s="1"/>
  <c r="G379" i="19"/>
  <c r="G380" i="19" s="1"/>
  <c r="E371" i="19"/>
  <c r="Q370" i="19"/>
  <c r="Q371" i="19" s="1"/>
  <c r="G221" i="19"/>
  <c r="G267" i="19" s="1"/>
  <c r="Q214" i="19"/>
  <c r="E267" i="19"/>
  <c r="Q221" i="19"/>
  <c r="Q56" i="19"/>
  <c r="E69" i="19"/>
  <c r="E53" i="19"/>
  <c r="Q53" i="19" s="1"/>
  <c r="Q45" i="19"/>
  <c r="Q76" i="19"/>
  <c r="E86" i="19"/>
  <c r="N88" i="20"/>
  <c r="N64" i="20"/>
  <c r="B90" i="20"/>
  <c r="B94" i="20"/>
  <c r="N94" i="20" s="1"/>
  <c r="P95" i="20" s="1"/>
  <c r="B15" i="34"/>
  <c r="I15" i="34" s="1"/>
  <c r="E49" i="11"/>
  <c r="E16" i="11"/>
  <c r="N11" i="25"/>
  <c r="T11" i="25"/>
  <c r="U11" i="25" s="1"/>
  <c r="N12" i="25"/>
  <c r="T12" i="25"/>
  <c r="U12" i="25" s="1"/>
  <c r="N14" i="25"/>
  <c r="T14" i="25"/>
  <c r="U14" i="25" s="1"/>
  <c r="N20" i="25"/>
  <c r="T20" i="25"/>
  <c r="U20" i="25" s="1"/>
  <c r="N19" i="25"/>
  <c r="T19" i="25"/>
  <c r="U19" i="25" s="1"/>
  <c r="N25" i="25"/>
  <c r="T25" i="25"/>
  <c r="U25" i="25" s="1"/>
  <c r="N13" i="25"/>
  <c r="T13" i="25"/>
  <c r="U13" i="25" s="1"/>
  <c r="N10" i="25"/>
  <c r="T10" i="25"/>
  <c r="U10" i="25" s="1"/>
  <c r="N29" i="25"/>
  <c r="T29" i="25"/>
  <c r="U29" i="25" s="1"/>
  <c r="N8" i="25"/>
  <c r="T8" i="25"/>
  <c r="U8" i="25" s="1"/>
  <c r="I139" i="19"/>
  <c r="I135" i="19"/>
  <c r="I137" i="19" s="1"/>
  <c r="J139" i="19"/>
  <c r="J135" i="19"/>
  <c r="J137" i="19" s="1"/>
  <c r="L139" i="19"/>
  <c r="L135" i="19"/>
  <c r="L137" i="19" s="1"/>
  <c r="O139" i="19"/>
  <c r="O135" i="19"/>
  <c r="O137" i="19" s="1"/>
  <c r="P139" i="19"/>
  <c r="P135" i="19"/>
  <c r="P137" i="19" s="1"/>
  <c r="B66" i="34"/>
  <c r="I66" i="34" s="1"/>
  <c r="E55" i="11"/>
  <c r="N135" i="19"/>
  <c r="N137" i="19" s="1"/>
  <c r="N139" i="19"/>
  <c r="K135" i="19"/>
  <c r="K137" i="19" s="1"/>
  <c r="K139" i="19"/>
  <c r="Q80" i="19"/>
  <c r="M133" i="19"/>
  <c r="F69" i="19"/>
  <c r="F133" i="19" s="1"/>
  <c r="S31" i="25"/>
  <c r="S30" i="24"/>
  <c r="Q188" i="19"/>
  <c r="F267" i="19"/>
  <c r="Q58" i="19"/>
  <c r="C31" i="11"/>
  <c r="C39" i="11" s="1"/>
  <c r="E44" i="11" s="1"/>
  <c r="E45" i="11" s="1"/>
  <c r="F18" i="33"/>
  <c r="H16" i="33"/>
  <c r="I16" i="33" s="1"/>
  <c r="B18" i="33"/>
  <c r="D16" i="33"/>
  <c r="E16" i="33" s="1"/>
  <c r="G46" i="33"/>
  <c r="G31" i="33"/>
  <c r="G38" i="33"/>
  <c r="C46" i="33"/>
  <c r="C31" i="33"/>
  <c r="C38" i="33"/>
  <c r="B99" i="32"/>
  <c r="B97" i="32"/>
  <c r="C97" i="31"/>
  <c r="C95" i="31"/>
  <c r="B97" i="31"/>
  <c r="B95" i="31"/>
  <c r="B95" i="30"/>
  <c r="B93" i="30"/>
  <c r="C92" i="30"/>
  <c r="C48" i="30"/>
  <c r="T31" i="25" l="1"/>
  <c r="N31" i="25"/>
  <c r="T30" i="24"/>
  <c r="U6" i="24"/>
  <c r="E133" i="19"/>
  <c r="Q86" i="19"/>
  <c r="N89" i="20"/>
  <c r="N90" i="20" s="1"/>
  <c r="O88" i="20"/>
  <c r="E60" i="11"/>
  <c r="E54" i="11"/>
  <c r="E56" i="11" s="1"/>
  <c r="E57" i="11" s="1"/>
  <c r="B67" i="34"/>
  <c r="E31" i="11"/>
  <c r="E17" i="11"/>
  <c r="M135" i="19"/>
  <c r="M137" i="19" s="1"/>
  <c r="M139" i="19"/>
  <c r="F139" i="19"/>
  <c r="F135" i="19"/>
  <c r="F137" i="19" s="1"/>
  <c r="Q267" i="19"/>
  <c r="Q69" i="19"/>
  <c r="Q379" i="19"/>
  <c r="Q380" i="19" s="1"/>
  <c r="E380" i="19"/>
  <c r="H18" i="33"/>
  <c r="I18" i="33" s="1"/>
  <c r="F30" i="33"/>
  <c r="F19" i="33"/>
  <c r="H19" i="33" s="1"/>
  <c r="D18" i="33"/>
  <c r="E18" i="33" s="1"/>
  <c r="B30" i="33"/>
  <c r="B19" i="33"/>
  <c r="D19" i="33" s="1"/>
  <c r="C93" i="30"/>
  <c r="C95" i="30"/>
  <c r="T33" i="25" l="1"/>
  <c r="U31" i="25"/>
  <c r="T32" i="24"/>
  <c r="U30" i="24"/>
  <c r="Q133" i="19"/>
  <c r="R133" i="19" s="1"/>
  <c r="R134" i="19" s="1"/>
  <c r="S134" i="19" s="1"/>
  <c r="E139" i="19"/>
  <c r="E135" i="19"/>
  <c r="B134" i="34"/>
  <c r="I134" i="34" s="1"/>
  <c r="E39" i="11"/>
  <c r="E32" i="11"/>
  <c r="B68" i="34"/>
  <c r="I68" i="34" s="1"/>
  <c r="H30" i="33"/>
  <c r="I30" i="33" s="1"/>
  <c r="F44" i="33"/>
  <c r="F38" i="33"/>
  <c r="H38" i="33" s="1"/>
  <c r="I38" i="33" s="1"/>
  <c r="F31" i="33"/>
  <c r="H31" i="33" s="1"/>
  <c r="D30" i="33"/>
  <c r="E30" i="33" s="1"/>
  <c r="B44" i="33"/>
  <c r="B31" i="33"/>
  <c r="D31" i="33" s="1"/>
  <c r="B38" i="33"/>
  <c r="D38" i="33" s="1"/>
  <c r="E38" i="33" s="1"/>
  <c r="E137" i="19" l="1"/>
  <c r="Q135" i="19"/>
  <c r="B135" i="34"/>
  <c r="I135" i="34" s="1"/>
  <c r="E46" i="11"/>
  <c r="E61" i="11"/>
  <c r="E62" i="11" s="1"/>
  <c r="E63" i="11" s="1"/>
  <c r="B153" i="34"/>
  <c r="I153" i="34" s="1"/>
  <c r="E4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Vinay  Nulu</author>
  </authors>
  <commentList>
    <comment ref="E13" authorId="0" shapeId="0" xr:uid="{D8368F5C-F095-4333-94FD-3578CBFC1591}">
      <text>
        <r>
          <rPr>
            <b/>
            <sz val="9"/>
            <color indexed="81"/>
            <rFont val="Tahoma"/>
            <family val="2"/>
          </rPr>
          <t>Vinay  Nulu:</t>
        </r>
        <r>
          <rPr>
            <sz val="9"/>
            <color indexed="81"/>
            <rFont val="Tahoma"/>
            <family val="2"/>
          </rPr>
          <t xml:space="preserve">
28 reduced from YDI &amp;
10 reduced from the rampdown by Sathya sent on 29th Dec.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Bhavna SRF</author>
  </authors>
  <commentList>
    <comment ref="A25" authorId="0" shapeId="0" xr:uid="{DE996BD6-583A-4775-A4C2-E93A034F8E43}">
      <text>
        <r>
          <rPr>
            <b/>
            <sz val="9"/>
            <color indexed="81"/>
            <rFont val="Tahoma"/>
            <family val="2"/>
          </rPr>
          <t>Bhavna SRF:</t>
        </r>
        <r>
          <rPr>
            <sz val="9"/>
            <color indexed="81"/>
            <rFont val="Tahoma"/>
            <family val="2"/>
          </rPr>
          <t xml:space="preserve">
Source rows not present in the Client names mapping (e.g. Dr. Dharma). Shown so the Total ties to the Clientwise Profitability total.</t>
        </r>
      </text>
    </comment>
  </commentList>
</comments>
</file>

<file path=xl/sharedStrings.xml><?xml version="1.0" encoding="utf-8"?>
<sst xmlns="http://schemas.openxmlformats.org/spreadsheetml/2006/main" count="6397" uniqueCount="1074">
  <si>
    <t>Particulars</t>
  </si>
  <si>
    <t>Service Income</t>
  </si>
  <si>
    <t>Sales</t>
  </si>
  <si>
    <t>Total Revenue</t>
  </si>
  <si>
    <t>Overall Operational cost</t>
  </si>
  <si>
    <t>Manpower</t>
  </si>
  <si>
    <t>Facility Cost</t>
  </si>
  <si>
    <t>Telcom/Data &amp; others</t>
  </si>
  <si>
    <t>Transport</t>
  </si>
  <si>
    <t>Other COGS</t>
  </si>
  <si>
    <t>Total COGS</t>
  </si>
  <si>
    <t>GP</t>
  </si>
  <si>
    <t>GM%</t>
  </si>
  <si>
    <t>SG&amp;A</t>
  </si>
  <si>
    <t>Selling Expenses</t>
  </si>
  <si>
    <t>G&amp;A Expenses</t>
  </si>
  <si>
    <t>Salaries-Management &amp; Others</t>
  </si>
  <si>
    <t>Legal &amp; Professional Fees</t>
  </si>
  <si>
    <t>G&amp;A salaries</t>
  </si>
  <si>
    <t>Total</t>
  </si>
  <si>
    <t>Overall SG&amp;A</t>
  </si>
  <si>
    <t>EBITDA</t>
  </si>
  <si>
    <t>EBITDA%</t>
  </si>
  <si>
    <t>Finance Cost</t>
  </si>
  <si>
    <t>Rates &amp; Taxes</t>
  </si>
  <si>
    <t>Depreciation</t>
  </si>
  <si>
    <t>PBT</t>
  </si>
  <si>
    <t>Check point</t>
  </si>
  <si>
    <t>Revenue</t>
  </si>
  <si>
    <t>India cost</t>
  </si>
  <si>
    <t>US cost</t>
  </si>
  <si>
    <t>Profit</t>
  </si>
  <si>
    <t>Directs</t>
  </si>
  <si>
    <t>Overall HC</t>
  </si>
  <si>
    <t>Rev/FTE (Pricing)</t>
  </si>
  <si>
    <t>Cost/FTE</t>
  </si>
  <si>
    <t>Gross Profit/FTE</t>
  </si>
  <si>
    <t>Rev/Head</t>
  </si>
  <si>
    <t>Cost/Head</t>
  </si>
  <si>
    <t>Margin/Head</t>
  </si>
  <si>
    <t>Detailed Break up</t>
  </si>
  <si>
    <t>Jan-US</t>
  </si>
  <si>
    <t>Jan-India</t>
  </si>
  <si>
    <t>Jan Consolidation</t>
  </si>
  <si>
    <t>Other Charges</t>
  </si>
  <si>
    <t>Buyout</t>
  </si>
  <si>
    <t>Interest Income</t>
  </si>
  <si>
    <t>General Income</t>
  </si>
  <si>
    <t>Direct Incomes</t>
  </si>
  <si>
    <t>Consultancy fee</t>
  </si>
  <si>
    <t>Operation salaries</t>
  </si>
  <si>
    <t>Ops Support Salaries</t>
  </si>
  <si>
    <t>Contract employee salaries</t>
  </si>
  <si>
    <t>Coding charges</t>
  </si>
  <si>
    <t>Employee statutory expenses</t>
  </si>
  <si>
    <t>Employee ESI</t>
  </si>
  <si>
    <t>EPF Admin Charges</t>
  </si>
  <si>
    <t>Employee PF</t>
  </si>
  <si>
    <t>Employer ESI</t>
  </si>
  <si>
    <t>Employer PF</t>
  </si>
  <si>
    <t>Professional tax</t>
  </si>
  <si>
    <t>Interest on TDS</t>
  </si>
  <si>
    <t>Interest on employee statutory dues</t>
  </si>
  <si>
    <t>Total Manpower</t>
  </si>
  <si>
    <t>Electricity</t>
  </si>
  <si>
    <t>Electricity Expense</t>
  </si>
  <si>
    <t>Computer maintenance</t>
  </si>
  <si>
    <t>Janani Property Maintenance Charges</t>
  </si>
  <si>
    <t>Janani Property Rental Charges</t>
  </si>
  <si>
    <t>Laptop Rental Charges</t>
  </si>
  <si>
    <t>Trichy rental charges</t>
  </si>
  <si>
    <t>Thiruttani rental charges</t>
  </si>
  <si>
    <t>Max Office rental charges</t>
  </si>
  <si>
    <t>Rent Expense</t>
  </si>
  <si>
    <t>Telecom Charges</t>
  </si>
  <si>
    <t>Telephone Expense</t>
  </si>
  <si>
    <t>Dues and Subscriptions</t>
  </si>
  <si>
    <t>Software Expenses</t>
  </si>
  <si>
    <t>License/Subscription/Certification Charges</t>
  </si>
  <si>
    <t>IT and Internet Expenses</t>
  </si>
  <si>
    <t>Telephone Rental Charges</t>
  </si>
  <si>
    <t>Transportation Costs</t>
  </si>
  <si>
    <t>Staff Transportation Charges</t>
  </si>
  <si>
    <t>Other COGS (Base)</t>
  </si>
  <si>
    <t>General Insurance</t>
  </si>
  <si>
    <t>Insurance</t>
  </si>
  <si>
    <t>Donation</t>
  </si>
  <si>
    <t>Software expense</t>
  </si>
  <si>
    <t>Software development and Hosting charges</t>
  </si>
  <si>
    <t>Other Cogs- MD</t>
  </si>
  <si>
    <t>Employee Engagement</t>
  </si>
  <si>
    <t>Staff Welfare Expenses</t>
  </si>
  <si>
    <t>Interest on OD</t>
  </si>
  <si>
    <t>Fuel expenses</t>
  </si>
  <si>
    <t>Obo Health Inc</t>
  </si>
  <si>
    <t>Food Coupon-Happay Wallet</t>
  </si>
  <si>
    <t>Travel Expense</t>
  </si>
  <si>
    <t>Cyber Security Insurance</t>
  </si>
  <si>
    <t>Rewards and recognition</t>
  </si>
  <si>
    <t>Meals and Entertainment</t>
  </si>
  <si>
    <t>VISA charges</t>
  </si>
  <si>
    <t>Conference &amp; Evenets</t>
  </si>
  <si>
    <t>Advertisement and marketing</t>
  </si>
  <si>
    <t>Customs Duty</t>
  </si>
  <si>
    <t>Sales and marketing</t>
  </si>
  <si>
    <t>Business Promotion</t>
  </si>
  <si>
    <t>S&amp;M Salaries</t>
  </si>
  <si>
    <t>Gratuity</t>
  </si>
  <si>
    <t>New Tools and Accesses - Needed</t>
  </si>
  <si>
    <t>Total SG&amp;A</t>
  </si>
  <si>
    <t>Consultancy Fees</t>
  </si>
  <si>
    <t>Comission Paid-Scinet Inc</t>
  </si>
  <si>
    <t>Leadership engagemnet</t>
  </si>
  <si>
    <t>Charitable Donations</t>
  </si>
  <si>
    <t>Fuel/Mileage Expenses</t>
  </si>
  <si>
    <t>Payroll Processing Fees</t>
  </si>
  <si>
    <t>Parking</t>
  </si>
  <si>
    <t>Toll Fee</t>
  </si>
  <si>
    <t>Travelling Expenses</t>
  </si>
  <si>
    <t>Insurance Expense</t>
  </si>
  <si>
    <t>Postage</t>
  </si>
  <si>
    <t>Printing and stationery</t>
  </si>
  <si>
    <t>Finance charges</t>
  </si>
  <si>
    <t>Accommodation Charges</t>
  </si>
  <si>
    <t>Other Expenses</t>
  </si>
  <si>
    <t>Delivery charges</t>
  </si>
  <si>
    <t>Maintenance Charges</t>
  </si>
  <si>
    <t>Referral bonus</t>
  </si>
  <si>
    <t>Blocked Credit</t>
  </si>
  <si>
    <t>Housekeeping Charges</t>
  </si>
  <si>
    <t>Lodging</t>
  </si>
  <si>
    <t>Legal charges</t>
  </si>
  <si>
    <t>Consultant expense</t>
  </si>
  <si>
    <t>Conference Fees</t>
  </si>
  <si>
    <t>Razorpay Charges</t>
  </si>
  <si>
    <t>Registration charges</t>
  </si>
  <si>
    <t>MCA filing Fee</t>
  </si>
  <si>
    <t>Office Supplies</t>
  </si>
  <si>
    <t>Payroll taxes</t>
  </si>
  <si>
    <t>HR Salaries</t>
  </si>
  <si>
    <t>Admin Salaries</t>
  </si>
  <si>
    <t>IT Salaries</t>
  </si>
  <si>
    <t>Coder</t>
  </si>
  <si>
    <t>FPO Charges-SMCS GLOBAL</t>
  </si>
  <si>
    <t>Professional fees</t>
  </si>
  <si>
    <t>Legal &amp; Professional Services</t>
  </si>
  <si>
    <t>FPO Charges - SRF</t>
  </si>
  <si>
    <t>Management Salaries</t>
  </si>
  <si>
    <t>Bonus and Incentives</t>
  </si>
  <si>
    <t>Bank Fees and Charges</t>
  </si>
  <si>
    <t>Bank Charges</t>
  </si>
  <si>
    <t>Exchange Gain or Loss</t>
  </si>
  <si>
    <t>Amex card charges</t>
  </si>
  <si>
    <t>Interest Paid</t>
  </si>
  <si>
    <t>Interest on Car loan</t>
  </si>
  <si>
    <t>Month</t>
  </si>
  <si>
    <t>US</t>
  </si>
  <si>
    <t>India</t>
  </si>
  <si>
    <t>Row Labels</t>
  </si>
  <si>
    <t>Operational Cost</t>
  </si>
  <si>
    <t>India Cost</t>
  </si>
  <si>
    <t>Contractors</t>
  </si>
  <si>
    <t>iMagnum Healthcare Solutions Pvt Ltd</t>
  </si>
  <si>
    <t>Lynx Realty</t>
  </si>
  <si>
    <t>Telecom Data &amp; Others</t>
  </si>
  <si>
    <t>A2Webhost</t>
  </si>
  <si>
    <t>Adobe Systems</t>
  </si>
  <si>
    <t>Availity</t>
  </si>
  <si>
    <t>Calendly</t>
  </si>
  <si>
    <t>Chatgpt</t>
  </si>
  <si>
    <t>DROPBOX</t>
  </si>
  <si>
    <t>MICROSOFT</t>
  </si>
  <si>
    <t>MongoDB</t>
  </si>
  <si>
    <t>Zoho Corp</t>
  </si>
  <si>
    <t>READ - MEETING</t>
  </si>
  <si>
    <t>Bluefin</t>
  </si>
  <si>
    <t>GoDaddy</t>
  </si>
  <si>
    <t>QuickBooks Payments</t>
  </si>
  <si>
    <t>McAfee</t>
  </si>
  <si>
    <t>Awaz</t>
  </si>
  <si>
    <t>Tailwind</t>
  </si>
  <si>
    <t>Digital Ocean</t>
  </si>
  <si>
    <t>Figma</t>
  </si>
  <si>
    <t>Scalela</t>
  </si>
  <si>
    <t>Semrush</t>
  </si>
  <si>
    <t>RINGCENTRAL INC</t>
  </si>
  <si>
    <t>Verizon</t>
  </si>
  <si>
    <t>AdvancedMD</t>
  </si>
  <si>
    <t>Claim.MD</t>
  </si>
  <si>
    <t>Cloudways LTD</t>
  </si>
  <si>
    <t>Contabo.com</t>
  </si>
  <si>
    <t>Foxyproxy</t>
  </si>
  <si>
    <t>Moet Advisors LLC</t>
  </si>
  <si>
    <t>Office Ally</t>
  </si>
  <si>
    <t>Trizetto Prov</t>
  </si>
  <si>
    <t>RFPMart LLC</t>
  </si>
  <si>
    <t>SaaSMonk</t>
  </si>
  <si>
    <t>Replit</t>
  </si>
  <si>
    <t>Atlantic.net</t>
  </si>
  <si>
    <t>Cair Health Inc.</t>
  </si>
  <si>
    <t>Stedi, Inc.</t>
  </si>
  <si>
    <t>Chugh LLP</t>
  </si>
  <si>
    <t>HEALTHCARE BUSINESS</t>
  </si>
  <si>
    <t>Vfs Services</t>
  </si>
  <si>
    <t>iQuantified Management Services</t>
  </si>
  <si>
    <t>Gerald Mannikarote</t>
  </si>
  <si>
    <t>Inc. Media</t>
  </si>
  <si>
    <t>Georgia Association</t>
  </si>
  <si>
    <t>Maheshkumar Nagarajan</t>
  </si>
  <si>
    <t>HJC Consulting Group</t>
  </si>
  <si>
    <t>MEDSOURCE AI LLC</t>
  </si>
  <si>
    <t>MedTrade</t>
  </si>
  <si>
    <t>Harvard Business Services</t>
  </si>
  <si>
    <t>Payroll Taxes</t>
  </si>
  <si>
    <t>ADP</t>
  </si>
  <si>
    <t>Management salaries</t>
  </si>
  <si>
    <t>G&amp;A Cost</t>
  </si>
  <si>
    <t>Buc-EES</t>
  </si>
  <si>
    <t>Chevron</t>
  </si>
  <si>
    <t>H-E-B</t>
  </si>
  <si>
    <t>Shell</t>
  </si>
  <si>
    <t>Walmart</t>
  </si>
  <si>
    <t>Costco</t>
  </si>
  <si>
    <t>BP</t>
  </si>
  <si>
    <t>Katy Fwy</t>
  </si>
  <si>
    <t>X Christiana Rd</t>
  </si>
  <si>
    <t>United Health Care</t>
  </si>
  <si>
    <t>Manhattanlife</t>
  </si>
  <si>
    <t>NGIC</t>
  </si>
  <si>
    <t>First Insurance</t>
  </si>
  <si>
    <t>ICHRA</t>
  </si>
  <si>
    <t>Base</t>
  </si>
  <si>
    <t>Courtyard By MarriotLewisville</t>
  </si>
  <si>
    <t>Hilton Garden</t>
  </si>
  <si>
    <t>Olive Garden</t>
  </si>
  <si>
    <t>Sangam Indian Cuisine</t>
  </si>
  <si>
    <t>Starbucks</t>
  </si>
  <si>
    <t>TARGET</t>
  </si>
  <si>
    <t>TST* CHOWRASTHA COPPCOPPELL</t>
  </si>
  <si>
    <t>Uber Eats</t>
  </si>
  <si>
    <t>Indian Bazaar &amp; Cafe</t>
  </si>
  <si>
    <t>The Pumphouse Riverside Restaurant and Bar</t>
  </si>
  <si>
    <t>Chick-fil-a</t>
  </si>
  <si>
    <t>Panda Express</t>
  </si>
  <si>
    <t>First Watch</t>
  </si>
  <si>
    <t>Madras Mantra</t>
  </si>
  <si>
    <t>Mint Leaf</t>
  </si>
  <si>
    <t>Wyndham</t>
  </si>
  <si>
    <t>Publix</t>
  </si>
  <si>
    <t>Cafe Italiano</t>
  </si>
  <si>
    <t>Atl Today</t>
  </si>
  <si>
    <t>Sixt USA</t>
  </si>
  <si>
    <t>La Terraza</t>
  </si>
  <si>
    <t>Panera Bread</t>
  </si>
  <si>
    <t>Nirvana</t>
  </si>
  <si>
    <t>Bistro</t>
  </si>
  <si>
    <t>Chipotle</t>
  </si>
  <si>
    <t>Baja Fresh</t>
  </si>
  <si>
    <t>Centurion Lounge</t>
  </si>
  <si>
    <t>Asian Kitchen</t>
  </si>
  <si>
    <t>Las Fuentes</t>
  </si>
  <si>
    <t>The UPS Store</t>
  </si>
  <si>
    <t>Food Mart</t>
  </si>
  <si>
    <t>Greenville Ave</t>
  </si>
  <si>
    <t>Pines</t>
  </si>
  <si>
    <t>Saravanaa Bhavan</t>
  </si>
  <si>
    <t>Cafeneo</t>
  </si>
  <si>
    <t>Eccola Italian Bistro</t>
  </si>
  <si>
    <t>Lebanese Taverna</t>
  </si>
  <si>
    <t>Indian Aroma</t>
  </si>
  <si>
    <t>Pasta Mista</t>
  </si>
  <si>
    <t>Cava Belmont</t>
  </si>
  <si>
    <t>Great Wraps</t>
  </si>
  <si>
    <t>Paradies-Broward</t>
  </si>
  <si>
    <t>Pinkberry</t>
  </si>
  <si>
    <t>Piada</t>
  </si>
  <si>
    <t>Murugan Cafe</t>
  </si>
  <si>
    <t>Rainforest Cafe</t>
  </si>
  <si>
    <t>Gusto</t>
  </si>
  <si>
    <t>Charleston's Restaurant</t>
  </si>
  <si>
    <t>Dunkin</t>
  </si>
  <si>
    <t>Jimmy John's</t>
  </si>
  <si>
    <t>Shake Shack</t>
  </si>
  <si>
    <t>Marathon Diner</t>
  </si>
  <si>
    <t>District News</t>
  </si>
  <si>
    <t>HARPER'S ASIAN</t>
  </si>
  <si>
    <t>GACHI SUSHI</t>
  </si>
  <si>
    <t>Dubai Duty Free</t>
  </si>
  <si>
    <t>Russo's New York Pizza</t>
  </si>
  <si>
    <t>Pho Oh Yeah</t>
  </si>
  <si>
    <t>Walgreens</t>
  </si>
  <si>
    <t>Neetu's Indian Kitchen</t>
  </si>
  <si>
    <t>Kottu Korner</t>
  </si>
  <si>
    <t>Charcoal Eats</t>
  </si>
  <si>
    <t>The Home Depot</t>
  </si>
  <si>
    <t>Nagas South Indian</t>
  </si>
  <si>
    <t>Tide Dry Cleaners</t>
  </si>
  <si>
    <t>Shellis News</t>
  </si>
  <si>
    <t>Burtons Grill</t>
  </si>
  <si>
    <t>Royal Biryani House</t>
  </si>
  <si>
    <t>Gyro Hut</t>
  </si>
  <si>
    <t>Akashi Sushi Fusion</t>
  </si>
  <si>
    <t>Absolute Thai Cuisine</t>
  </si>
  <si>
    <t>Autogrill Middle East</t>
  </si>
  <si>
    <t>Jallikattu Indian Grill</t>
  </si>
  <si>
    <t>Los Cucos Mexican Cafe</t>
  </si>
  <si>
    <t>Reyhan's Grill</t>
  </si>
  <si>
    <t>Kluay Kluay</t>
  </si>
  <si>
    <t>Airi Ramen &amp; Sushi</t>
  </si>
  <si>
    <t>Torchy's Tacos</t>
  </si>
  <si>
    <t>Vietnam Bistro</t>
  </si>
  <si>
    <t>QDF North Node</t>
  </si>
  <si>
    <t>Rasoi Indian Cuisine</t>
  </si>
  <si>
    <t>Taco Fuego</t>
  </si>
  <si>
    <t>Muerde la Burger</t>
  </si>
  <si>
    <t>Torchys Tacos</t>
  </si>
  <si>
    <t>Ezee Fiber</t>
  </si>
  <si>
    <t>Shah's of Kabob</t>
  </si>
  <si>
    <t>Lombardi's Restaurant</t>
  </si>
  <si>
    <t>Dasara Indian Cuisine</t>
  </si>
  <si>
    <t>P.F. Chang's</t>
  </si>
  <si>
    <t>Dubai International Hotel</t>
  </si>
  <si>
    <t>Texas Burger</t>
  </si>
  <si>
    <t>Las Fuentes Mexican Restaurant</t>
  </si>
  <si>
    <t>Travel Guard Group</t>
  </si>
  <si>
    <t>Sisters Thai</t>
  </si>
  <si>
    <t>ExxonMobil</t>
  </si>
  <si>
    <t>TRIVENI FOOD COURT</t>
  </si>
  <si>
    <t>Red Lobster</t>
  </si>
  <si>
    <t>KUMAR'S HOUSTON</t>
  </si>
  <si>
    <t>Ipostal</t>
  </si>
  <si>
    <t>PostNet</t>
  </si>
  <si>
    <t>BOA 7456</t>
  </si>
  <si>
    <t>IRS</t>
  </si>
  <si>
    <t>Corp E Corp</t>
  </si>
  <si>
    <t>Bancpass</t>
  </si>
  <si>
    <t>NTTA Online</t>
  </si>
  <si>
    <t>Hertztoll</t>
  </si>
  <si>
    <t>Shikha Gupta CPA</t>
  </si>
  <si>
    <t>Aapc</t>
  </si>
  <si>
    <t>AATRALAI TECH SOLUTIONS PVT. LTD.</t>
  </si>
  <si>
    <t>Ekam Legal</t>
  </si>
  <si>
    <t>WHIZZ CYBERSECURITY PVT. L ID</t>
  </si>
  <si>
    <t>El Associates</t>
  </si>
  <si>
    <t>COMP OF MARYLAND</t>
  </si>
  <si>
    <t>Best Buy</t>
  </si>
  <si>
    <t>Print N Ship</t>
  </si>
  <si>
    <t>Wells</t>
  </si>
  <si>
    <t>Apple.com</t>
  </si>
  <si>
    <t>ATEA USA</t>
  </si>
  <si>
    <t>Office Depot</t>
  </si>
  <si>
    <t>Amazon</t>
  </si>
  <si>
    <t>QualiTel Communications</t>
  </si>
  <si>
    <t>Lartico Inc.</t>
  </si>
  <si>
    <t>Fast Park Hou Fastpark</t>
  </si>
  <si>
    <t>York Rd</t>
  </si>
  <si>
    <t>Colonial Parking</t>
  </si>
  <si>
    <t>Highway</t>
  </si>
  <si>
    <t>Consultancy Fees - G&amp;A</t>
  </si>
  <si>
    <t>CLEARME.COM</t>
  </si>
  <si>
    <t>Comprehensive C S LLC</t>
  </si>
  <si>
    <t>Samatva Wealth Management LLC</t>
  </si>
  <si>
    <t>Sales &amp; Marketing</t>
  </si>
  <si>
    <t>Hertz Rent-a-Car</t>
  </si>
  <si>
    <t>Hotels.com</t>
  </si>
  <si>
    <t>HOUSTON AP CARTCHAIRHOUSTON</t>
  </si>
  <si>
    <t>LOCALFALCON-STARTER</t>
  </si>
  <si>
    <t>Lyft</t>
  </si>
  <si>
    <t>MOUSEFLOWAPS</t>
  </si>
  <si>
    <t>Southwest Airlines</t>
  </si>
  <si>
    <t>Uber</t>
  </si>
  <si>
    <t>United Airlines</t>
  </si>
  <si>
    <t>American Airlines</t>
  </si>
  <si>
    <t>QATAR AIRWAYS</t>
  </si>
  <si>
    <t>Spirit Airlines</t>
  </si>
  <si>
    <t>PRICELN</t>
  </si>
  <si>
    <t>Emirates</t>
  </si>
  <si>
    <t>Bt City Pass</t>
  </si>
  <si>
    <t>Hampton Inn</t>
  </si>
  <si>
    <t>San Francisco</t>
  </si>
  <si>
    <t>Fairfield</t>
  </si>
  <si>
    <t>Westin</t>
  </si>
  <si>
    <t>Homewood</t>
  </si>
  <si>
    <t>Ocean Gateway</t>
  </si>
  <si>
    <t>Flatonia TX</t>
  </si>
  <si>
    <t>Omni Frisco Front</t>
  </si>
  <si>
    <t>Secointrin</t>
  </si>
  <si>
    <t>Delta Air</t>
  </si>
  <si>
    <t>Priceline Rent A Car</t>
  </si>
  <si>
    <t>Lanier Parking</t>
  </si>
  <si>
    <t>CHATTANOOGAN HOTEL</t>
  </si>
  <si>
    <t>Airbnb</t>
  </si>
  <si>
    <t>TPA Hospitality Partners</t>
  </si>
  <si>
    <t>Verra Mobility</t>
  </si>
  <si>
    <t>Verramo Mobility</t>
  </si>
  <si>
    <t>Travellers House Coffee</t>
  </si>
  <si>
    <t>The Metropolitan</t>
  </si>
  <si>
    <t>DoubleTree</t>
  </si>
  <si>
    <t>Etihad Airways</t>
  </si>
  <si>
    <t>Travel Agency</t>
  </si>
  <si>
    <t>ETIHADAIR</t>
  </si>
  <si>
    <t>Fort Bend County</t>
  </si>
  <si>
    <t>World Duty Free</t>
  </si>
  <si>
    <t>Sales And Marketing</t>
  </si>
  <si>
    <t>AHREFS* AHREFS</t>
  </si>
  <si>
    <t>Hubspot</t>
  </si>
  <si>
    <t>Associates</t>
  </si>
  <si>
    <t>Seamless.AI</t>
  </si>
  <si>
    <t>Hole in the Roof</t>
  </si>
  <si>
    <t>kalpana Rajaram</t>
  </si>
  <si>
    <t>Queen City</t>
  </si>
  <si>
    <t>Sheraton Niagara Falls</t>
  </si>
  <si>
    <t>Chase</t>
  </si>
  <si>
    <t>Credit Card (9904)</t>
  </si>
  <si>
    <t>Amex Business Credit Card</t>
  </si>
  <si>
    <t>Wire Fees</t>
  </si>
  <si>
    <t>Grand Total</t>
  </si>
  <si>
    <t>Cost Category</t>
  </si>
  <si>
    <t>Ledger Name</t>
  </si>
  <si>
    <t>Supplier Name</t>
  </si>
  <si>
    <t>1.Manpower</t>
  </si>
  <si>
    <t>Operation Salaries</t>
  </si>
  <si>
    <t>HDFC Bank</t>
  </si>
  <si>
    <t>Contract Employee Salaries</t>
  </si>
  <si>
    <t>1.Manpower Total</t>
  </si>
  <si>
    <t>2.Facility cost</t>
  </si>
  <si>
    <t>JANANI PROPERTY &amp; ESTATES PVT LTD</t>
  </si>
  <si>
    <t>Max Office</t>
  </si>
  <si>
    <t>TAMILNADU GENERATION AND DISTRIBUTION CORPORATION LIMITED</t>
  </si>
  <si>
    <t>Amutha Trichy Rental House</t>
  </si>
  <si>
    <t>M.R. INFOTECH</t>
  </si>
  <si>
    <t>Balaji Towers</t>
  </si>
  <si>
    <t>Xtreme Infotech</t>
  </si>
  <si>
    <t>2.Facility cost Total</t>
  </si>
  <si>
    <t>3.Telecom Data &amp; others</t>
  </si>
  <si>
    <t>Adobe Systems Software Ireland Ltd</t>
  </si>
  <si>
    <t>E2E Networks  Limited</t>
  </si>
  <si>
    <t>Esoftsol Infocom Pvt Ltd</t>
  </si>
  <si>
    <t>HDFC credit card (Kasi)</t>
  </si>
  <si>
    <t>LinkedIn</t>
  </si>
  <si>
    <t>Udemy India LLP</t>
  </si>
  <si>
    <t>AAPC</t>
  </si>
  <si>
    <t>ClaudeAI</t>
  </si>
  <si>
    <t>SYSVEL TECHNOLOGY</t>
  </si>
  <si>
    <t>TATA TELESERVICES LIMITED</t>
  </si>
  <si>
    <t>Slack</t>
  </si>
  <si>
    <t>Reliance Jio Infocomm Limited</t>
  </si>
  <si>
    <t>Futurecalls Technology</t>
  </si>
  <si>
    <t>Info Edge (India) Ltd</t>
  </si>
  <si>
    <t>Claritus Management Consulting Pvt. Ltd.</t>
  </si>
  <si>
    <t>GAMMA.APP</t>
  </si>
  <si>
    <t>UNIFIED VOICE COMMUNICATION PRIVATE LIMITED</t>
  </si>
  <si>
    <t>BHARTI AIRTEL LIMITED</t>
  </si>
  <si>
    <t>3.Telecom Data &amp; others Total</t>
  </si>
  <si>
    <t>4.Transport Cost</t>
  </si>
  <si>
    <t>VKS Travels</t>
  </si>
  <si>
    <t>Select Cabs</t>
  </si>
  <si>
    <t>4.Transport Cost Total</t>
  </si>
  <si>
    <t>5.Other COGS</t>
  </si>
  <si>
    <t>HDFC credit card (Imagnum)</t>
  </si>
  <si>
    <t>SRI LAKSHMI NARASIMHAR PHOTOFRAME CENTER</t>
  </si>
  <si>
    <t>SRI LAKSHMI RESIDENCY</t>
  </si>
  <si>
    <t>KHIVRAJ MOTORS PRIVATE LIMITED</t>
  </si>
  <si>
    <t>JENNYS HOTEL PVT. LTD.</t>
  </si>
  <si>
    <t>Aditya Birla Fashion</t>
  </si>
  <si>
    <t>VASANTH &amp; CO</t>
  </si>
  <si>
    <t>Medway Hospitals</t>
  </si>
  <si>
    <t>Health &amp; Safety Hub</t>
  </si>
  <si>
    <t>Spelman Printers</t>
  </si>
  <si>
    <t>HDFC credit card (Ashok Kumar)</t>
  </si>
  <si>
    <t>Tharikha Medicals</t>
  </si>
  <si>
    <t>CATAWING CYBERNETICS PVT. LTD.</t>
  </si>
  <si>
    <t>Pure Palate</t>
  </si>
  <si>
    <t>HDFC OD Account</t>
  </si>
  <si>
    <t>BAJAJ ALLIANZ GENERAL INSURANCE COMPANY LIMITED</t>
  </si>
  <si>
    <t>Rewards and Recognition</t>
  </si>
  <si>
    <t>5.Other COGS Total</t>
  </si>
  <si>
    <t>9.Exchange Gain or Loss</t>
  </si>
  <si>
    <t>IMAGNUM US</t>
  </si>
  <si>
    <t>9.Exchange Gain or Loss Total</t>
  </si>
  <si>
    <t>6.G&amp;A salaries</t>
  </si>
  <si>
    <t>6.G&amp;A salaries Total</t>
  </si>
  <si>
    <t>7.Legal &amp; Professional Fees</t>
  </si>
  <si>
    <t>Spice Route Finance</t>
  </si>
  <si>
    <t>Cure Claims Healthcare Services</t>
  </si>
  <si>
    <t>Professional services</t>
  </si>
  <si>
    <t>DQS India</t>
  </si>
  <si>
    <t>N V Balaji and Co.</t>
  </si>
  <si>
    <t>SMCS Global</t>
  </si>
  <si>
    <t>MCA Filing Fee</t>
  </si>
  <si>
    <t>7.Legal &amp; Professional Fees Total</t>
  </si>
  <si>
    <t>8.Sales &amp; Marketing</t>
  </si>
  <si>
    <t>Advertising And Marketing</t>
  </si>
  <si>
    <t>Amazon.in</t>
  </si>
  <si>
    <t>8.Sales &amp; Marketing Total</t>
  </si>
  <si>
    <t>9.General &amp; Administration</t>
  </si>
  <si>
    <t>Professional Tax</t>
  </si>
  <si>
    <t>DARLING DIGITAL WORLD PVT LTD</t>
  </si>
  <si>
    <t>DEVA PRINTERS</t>
  </si>
  <si>
    <t>Rainbow Office Solutions</t>
  </si>
  <si>
    <t>RETAILEZ PRIVATE LIMITED</t>
  </si>
  <si>
    <t>Clicktech Retail Private Limited</t>
  </si>
  <si>
    <t>Zudio</t>
  </si>
  <si>
    <t>MANGAL &amp; MANGAL</t>
  </si>
  <si>
    <t>Viji Embroidery works</t>
  </si>
  <si>
    <t>Best Engineering Works</t>
  </si>
  <si>
    <t>Sai Kalaimagal Stationery and Generals</t>
  </si>
  <si>
    <t>INTACT ENTERPRISES</t>
  </si>
  <si>
    <t>Mahendra Associates</t>
  </si>
  <si>
    <t>AMAR HARDWARES</t>
  </si>
  <si>
    <t>MAKE MY TRIP (INDIA) PVT. LTD.</t>
  </si>
  <si>
    <t>KABINI FOODS CHENNAI</t>
  </si>
  <si>
    <t>VGP Golden Beach Resort</t>
  </si>
  <si>
    <t>The Roy Restaurant</t>
  </si>
  <si>
    <t>COPPER KITCHEN VADAPALA CHENNAI</t>
  </si>
  <si>
    <t>ZAITOON RESTAURANT AND CHENNAI</t>
  </si>
  <si>
    <t>ROCK RESTAURANT</t>
  </si>
  <si>
    <t>ABS ABSOLUTE BARBECUES BANGALORE</t>
  </si>
  <si>
    <t>M S GRAND CONTINENT HOT</t>
  </si>
  <si>
    <t>NAYAGARA HOTELS PRIVATE LIMITED</t>
  </si>
  <si>
    <t>PALMSHORE MULTICUISINECHENNAI</t>
  </si>
  <si>
    <t>Vasanta Bhavan Hotel's Pvt Ltd</t>
  </si>
  <si>
    <t>SUVAI BIRIYANI RESTAURATRICHY</t>
  </si>
  <si>
    <t>Hotel Akshaya</t>
  </si>
  <si>
    <t>TRUE CARE SECURITY SERVICES</t>
  </si>
  <si>
    <t>Tiger Protective Services</t>
  </si>
  <si>
    <t>BIRD EYE SECURITY SERVICES</t>
  </si>
  <si>
    <t>Consultant Expense</t>
  </si>
  <si>
    <t>DAS MANPOWER CONSULTANCY SERVICES</t>
  </si>
  <si>
    <t>Chugh Consulting (India) LLP</t>
  </si>
  <si>
    <t>EBENEZER PAULP</t>
  </si>
  <si>
    <t>CODE FLOW CONSULTANT</t>
  </si>
  <si>
    <t>Yasodhai Damodaran POSH Consultant</t>
  </si>
  <si>
    <t>HOMEWOOD SUITES</t>
  </si>
  <si>
    <t>Manjhi Residency</t>
  </si>
  <si>
    <t>Queen Emperor Hotels And Resorts</t>
  </si>
  <si>
    <t>Green Park Hotels and Resorts Limited</t>
  </si>
  <si>
    <t>VFS.GLOBAL</t>
  </si>
  <si>
    <t>RZPX Private Limited</t>
  </si>
  <si>
    <t>Legal Charges</t>
  </si>
  <si>
    <t>EKAM LEGAL</t>
  </si>
  <si>
    <t>Leadership Engagement</t>
  </si>
  <si>
    <t>RV COMMUNICATION</t>
  </si>
  <si>
    <t>Referral Bonus</t>
  </si>
  <si>
    <t>Printing and Stationery</t>
  </si>
  <si>
    <t>Asian Plastics</t>
  </si>
  <si>
    <t>Interest on PT</t>
  </si>
  <si>
    <t>DSC Registration fee</t>
  </si>
  <si>
    <t>InterGlobe Aviation Limited</t>
  </si>
  <si>
    <t>REDBUS</t>
  </si>
  <si>
    <t>Air India Express</t>
  </si>
  <si>
    <t>NANDHA ENTERPRISES</t>
  </si>
  <si>
    <t>Qatar Airways</t>
  </si>
  <si>
    <t>CLEARTRIP PRIVATE LIMITED</t>
  </si>
  <si>
    <t>Explore The Unexplored Camping Tours</t>
  </si>
  <si>
    <t>9.General &amp; Administration Total</t>
  </si>
  <si>
    <t>10.Finance cost</t>
  </si>
  <si>
    <t>Interest on Advance Tax</t>
  </si>
  <si>
    <t>10.Finance cost Total</t>
  </si>
  <si>
    <t>IMAGNUM HEALTHCARE SOLUTION PRIVATE LIMITED</t>
  </si>
  <si>
    <t>Sum of Amount</t>
  </si>
  <si>
    <t>Column Labels</t>
  </si>
  <si>
    <t xml:space="preserve">Finance </t>
  </si>
  <si>
    <t>in $</t>
  </si>
  <si>
    <t>iMagnum US</t>
  </si>
  <si>
    <r>
      <t xml:space="preserve">Period: </t>
    </r>
    <r>
      <rPr>
        <b/>
        <sz val="11"/>
        <rFont val="Calibri"/>
        <family val="2"/>
      </rPr>
      <t>April 2026</t>
    </r>
  </si>
  <si>
    <r>
      <t xml:space="preserve">Period: </t>
    </r>
    <r>
      <rPr>
        <b/>
        <sz val="11"/>
        <rFont val="Calibri"/>
        <family val="2"/>
      </rPr>
      <t>March 2026</t>
    </r>
  </si>
  <si>
    <r>
      <rPr>
        <b/>
        <sz val="14"/>
        <rFont val="Calibri"/>
        <family val="2"/>
      </rPr>
      <t xml:space="preserve">FTM_CurrentYear_CV_SPL </t>
    </r>
  </si>
  <si>
    <r>
      <rPr>
        <b/>
        <sz val="11"/>
        <rFont val="Calibri"/>
        <family val="2"/>
      </rPr>
      <t>( USD in Whole Number )</t>
    </r>
  </si>
  <si>
    <t/>
  </si>
  <si>
    <t>particulars</t>
  </si>
  <si>
    <t>iMagnum India</t>
  </si>
  <si>
    <t>Elimination-iMagnum Segment</t>
  </si>
  <si>
    <t>Variance</t>
  </si>
  <si>
    <t xml:space="preserve">        Sales</t>
  </si>
  <si>
    <t xml:space="preserve">        Manpower</t>
  </si>
  <si>
    <t xml:space="preserve">        Employee statutory expenses</t>
  </si>
  <si>
    <t xml:space="preserve">        Facility Cost</t>
  </si>
  <si>
    <t xml:space="preserve">        Telcom/Data &amp; others</t>
  </si>
  <si>
    <t>License/Subscription Charges</t>
  </si>
  <si>
    <t xml:space="preserve">        Transport</t>
  </si>
  <si>
    <t xml:space="preserve">        Other COGS</t>
  </si>
  <si>
    <t>GM</t>
  </si>
  <si>
    <t>22 %</t>
  </si>
  <si>
    <t>1 %</t>
  </si>
  <si>
    <t>21 %</t>
  </si>
  <si>
    <t>(91 %)</t>
  </si>
  <si>
    <t>55 %</t>
  </si>
  <si>
    <t>26 %</t>
  </si>
  <si>
    <t xml:space="preserve">        Selling Expenses</t>
  </si>
  <si>
    <t>Conference &amp; Events</t>
  </si>
  <si>
    <t xml:space="preserve">        Salaries-Management &amp; Others</t>
  </si>
  <si>
    <t xml:space="preserve">        Legal &amp; Professional Fees</t>
  </si>
  <si>
    <t xml:space="preserve">        G&amp;A salaries</t>
  </si>
  <si>
    <t xml:space="preserve">        Gen &amp; Admin Expenses</t>
  </si>
  <si>
    <t>Purchase Discounts</t>
  </si>
  <si>
    <t>Audit Fee</t>
  </si>
  <si>
    <t>12 %</t>
  </si>
  <si>
    <t>(18 %)</t>
  </si>
  <si>
    <t>(7 %)</t>
  </si>
  <si>
    <t>(118 %)</t>
  </si>
  <si>
    <t>36 %</t>
  </si>
  <si>
    <t>(2 %)</t>
  </si>
  <si>
    <t xml:space="preserve">        Finance Cost</t>
  </si>
  <si>
    <t>Forex gain/loss</t>
  </si>
  <si>
    <t xml:space="preserve">        Rates &amp; Taxes</t>
  </si>
  <si>
    <t>Current Tax Expenses</t>
  </si>
  <si>
    <t>Deferred Tax Expenses</t>
  </si>
  <si>
    <t xml:space="preserve">        Depreciation</t>
  </si>
  <si>
    <t>Total Cost</t>
  </si>
  <si>
    <t>Budget Remarks</t>
  </si>
  <si>
    <t>Budgeted HC for operations &amp; ops support is 208 whereas Actual HC is 270</t>
  </si>
  <si>
    <t>Transport cost budgeted in proportion with HC</t>
  </si>
  <si>
    <t>Software Expense budgeted for $9,393 whereas actual it is $20,656</t>
  </si>
  <si>
    <t xml:space="preserve">Gen &amp; Admin. Expenses </t>
  </si>
  <si>
    <t>Insurance expense budgeted for $1,400 whereas actual it is $6,487              Consultancy fees not budgeted whereas actual it $3,750</t>
  </si>
  <si>
    <t xml:space="preserve">Revenue </t>
  </si>
  <si>
    <t xml:space="preserve">India cost </t>
  </si>
  <si>
    <t xml:space="preserve">Total </t>
  </si>
  <si>
    <t xml:space="preserve"> G&amp;A salaries</t>
  </si>
  <si>
    <t xml:space="preserve">Finance cost </t>
  </si>
  <si>
    <r>
      <t xml:space="preserve">Period: </t>
    </r>
    <r>
      <rPr>
        <b/>
        <sz val="11"/>
        <rFont val="Calibri"/>
        <family val="2"/>
      </rPr>
      <t>February 2026</t>
    </r>
  </si>
  <si>
    <t>(26 %)</t>
  </si>
  <si>
    <t>29 %</t>
  </si>
  <si>
    <t>14 %</t>
  </si>
  <si>
    <t>23 %</t>
  </si>
  <si>
    <t>8 %</t>
  </si>
  <si>
    <t>27 %</t>
  </si>
  <si>
    <t>(42 %)</t>
  </si>
  <si>
    <t>11 %</t>
  </si>
  <si>
    <t>(12 %)</t>
  </si>
  <si>
    <t>(13 %)</t>
  </si>
  <si>
    <r>
      <t xml:space="preserve">Period: </t>
    </r>
    <r>
      <rPr>
        <b/>
        <sz val="11"/>
        <rFont val="Calibri"/>
        <family val="2"/>
      </rPr>
      <t>May 2026</t>
    </r>
  </si>
  <si>
    <t>19 %</t>
  </si>
  <si>
    <t>17 %</t>
  </si>
  <si>
    <t>31 %</t>
  </si>
  <si>
    <t>20 %</t>
  </si>
  <si>
    <t>9 %</t>
  </si>
  <si>
    <t>2 %</t>
  </si>
  <si>
    <t>(19 %)</t>
  </si>
  <si>
    <t>(8 %)</t>
  </si>
  <si>
    <r>
      <t xml:space="preserve">Period: </t>
    </r>
    <r>
      <rPr>
        <b/>
        <sz val="11"/>
        <rFont val="Calibri"/>
        <family val="2"/>
      </rPr>
      <t>June 2026</t>
    </r>
  </si>
  <si>
    <r>
      <t xml:space="preserve">Period: </t>
    </r>
    <r>
      <rPr>
        <b/>
        <sz val="11"/>
        <color theme="1"/>
        <rFont val="Calibri"/>
        <family val="2"/>
        <scheme val="minor"/>
      </rPr>
      <t>May</t>
    </r>
    <r>
      <rPr>
        <b/>
        <sz val="11"/>
        <rFont val="Calibri"/>
        <family val="2"/>
      </rPr>
      <t xml:space="preserve"> 2026</t>
    </r>
  </si>
  <si>
    <t>Governments Grant Income</t>
  </si>
  <si>
    <t>16 %</t>
  </si>
  <si>
    <t>25 %</t>
  </si>
  <si>
    <t>(1 %)</t>
  </si>
  <si>
    <t>6 %</t>
  </si>
  <si>
    <t>Jun Vs May</t>
  </si>
  <si>
    <t>Kristy Brown</t>
  </si>
  <si>
    <t>Strategy Studio Labs LLP</t>
  </si>
  <si>
    <t>TRTS Travels</t>
  </si>
  <si>
    <t>Razorpay Wallet</t>
  </si>
  <si>
    <t>Elaa Resort</t>
  </si>
  <si>
    <t>Price</t>
  </si>
  <si>
    <t>Amex - Cloudways</t>
  </si>
  <si>
    <t>Check with Kasi</t>
  </si>
  <si>
    <t>standard 17.5K for 2026 - Removed the expense as we lost YDI</t>
  </si>
  <si>
    <t>MBMS Cloud - Atlantic</t>
  </si>
  <si>
    <t>Cair Health Software</t>
  </si>
  <si>
    <t>reduced from 889 to 570</t>
  </si>
  <si>
    <t>6.Other COGS</t>
  </si>
  <si>
    <t>US Salaries</t>
  </si>
  <si>
    <t>Backops Team - Medrina</t>
  </si>
  <si>
    <t>Total US Salaries</t>
  </si>
  <si>
    <t>Travel/Hotel Charges</t>
  </si>
  <si>
    <t>Medsource AI LLP( Von Marie Gastello)</t>
  </si>
  <si>
    <t>Total S&amp;M</t>
  </si>
  <si>
    <t>Payroll Taxes - ADP</t>
  </si>
  <si>
    <t>Management salaries - ADP</t>
  </si>
  <si>
    <t>Total Management Salaries</t>
  </si>
  <si>
    <t>Emergent (Dottie)</t>
  </si>
  <si>
    <t>Fuel Charges</t>
  </si>
  <si>
    <t>Chase Credit card</t>
  </si>
  <si>
    <t>Do we also have a separate first insurance for Cyber security?</t>
  </si>
  <si>
    <t>At Bay - Cyber Security Insurance</t>
  </si>
  <si>
    <t>Mihir</t>
  </si>
  <si>
    <t>Prakash</t>
  </si>
  <si>
    <t>HSA</t>
  </si>
  <si>
    <t>Food Expenses</t>
  </si>
  <si>
    <t>Federal tax processing fee - One Time</t>
  </si>
  <si>
    <t>Office supplies</t>
  </si>
  <si>
    <t>Total G&amp;A</t>
  </si>
  <si>
    <t>Interest for ECL Loan</t>
  </si>
  <si>
    <t>BOA 7456 (Loan)</t>
  </si>
  <si>
    <t>Total Finance costs</t>
  </si>
  <si>
    <t>Imagnum India</t>
  </si>
  <si>
    <t>With</t>
  </si>
  <si>
    <t>Without</t>
  </si>
  <si>
    <t>Existing Headcount as on Dec-25</t>
  </si>
  <si>
    <t>New Hires</t>
  </si>
  <si>
    <t>Total Headcount</t>
  </si>
  <si>
    <t>Savings from Cair Health</t>
  </si>
  <si>
    <t>No of Resources ramp down</t>
  </si>
  <si>
    <t>No of new resources at lower cost</t>
  </si>
  <si>
    <t>differential Headcount = Savings</t>
  </si>
  <si>
    <t>Total Headcount as on Feb 26th</t>
  </si>
  <si>
    <t>Category</t>
  </si>
  <si>
    <t>YTD</t>
  </si>
  <si>
    <t>Operations Headcount</t>
  </si>
  <si>
    <t>Operations Support</t>
  </si>
  <si>
    <t>New Hires - Coders</t>
  </si>
  <si>
    <t>New Hires - Freshers</t>
  </si>
  <si>
    <t>New Additions for CSCC</t>
  </si>
  <si>
    <t>New Hires Employer PF</t>
  </si>
  <si>
    <t>New Hires Employee PF</t>
  </si>
  <si>
    <t>Chennai New Facility Cost</t>
  </si>
  <si>
    <t>Chennai New Facility Cost - Maint</t>
  </si>
  <si>
    <t>2.Facility Total</t>
  </si>
  <si>
    <t>Cloud server costs</t>
  </si>
  <si>
    <t>E2E Networks  Limited - Ending from March and added cloudways from March under US exp</t>
  </si>
  <si>
    <t>Azure Cloud</t>
  </si>
  <si>
    <t>4.Licenses &amp; Subscriptions</t>
  </si>
  <si>
    <t>Clauritus Management consulting PVT. LTD</t>
  </si>
  <si>
    <t>IT Software(MBMS Development)</t>
  </si>
  <si>
    <t>Misc</t>
  </si>
  <si>
    <t>Chennai - Headcount</t>
  </si>
  <si>
    <t>Trichy - Headcount</t>
  </si>
  <si>
    <t>5.Transport Cost</t>
  </si>
  <si>
    <t>Chennai</t>
  </si>
  <si>
    <t>Trichy</t>
  </si>
  <si>
    <t>Select cabs</t>
  </si>
  <si>
    <t>Staff Welfare</t>
  </si>
  <si>
    <t>Yearly fee - Mediclaim renewal</t>
  </si>
  <si>
    <t>Rs750 per emp per quarter</t>
  </si>
  <si>
    <t>Rs100 per emp per Month</t>
  </si>
  <si>
    <t>Rs10000 - Per year in Aug</t>
  </si>
  <si>
    <t>commercial gen liability - Rs 68K per annum in Sep-26</t>
  </si>
  <si>
    <t>7.Other Salaries</t>
  </si>
  <si>
    <t>HR Manager</t>
  </si>
  <si>
    <t>8.Legal &amp; Professional Fees</t>
  </si>
  <si>
    <t>Banyan Management Support Services Pvt. Ltd.</t>
  </si>
  <si>
    <t>N V Balaji and Co. - Legal &amp; Income tax(SMCS sister concern - Tax filing)</t>
  </si>
  <si>
    <t>9.Sales &amp; Marketing</t>
  </si>
  <si>
    <t>Notice for Vignesh</t>
  </si>
  <si>
    <t>S&amp;M Manager</t>
  </si>
  <si>
    <t>Quarterly</t>
  </si>
  <si>
    <t>Kasi's travel in July</t>
  </si>
  <si>
    <t xml:space="preserve">Advertisement &amp; Promotional </t>
  </si>
  <si>
    <t>10.General &amp; Administration</t>
  </si>
  <si>
    <t>Rainbow Office Solutions - Chennai</t>
  </si>
  <si>
    <t>Office Supplies - TPJ/TTN</t>
  </si>
  <si>
    <t>FEDEX EXPRESS</t>
  </si>
  <si>
    <t xml:space="preserve">Whizc </t>
  </si>
  <si>
    <t>Pooja expense</t>
  </si>
  <si>
    <t>Annual Day</t>
  </si>
  <si>
    <t>Org Restructuring Fees</t>
  </si>
  <si>
    <t>Misc Expenses</t>
  </si>
  <si>
    <t>India Expenses Total</t>
  </si>
  <si>
    <t>India Expenses Including TP</t>
  </si>
  <si>
    <t>Opations Support</t>
  </si>
  <si>
    <t>Org Restructuring</t>
  </si>
  <si>
    <t>Check this exp and give the breakup</t>
  </si>
  <si>
    <t>Zillion Enterprises</t>
  </si>
  <si>
    <t>N V Balaji and Co. - Legal &amp; Income tax</t>
  </si>
  <si>
    <t>Kasi's travel in March</t>
  </si>
  <si>
    <t>MT &amp;above - laptop else desktop</t>
  </si>
  <si>
    <t>Amount in INR</t>
  </si>
  <si>
    <t>Computer Rental</t>
  </si>
  <si>
    <t>x</t>
  </si>
  <si>
    <t>Link it to no of desktops and laptops</t>
  </si>
  <si>
    <t>Current headcount</t>
  </si>
  <si>
    <t>Additions</t>
  </si>
  <si>
    <t>Cost</t>
  </si>
  <si>
    <t>This is based on an average of 800 INR per system- formula driven rather than exactly matching the numbers. if we match it to the penny we would have some issues when there is any spike in expenses. Moreover there are multiple cost here 640 for old. 800 for new and laptop is separate so we took the 800 INR as the average. actual cost is 136800 but we have taken higher amount the diff is 25K per month which we shall use for buying laptops or own systems</t>
  </si>
  <si>
    <t>License/Subscription/Certification charges</t>
  </si>
  <si>
    <t>G&amp;A</t>
  </si>
  <si>
    <t xml:space="preserve">Changed this to 2.75Lakhs </t>
  </si>
  <si>
    <t>Software Dev &amp; Hosting Charges</t>
  </si>
  <si>
    <t>Employee Related Expenses</t>
  </si>
  <si>
    <t>Audits</t>
  </si>
  <si>
    <t>SOC TYPE II</t>
  </si>
  <si>
    <t>HIPAA AUDIT</t>
  </si>
  <si>
    <t>ISO</t>
  </si>
  <si>
    <t>ISMS</t>
  </si>
  <si>
    <t>Telecom &amp; Data</t>
  </si>
  <si>
    <t>fixed</t>
  </si>
  <si>
    <t>Faxline</t>
  </si>
  <si>
    <t>get a new fax line if there are more than 20 AR people added</t>
  </si>
  <si>
    <t>span - 4 AR single license / 750</t>
  </si>
  <si>
    <t>Move to Other COGS</t>
  </si>
  <si>
    <t>Adobe</t>
  </si>
  <si>
    <t>Linkedin</t>
  </si>
  <si>
    <t>Udemy</t>
  </si>
  <si>
    <t>training</t>
  </si>
  <si>
    <t>GUVI GEEK NETWORK PRIVATE LIMITED</t>
  </si>
  <si>
    <t>Canva</t>
  </si>
  <si>
    <t>for support team - 5 people single license (frontline - MIS team)</t>
  </si>
  <si>
    <t>Esoftsol Infocom Private Limited</t>
  </si>
  <si>
    <t>Business standard - 22 licensse - MT &amp; above - 6000 per annum
Bus basic - 25 license - new client - 1350 per annm</t>
  </si>
  <si>
    <t>Operations</t>
  </si>
  <si>
    <t>E2E Networks Limited</t>
  </si>
  <si>
    <t>OBO health</t>
  </si>
  <si>
    <t>Naukri+Others</t>
  </si>
  <si>
    <t>Access 2000 CV's , 20000 mails and 5 hot postings - 60000+18% gst</t>
  </si>
  <si>
    <t>Staff Transportation charges</t>
  </si>
  <si>
    <t>average headcount and amount so that it can be linked to budgeted headcount</t>
  </si>
  <si>
    <t>Other travels</t>
  </si>
  <si>
    <t xml:space="preserve">VKS Travels </t>
  </si>
  <si>
    <t>avg 3 employees per trip. Trip-1600/ day/ cab. Currently we have 8 cabs. Add annual day transport expense seperately</t>
  </si>
  <si>
    <t>Software development &amp; Hosting charges</t>
  </si>
  <si>
    <t>Godaddy</t>
  </si>
  <si>
    <t>Credit card bill</t>
  </si>
  <si>
    <t>Dropbox</t>
  </si>
  <si>
    <t>Advanced MD White Label</t>
  </si>
  <si>
    <t>Bridgehouse Integrated Solutions</t>
  </si>
  <si>
    <t>Forecast-check with Kasi</t>
  </si>
  <si>
    <t>Legal &amp; Professional fee</t>
  </si>
  <si>
    <t>Board Advisory</t>
  </si>
  <si>
    <t xml:space="preserve">Prashant </t>
  </si>
  <si>
    <t>Link it to employee</t>
  </si>
  <si>
    <t>Engagement Activity</t>
  </si>
  <si>
    <t>500 per quarter</t>
  </si>
  <si>
    <t>Employee Engagement (Incremental)</t>
  </si>
  <si>
    <t>Employee Welfare</t>
  </si>
  <si>
    <t xml:space="preserve">UPI - Imprest </t>
  </si>
  <si>
    <t>Employee Insurance</t>
  </si>
  <si>
    <t>this is 5.20 Lak in 2024 but incrwased to 6L for safer side for 2025</t>
  </si>
  <si>
    <t>Swipe Device</t>
  </si>
  <si>
    <t>Food Coupon Wallet - this should go as CTC accrual in the manpower cost</t>
  </si>
  <si>
    <t xml:space="preserve">Is it part of CTC or ? </t>
  </si>
  <si>
    <t xml:space="preserve">General Liability Insurance </t>
  </si>
  <si>
    <t>House Keeping charges</t>
  </si>
  <si>
    <t>Truecare Security</t>
  </si>
  <si>
    <t>Moved to Facility costs</t>
  </si>
  <si>
    <t>Digital Marketing</t>
  </si>
  <si>
    <t>Salary Cost</t>
  </si>
  <si>
    <t>Updated this numbers based on the current salary, information on the people is atached to the email I have sent, includes 2 more people and their combines salary is $369 and converted at $84 from mar'25</t>
  </si>
  <si>
    <t>Advertisement &amp; Marketing</t>
  </si>
  <si>
    <t>This includes exising cost and new cost approved - information in Digitsal marketing sheet</t>
  </si>
  <si>
    <t>Various additional costs:</t>
  </si>
  <si>
    <t>Hiring of Lead Gen - Manager</t>
  </si>
  <si>
    <t>Indirect Salary</t>
  </si>
  <si>
    <t>hiring of one BD person at 50K with 2.5 yrs expeeienced approced by Prakasj</t>
  </si>
  <si>
    <t>Adding 6 more Tech people</t>
  </si>
  <si>
    <t>This has to be included to the Ops cost including the AdvancedMD + MongoDB + OBO Cost + e2e cost which we have already accounted under Operations cost including Availity (6500+500+4000+1500)</t>
  </si>
  <si>
    <t>Travel Cost (Marketing)</t>
  </si>
  <si>
    <t>Travelling Costs</t>
  </si>
  <si>
    <t>India Travel Cost</t>
  </si>
  <si>
    <t>India Centre Travel to US  cost</t>
  </si>
  <si>
    <t>Conferences</t>
  </si>
  <si>
    <t>Directly captured</t>
  </si>
  <si>
    <t>Legal &amp; Professional</t>
  </si>
  <si>
    <t>Recruitment charges -HR Recruiter</t>
  </si>
  <si>
    <t>Software/subscriptions</t>
  </si>
  <si>
    <t>Removed 20K from Mar till Dec</t>
  </si>
  <si>
    <t>Recruitment charges - Naukri</t>
  </si>
  <si>
    <t>New facility</t>
  </si>
  <si>
    <t>Not considered</t>
  </si>
  <si>
    <t>Various Compliances</t>
  </si>
  <si>
    <t>Compliance</t>
  </si>
  <si>
    <t>MBMS Insurance</t>
  </si>
  <si>
    <t>Cyber insurance &amp; errors and omissions insurance</t>
  </si>
  <si>
    <t>Imagnum Health</t>
  </si>
  <si>
    <t>Consolidated Income Statement</t>
  </si>
  <si>
    <t>USD/INR</t>
  </si>
  <si>
    <t>2024  Actuals</t>
  </si>
  <si>
    <t>%</t>
  </si>
  <si>
    <t>2024 Budget</t>
  </si>
  <si>
    <t>Bud Variance</t>
  </si>
  <si>
    <t>Actual Variance</t>
  </si>
  <si>
    <t>Current</t>
  </si>
  <si>
    <t>Salaries</t>
  </si>
  <si>
    <t>Facilities</t>
  </si>
  <si>
    <t>Telecom/Data &amp; others</t>
  </si>
  <si>
    <t>Other Cogs</t>
  </si>
  <si>
    <t>Total Cogs</t>
  </si>
  <si>
    <t>Incremental P&amp;L</t>
  </si>
  <si>
    <t>Includes mBMS insurance as well</t>
  </si>
  <si>
    <t>Telecom</t>
  </si>
  <si>
    <t>Headcount buildup comparison by dept level</t>
  </si>
  <si>
    <t>Sales &amp; Marketing expenses</t>
  </si>
  <si>
    <t>Overall S&amp;M expenses</t>
  </si>
  <si>
    <t>Selling &amp; Marketing</t>
  </si>
  <si>
    <t>Legal &amp; Professional Expenses</t>
  </si>
  <si>
    <t>Legal and Professional Fees</t>
  </si>
  <si>
    <t>Other G&amp;A Expenses</t>
  </si>
  <si>
    <t>Overall G&amp;A expenses</t>
  </si>
  <si>
    <t>Legal &amp; Professinal Expenses</t>
  </si>
  <si>
    <t>Ebidta</t>
  </si>
  <si>
    <t>Ebidta %</t>
  </si>
  <si>
    <t>Interest/Finance Charges</t>
  </si>
  <si>
    <t>Rev/ FTE</t>
  </si>
  <si>
    <t>Revenue/Operational Directs</t>
  </si>
  <si>
    <t>Cost/ FTE</t>
  </si>
  <si>
    <t>Indian costs/Operational Directs</t>
  </si>
  <si>
    <t>iMagnum — Clubbed Profitability (Grouped by Project) - Actuals</t>
  </si>
  <si>
    <t>Project Group</t>
  </si>
  <si>
    <t>Rev %</t>
  </si>
  <si>
    <t>FTE generated</t>
  </si>
  <si>
    <t>Direct</t>
  </si>
  <si>
    <t>Ops Leadership FTE</t>
  </si>
  <si>
    <t>Ops Support</t>
  </si>
  <si>
    <t>Quality</t>
  </si>
  <si>
    <t>Direct salary - cost</t>
  </si>
  <si>
    <t>QA + Ops Support Sal</t>
  </si>
  <si>
    <t>Common Cost</t>
  </si>
  <si>
    <t>Transportation charges</t>
  </si>
  <si>
    <t>CM</t>
  </si>
  <si>
    <t>CM %</t>
  </si>
  <si>
    <t>Ops Leadership Cost</t>
  </si>
  <si>
    <t>Total expenses</t>
  </si>
  <si>
    <t>Gross Profit</t>
  </si>
  <si>
    <t>GP %</t>
  </si>
  <si>
    <t>Deployed</t>
  </si>
  <si>
    <t xml:space="preserve">Rev per employee </t>
  </si>
  <si>
    <t>Price per Employee</t>
  </si>
  <si>
    <t>Source Client</t>
  </si>
  <si>
    <t>ALL MRS</t>
  </si>
  <si>
    <t>The Physical Therapy Institute</t>
  </si>
  <si>
    <t>Comprehensive Sleep Care Center</t>
  </si>
  <si>
    <t>D'Souza &amp; Associates, Inc</t>
  </si>
  <si>
    <t>eC3 LLC</t>
  </si>
  <si>
    <t>Emergence Health Holdings</t>
  </si>
  <si>
    <t>MBMS</t>
  </si>
  <si>
    <t>Medrina</t>
  </si>
  <si>
    <t>Nova Physician Wellness Center</t>
  </si>
  <si>
    <t>Premier Sleep Disorders Center</t>
  </si>
  <si>
    <t>Primetime Physical Therapy</t>
  </si>
  <si>
    <t>Synaposis</t>
  </si>
  <si>
    <t>Source It Dental</t>
  </si>
  <si>
    <t>Staff a Dental LLC</t>
  </si>
  <si>
    <t>Univ. Of Delaware</t>
  </si>
  <si>
    <t>Assinged to Matrix care</t>
  </si>
  <si>
    <t>Credentialling</t>
  </si>
  <si>
    <t>PSYCHOTHERAPY LLC</t>
  </si>
  <si>
    <t>Project not assigned</t>
  </si>
  <si>
    <t>New Horizon cancer care</t>
  </si>
  <si>
    <t>Practivity</t>
  </si>
  <si>
    <t>Med share</t>
  </si>
  <si>
    <t>Pulmonary Sleep study</t>
  </si>
  <si>
    <t>Southwest Family Medicine Associates</t>
  </si>
  <si>
    <t>Dr.Dharma</t>
  </si>
  <si>
    <t>iMagnum — Clubbed Profitability (Grouped by Project) - Forecast</t>
  </si>
  <si>
    <t>Project (Clubbed)</t>
  </si>
  <si>
    <t xml:space="preserve">Direct </t>
  </si>
  <si>
    <t xml:space="preserve">Ops Leadership FTE </t>
  </si>
  <si>
    <t>Ops Leadership (till Sr Dr) Cost</t>
  </si>
  <si>
    <t>Source Client (col B)</t>
  </si>
  <si>
    <t>Group (Tagged)</t>
  </si>
  <si>
    <t>Variance Analysis: Actual vs Forecast (Actual - Forecast)</t>
  </si>
  <si>
    <t>Gross Margin as per forecast</t>
  </si>
  <si>
    <t>Gross Margin as per Actual</t>
  </si>
  <si>
    <t>Gross Margin-Variance</t>
  </si>
  <si>
    <t>SDL</t>
  </si>
  <si>
    <t xml:space="preserve">Sathya </t>
  </si>
  <si>
    <t>Ashok</t>
  </si>
  <si>
    <t>iMagnum - Consolidated Profitability by Project - Forecasted</t>
  </si>
  <si>
    <t xml:space="preserve">Gross Margins </t>
  </si>
  <si>
    <t xml:space="preserve"> </t>
  </si>
  <si>
    <t>Amount in USD</t>
  </si>
  <si>
    <t>Deployment</t>
  </si>
  <si>
    <t>Generated</t>
  </si>
  <si>
    <t>Client Name</t>
  </si>
  <si>
    <t>Experience</t>
  </si>
  <si>
    <t>Fresher</t>
  </si>
  <si>
    <t>Nexa Health</t>
  </si>
  <si>
    <t>Source It Dental</t>
  </si>
  <si>
    <t>Cost to be apportioned</t>
  </si>
  <si>
    <t xml:space="preserve">iMagnum - Consolidated Profitability by Project - Actuals </t>
  </si>
  <si>
    <t>June</t>
  </si>
  <si>
    <t>Project Name</t>
  </si>
  <si>
    <t>Cair Health</t>
  </si>
  <si>
    <t>26 Foot and Ankle</t>
  </si>
  <si>
    <t>Budgeted 2026</t>
  </si>
  <si>
    <t>&gt;&gt;&gt;&gt;</t>
  </si>
  <si>
    <t>MIS Actuals</t>
  </si>
  <si>
    <t>Client-wise Gross Margin</t>
  </si>
  <si>
    <r>
      <t xml:space="preserve">I-Magnum </t>
    </r>
    <r>
      <rPr>
        <sz val="20"/>
        <color theme="1"/>
        <rFont val="Aptos"/>
        <family val="2"/>
      </rPr>
      <t>Healthcare Solution Inc.</t>
    </r>
  </si>
  <si>
    <t>CONSOLIDATED P&amp;L in $'s</t>
  </si>
  <si>
    <t>Actuals</t>
  </si>
  <si>
    <t>Forecast</t>
  </si>
  <si>
    <t>Remarks</t>
  </si>
  <si>
    <t>Detailed comments</t>
  </si>
  <si>
    <t>Other Information Technology Services</t>
  </si>
  <si>
    <t>New Business</t>
  </si>
  <si>
    <t xml:space="preserve">   </t>
  </si>
  <si>
    <t>Operational Expenses</t>
  </si>
  <si>
    <t>India Salaries</t>
  </si>
  <si>
    <t>Emp Statutory Expenses</t>
  </si>
  <si>
    <t>Trichy Rental Charges</t>
  </si>
  <si>
    <t>ask - MBMS (IT Software dev)</t>
  </si>
  <si>
    <t>.</t>
  </si>
  <si>
    <t>Total Operational Expenses</t>
  </si>
  <si>
    <t>Gross Margin</t>
  </si>
  <si>
    <t>Indirect Incomes</t>
  </si>
  <si>
    <t>Sales and Marketing Expenses</t>
  </si>
  <si>
    <t>us salaries 16293</t>
  </si>
  <si>
    <t>india salaries</t>
  </si>
  <si>
    <t>S&amp;M US</t>
  </si>
  <si>
    <t xml:space="preserve">us exps </t>
  </si>
  <si>
    <t>Total S&amp;M Expenses</t>
  </si>
  <si>
    <t>Management Salaries (India)</t>
  </si>
  <si>
    <t>Management Salaries (US)</t>
  </si>
  <si>
    <t xml:space="preserve">aatralai take it off </t>
  </si>
  <si>
    <t>Payroll taxes(ADP)</t>
  </si>
  <si>
    <t>2028-india</t>
  </si>
  <si>
    <t>5513-us</t>
  </si>
  <si>
    <t>5000-us</t>
  </si>
  <si>
    <t>consultancy - 1877</t>
  </si>
  <si>
    <t>from june 2000 indtead of 2500</t>
  </si>
  <si>
    <t>Total SG&amp;A Expenses</t>
  </si>
  <si>
    <t>EBITDA Margin</t>
  </si>
  <si>
    <t>Total Burn</t>
  </si>
  <si>
    <t xml:space="preserve">Move to other cogs </t>
  </si>
  <si>
    <t>Prakash, Mihir and Randy</t>
  </si>
  <si>
    <t>?</t>
  </si>
  <si>
    <t>Include india 69000</t>
  </si>
  <si>
    <t>CHECK THE ACTUALS WITH CHARMISHA</t>
  </si>
  <si>
    <t>Trichy Max Office rental charges</t>
  </si>
  <si>
    <t>I-Magnum Healthcare Solution Inc.</t>
  </si>
  <si>
    <t>Budget vs Actuals - May &amp; June 2026 (Consolidated, USD)</t>
  </si>
  <si>
    <t>Budget</t>
  </si>
  <si>
    <t>Actual</t>
  </si>
  <si>
    <t>Var F/(U)</t>
  </si>
  <si>
    <t>Var %</t>
  </si>
  <si>
    <t>Operational Expenses (COGS)</t>
  </si>
  <si>
    <t xml:space="preserve">   Manpower - Salaries</t>
  </si>
  <si>
    <t xml:space="preserve">   Employee Statutory Expenses</t>
  </si>
  <si>
    <t xml:space="preserve">   Total Manpower</t>
  </si>
  <si>
    <t xml:space="preserve">   Facility Cost</t>
  </si>
  <si>
    <t xml:space="preserve">   Telcom / Data &amp; Others</t>
  </si>
  <si>
    <t>Budget restated: Software Expenses moved out of Telcom into Other COGS to match MIS classification (per Proforma remark)</t>
  </si>
  <si>
    <t xml:space="preserve">   Transport</t>
  </si>
  <si>
    <t xml:space="preserve">   Other COGS</t>
  </si>
  <si>
    <t>Budget restated: + Software Expenses, - Interest on OD (MIS reports Interest on OD in Finance Cost)</t>
  </si>
  <si>
    <t>Gross Margin %</t>
  </si>
  <si>
    <t>SG&amp;A Expenses</t>
  </si>
  <si>
    <t xml:space="preserve">   Selling Expenses</t>
  </si>
  <si>
    <t xml:space="preserve">   Salaries - Management &amp; Others</t>
  </si>
  <si>
    <t xml:space="preserve">   Legal &amp; Professional Fees</t>
  </si>
  <si>
    <t>Budget = FPO Charges - SRF + Legal &amp; Professional Fees (MIS groups both under Legal &amp; Professional Fees)</t>
  </si>
  <si>
    <t xml:space="preserve">   G&amp;A Salaries</t>
  </si>
  <si>
    <t xml:space="preserve">   Gen &amp; Admin Expenses</t>
  </si>
  <si>
    <t xml:space="preserve">   Total G&amp;A</t>
  </si>
  <si>
    <t>EBITDA Margin %</t>
  </si>
  <si>
    <t>Below EBITDA</t>
  </si>
  <si>
    <t xml:space="preserve">   Finance Cost</t>
  </si>
  <si>
    <t>Budget = Interest on OD only (reclassified from Other COGS). Actual includes bank charges, exchange gain/loss, interest paid.</t>
  </si>
  <si>
    <t xml:space="preserve">   Rates &amp; Taxes</t>
  </si>
  <si>
    <t>Not budgeted in Proforma P&amp;L</t>
  </si>
  <si>
    <t xml:space="preserve">   Depreciation</t>
  </si>
  <si>
    <t xml:space="preserve">   Total Below EBITDA</t>
  </si>
  <si>
    <t>Memo - Tie-out to Proforma P&amp;L and MIS</t>
  </si>
  <si>
    <t xml:space="preserve">   EBITDA per Proforma P&amp;L (as published)</t>
  </si>
  <si>
    <t xml:space="preserve">   Add back: Interest on OD reclassified below EBITDA</t>
  </si>
  <si>
    <t xml:space="preserve">   Restated budget EBITDA (MIS basis)</t>
  </si>
  <si>
    <t xml:space="preserve">   Check vs EBITDA above (should be nil)</t>
  </si>
  <si>
    <t xml:space="preserve">   Actual EBITDA per Jun'26 MIS</t>
  </si>
  <si>
    <t xml:space="preserve">   Check vs EBITDA above (rounding only)</t>
  </si>
  <si>
    <t>MIS Actuals - Consolidated P&amp;L, Jan to June 2026 (USD, post-elimination Total)</t>
  </si>
  <si>
    <t>Memo - months that appear in two MIS packs (restatement check)</t>
  </si>
  <si>
    <t>This sheet uses each month's OWN dedicated MIS pack (the month in the left-hand block). Mar / Apr / May also appear as comparatives in the following month's pack, with different numbers.</t>
  </si>
  <si>
    <t xml:space="preserve">   Total Revenue - per this sheet (own pack)</t>
  </si>
  <si>
    <t xml:space="preserve">   Total Revenue - as restated in following month's pack</t>
  </si>
  <si>
    <t xml:space="preserve">   Difference</t>
  </si>
  <si>
    <t xml:space="preserve">   EBITDA - per this sheet (own pack)</t>
  </si>
  <si>
    <t xml:space="preserve">   EBITDA - as restated in following month's pack</t>
  </si>
  <si>
    <t>BayLife</t>
  </si>
  <si>
    <t>Boost Clinic</t>
  </si>
  <si>
    <t>Medrina IP Coding</t>
  </si>
  <si>
    <t>Medrina Document Retrival</t>
  </si>
  <si>
    <t xml:space="preserve">Synaposis </t>
  </si>
  <si>
    <t>HCA -Prime Suite AR</t>
  </si>
  <si>
    <t>Athena Hold</t>
  </si>
  <si>
    <t>Med Share Neurosurgery</t>
  </si>
  <si>
    <t>Assembly Health Manager- cscc</t>
  </si>
  <si>
    <t>Assembly Health Manager</t>
  </si>
  <si>
    <t>Sathya</t>
  </si>
  <si>
    <r>
      <t xml:space="preserve">Period: </t>
    </r>
    <r>
      <rPr>
        <b/>
        <sz val="11"/>
        <rFont val="Calibri"/>
        <family val="2"/>
      </rPr>
      <t>July 2026</t>
    </r>
  </si>
  <si>
    <t>RK Raj Property Rental Charges</t>
  </si>
  <si>
    <t>RK Raj Property Maintenance Charges</t>
  </si>
  <si>
    <t>15 %</t>
  </si>
  <si>
    <t>39 %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</si>
</sst>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quot;$&quot;* #,##0.00_);_(&quot;$&quot;* \(#,##0.00\);_(&quot;$&quot;* &quot;-&quot;??_);_(@_)"/>
    <numFmt numFmtId="165" formatCode="_(* #,##0.00_);_(* \(#,##0.00\);_(* &quot;-&quot;??_);_(@_)"/>
    <numFmt numFmtId="166" formatCode="_ * #,##0.00_ ;_ * \-#,##0.00_ ;_ * &quot;-&quot;??_ ;_ @_ "/>
    <numFmt numFmtId="167" formatCode="_ * #,##0_ ;_ * \-#,##0_ ;_ * &quot;-&quot;??_ ;_ @_ "/>
    <numFmt numFmtId="168" formatCode="_(&quot;$&quot;* #,##0_);_(&quot;$&quot;* \(#,##0\);_(&quot;$&quot;* &quot;-&quot;??_);_(@_)"/>
    <numFmt numFmtId="169" formatCode="_(* #,##0_);_(* \(#,##0\);_(* &quot;-&quot;??_);_(@_)"/>
    <numFmt numFmtId="170" formatCode="#,##0;\(#,##0\)"/>
    <numFmt numFmtId="171" formatCode="&quot;USD&quot;\ 0"/>
    <numFmt numFmtId="172" formatCode="&quot;USD&quot;\ 0\ &quot;Per Paycycle&quot;"/>
    <numFmt numFmtId="173" formatCode="&quot;INR&quot;\ 0"/>
    <numFmt numFmtId="174" formatCode="&quot;INR&quot;\ 0\ &quot;Per Employee&quot;"/>
    <numFmt numFmtId="175" formatCode="_([$$-409]* #,##0_);_([$$-409]* \(#,##0\);_([$$-409]* &quot;-&quot;??_);_(@_)"/>
    <numFmt numFmtId="176" formatCode="_([$$-409]* #,##0.00_);_([$$-409]* \(#,##0.00\);_([$$-409]* &quot;-&quot;??_);_(@_)"/>
    <numFmt numFmtId="177" formatCode="#,##0;\(#,##0\);&quot;-&quot;"/>
    <numFmt numFmtId="178" formatCode="0.0%"/>
    <numFmt numFmtId="179" formatCode="_-[$$-409]* #,##0_ ;_-[$$-409]* \-#,##0\ ;_-[$$-409]* &quot;-&quot;??_ ;_-@_ "/>
    <numFmt numFmtId="180" formatCode="&quot;$&quot;#,##0;\(&quot;$&quot;#,##0\);&quot;-&quot;"/>
    <numFmt numFmtId="181" formatCode="0.0%;\(0.0%\);&quot;-&quot;"/>
    <numFmt numFmtId="182" formatCode="mmm\ yyyy"/>
  </numFmts>
  <fonts count="117">
    <font>
      <sz val="11"/>
      <name val="Carlito"/>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color indexed="8"/>
      <name val="Calibri"/>
      <family val="2"/>
      <scheme val="minor"/>
    </font>
    <font>
      <sz val="12"/>
      <color indexed="8"/>
      <name val="Calibri"/>
      <family val="2"/>
      <scheme val="minor"/>
    </font>
    <font>
      <sz val="12"/>
      <color theme="1"/>
      <name val="Calibri"/>
      <family val="2"/>
      <scheme val="minor"/>
    </font>
    <font>
      <b/>
      <sz val="14"/>
      <name val="Calibri"/>
      <family val="2"/>
    </font>
    <font>
      <b/>
      <sz val="11"/>
      <name val="Calibri"/>
      <family val="2"/>
    </font>
    <font>
      <b/>
      <sz val="11"/>
      <name val="Times New Roman"/>
      <family val="1"/>
    </font>
    <font>
      <b/>
      <sz val="10"/>
      <name val="Times New Roman"/>
      <family val="1"/>
    </font>
    <font>
      <sz val="10"/>
      <name val="Times New Roman"/>
      <family val="1"/>
    </font>
    <font>
      <b/>
      <sz val="12"/>
      <name val="Times New Roman"/>
      <family val="1"/>
    </font>
    <font>
      <sz val="12"/>
      <color theme="1"/>
      <name val="Times New Roman"/>
      <family val="1"/>
    </font>
    <font>
      <b/>
      <sz val="12"/>
      <color theme="1"/>
      <name val="Times New Roman"/>
      <family val="1"/>
    </font>
    <font>
      <sz val="11"/>
      <color theme="1"/>
      <name val="Times New Roman"/>
      <family val="1"/>
    </font>
    <font>
      <sz val="12"/>
      <name val="Times New Roman"/>
      <family val="1"/>
    </font>
    <font>
      <sz val="12"/>
      <color theme="0"/>
      <name val="Times New Roman"/>
      <family val="1"/>
    </font>
    <font>
      <b/>
      <sz val="12"/>
      <color theme="0"/>
      <name val="Times New Roman"/>
      <family val="1"/>
    </font>
    <font>
      <b/>
      <sz val="12"/>
      <color theme="1"/>
      <name val="Calibri"/>
      <family val="2"/>
      <scheme val="minor"/>
    </font>
    <font>
      <sz val="11"/>
      <color rgb="FF000000"/>
      <name val="Arial"/>
      <family val="2"/>
    </font>
    <font>
      <b/>
      <sz val="10"/>
      <color theme="1"/>
      <name val="Times New Roman"/>
      <family val="1"/>
    </font>
    <font>
      <b/>
      <sz val="10"/>
      <color theme="5" tint="-0.499984740745262"/>
      <name val="Times New Roman"/>
      <family val="1"/>
    </font>
    <font>
      <sz val="10"/>
      <color theme="1"/>
      <name val="Times New Roman"/>
      <family val="1"/>
    </font>
    <font>
      <sz val="11"/>
      <name val="Calibri"/>
      <family val="2"/>
      <scheme val="minor"/>
    </font>
    <font>
      <b/>
      <sz val="11"/>
      <color rgb="FFFF0000"/>
      <name val="Calibri"/>
      <family val="2"/>
      <scheme val="minor"/>
    </font>
    <font>
      <sz val="10"/>
      <color theme="1"/>
      <name val="Calibri"/>
      <family val="2"/>
      <scheme val="minor"/>
    </font>
    <font>
      <b/>
      <sz val="12"/>
      <color theme="0"/>
      <name val="Calibri"/>
      <family val="2"/>
      <scheme val="minor"/>
    </font>
    <font>
      <sz val="10"/>
      <color rgb="FF212529"/>
      <name val="Calibri"/>
      <family val="2"/>
      <scheme val="minor"/>
    </font>
    <font>
      <b/>
      <sz val="10"/>
      <color rgb="FF212529"/>
      <name val="Times New Roman"/>
      <family val="1"/>
    </font>
    <font>
      <sz val="10"/>
      <color rgb="FF212529"/>
      <name val="Times New Roman"/>
      <family val="1"/>
    </font>
    <font>
      <b/>
      <sz val="10"/>
      <color theme="1"/>
      <name val="Calibri"/>
      <family val="2"/>
      <scheme val="minor"/>
    </font>
    <font>
      <b/>
      <sz val="10"/>
      <color theme="0"/>
      <name val="Times New Roman"/>
      <family val="1"/>
    </font>
    <font>
      <sz val="10"/>
      <color theme="0"/>
      <name val="Times New Roman"/>
      <family val="1"/>
    </font>
    <font>
      <b/>
      <sz val="10"/>
      <color rgb="FF000000"/>
      <name val="Times New Roman"/>
      <family val="1"/>
    </font>
    <font>
      <sz val="10"/>
      <color rgb="FF000000"/>
      <name val="Times New Roman"/>
      <family val="1"/>
    </font>
    <font>
      <i/>
      <sz val="10"/>
      <color indexed="8"/>
      <name val="Times New Roman"/>
      <family val="1"/>
    </font>
    <font>
      <b/>
      <sz val="9"/>
      <color indexed="81"/>
      <name val="Tahoma"/>
      <family val="2"/>
    </font>
    <font>
      <sz val="9"/>
      <color indexed="81"/>
      <name val="Tahoma"/>
      <family val="2"/>
    </font>
    <font>
      <b/>
      <sz val="14"/>
      <name val="Calibri"/>
      <family val="2"/>
      <scheme val="minor"/>
    </font>
    <font>
      <b/>
      <sz val="16"/>
      <name val="Calibri"/>
      <family val="2"/>
      <scheme val="minor"/>
    </font>
    <font>
      <sz val="12"/>
      <name val="Calibri"/>
      <family val="2"/>
      <scheme val="minor"/>
    </font>
    <font>
      <b/>
      <sz val="14"/>
      <color theme="1"/>
      <name val="Calibri"/>
      <family val="2"/>
      <scheme val="minor"/>
    </font>
    <font>
      <b/>
      <sz val="16"/>
      <color theme="1"/>
      <name val="Calibri"/>
      <family val="2"/>
      <scheme val="minor"/>
    </font>
    <font>
      <i/>
      <sz val="10"/>
      <name val="Calibri"/>
      <family val="2"/>
      <scheme val="minor"/>
    </font>
    <font>
      <i/>
      <sz val="10"/>
      <color theme="1"/>
      <name val="Calibri"/>
      <family val="2"/>
      <scheme val="minor"/>
    </font>
    <font>
      <b/>
      <sz val="12"/>
      <name val="Calibri"/>
      <family val="2"/>
      <scheme val="minor"/>
    </font>
    <font>
      <b/>
      <sz val="11"/>
      <name val="Calibri"/>
      <family val="2"/>
      <scheme val="minor"/>
    </font>
    <font>
      <sz val="10"/>
      <name val="Arial"/>
      <family val="2"/>
    </font>
    <font>
      <b/>
      <sz val="14"/>
      <color rgb="FF1F4E78"/>
      <name val="Calibri"/>
      <family val="2"/>
      <scheme val="minor"/>
    </font>
    <font>
      <i/>
      <sz val="11"/>
      <color rgb="FF808080"/>
      <name val="Calibri"/>
      <family val="2"/>
      <scheme val="minor"/>
    </font>
    <font>
      <b/>
      <sz val="11"/>
      <color rgb="FFFFFFFF"/>
      <name val="Calibri"/>
      <family val="2"/>
    </font>
    <font>
      <b/>
      <sz val="11"/>
      <color theme="0"/>
      <name val="Calibri"/>
      <family val="2"/>
    </font>
    <font>
      <b/>
      <sz val="11"/>
      <color rgb="FFA6A6A6"/>
      <name val="Calibri"/>
      <family val="2"/>
      <scheme val="minor"/>
    </font>
    <font>
      <sz val="11"/>
      <color theme="1"/>
      <name val="Calibri"/>
      <family val="2"/>
    </font>
    <font>
      <sz val="11"/>
      <color rgb="FFA6A6A6"/>
      <name val="Calibri"/>
      <family val="2"/>
      <scheme val="minor"/>
    </font>
    <font>
      <b/>
      <sz val="11"/>
      <color theme="1"/>
      <name val="Calibri"/>
      <family val="2"/>
    </font>
    <font>
      <i/>
      <sz val="10"/>
      <color rgb="FF555555"/>
      <name val="Calibri"/>
      <family val="2"/>
      <scheme val="minor"/>
    </font>
    <font>
      <b/>
      <sz val="12"/>
      <color theme="0"/>
      <name val="Calibri"/>
      <family val="2"/>
    </font>
    <font>
      <sz val="11"/>
      <color theme="2" tint="-0.249977111117893"/>
      <name val="Calibri"/>
      <family val="2"/>
      <scheme val="minor"/>
    </font>
    <font>
      <i/>
      <sz val="11"/>
      <color theme="1"/>
      <name val="Calibri"/>
      <family val="2"/>
    </font>
    <font>
      <b/>
      <i/>
      <sz val="11"/>
      <color theme="1"/>
      <name val="Calibri"/>
      <family val="2"/>
    </font>
    <font>
      <b/>
      <sz val="12"/>
      <color theme="1"/>
      <name val="Calibri"/>
      <family val="2"/>
    </font>
    <font>
      <sz val="12"/>
      <color theme="1"/>
      <name val="Calibri"/>
      <family val="2"/>
    </font>
    <font>
      <i/>
      <sz val="12"/>
      <color theme="1"/>
      <name val="Calibri"/>
      <family val="2"/>
    </font>
    <font>
      <b/>
      <i/>
      <sz val="12"/>
      <color theme="1"/>
      <name val="Calibri"/>
      <family val="2"/>
    </font>
    <font>
      <sz val="11"/>
      <color theme="1"/>
      <name val="Calbri"/>
    </font>
    <font>
      <b/>
      <sz val="18"/>
      <name val="Carlito"/>
    </font>
    <font>
      <b/>
      <sz val="14"/>
      <name val="Carlito"/>
    </font>
    <font>
      <b/>
      <sz val="16"/>
      <name val="Carlito"/>
    </font>
    <font>
      <b/>
      <sz val="20"/>
      <color theme="1"/>
      <name val="Aptos"/>
      <family val="2"/>
    </font>
    <font>
      <sz val="20"/>
      <color theme="1"/>
      <name val="Aptos"/>
      <family val="2"/>
    </font>
    <font>
      <sz val="10"/>
      <color theme="1"/>
      <name val="Aptos"/>
      <family val="2"/>
    </font>
    <font>
      <sz val="10"/>
      <name val="Aptos"/>
      <family val="2"/>
    </font>
    <font>
      <b/>
      <sz val="10"/>
      <color theme="1"/>
      <name val="Aptos"/>
      <family val="2"/>
    </font>
    <font>
      <b/>
      <sz val="10"/>
      <color theme="0"/>
      <name val="Aptos"/>
      <family val="2"/>
    </font>
    <font>
      <b/>
      <sz val="10"/>
      <color theme="3" tint="0.499984740745262"/>
      <name val="Aptos"/>
      <family val="2"/>
    </font>
    <font>
      <b/>
      <sz val="10"/>
      <name val="Aptos"/>
      <family val="2"/>
    </font>
    <font>
      <sz val="10"/>
      <color theme="3" tint="0.499984740745262"/>
      <name val="Aptos"/>
      <family val="2"/>
    </font>
    <font>
      <b/>
      <sz val="10"/>
      <color rgb="FFFF0000"/>
      <name val="Aptos"/>
      <family val="2"/>
    </font>
    <font>
      <i/>
      <sz val="9"/>
      <color theme="1"/>
      <name val="Aptos"/>
      <family val="2"/>
    </font>
    <font>
      <i/>
      <sz val="9"/>
      <color theme="3" tint="0.499984740745262"/>
      <name val="Aptos"/>
      <family val="2"/>
    </font>
    <font>
      <i/>
      <sz val="9"/>
      <name val="Aptos"/>
      <family val="2"/>
    </font>
    <font>
      <b/>
      <i/>
      <sz val="9"/>
      <color theme="3" tint="0.499984740745262"/>
      <name val="Aptos"/>
      <family val="2"/>
    </font>
    <font>
      <b/>
      <i/>
      <sz val="9"/>
      <name val="Aptos"/>
      <family val="2"/>
    </font>
    <font>
      <sz val="10"/>
      <color theme="0"/>
      <name val="Aptos"/>
      <family val="2"/>
    </font>
    <font>
      <sz val="10"/>
      <color theme="1"/>
      <name val="Calibri Light"/>
      <family val="2"/>
      <scheme val="major"/>
    </font>
    <font>
      <sz val="10"/>
      <color theme="3" tint="0.499984740745262"/>
      <name val="Calibri"/>
      <family val="2"/>
      <scheme val="minor"/>
    </font>
    <font>
      <sz val="10"/>
      <color rgb="FFFF0000"/>
      <name val="Aptos"/>
      <family val="2"/>
    </font>
    <font>
      <sz val="10"/>
      <color rgb="FF0070C0"/>
      <name val="Aptos"/>
      <family val="2"/>
    </font>
    <font>
      <b/>
      <sz val="10"/>
      <color rgb="FF0070C0"/>
      <name val="Aptos"/>
      <family val="2"/>
    </font>
    <font>
      <b/>
      <sz val="13"/>
      <name val="Calibri"/>
      <family val="2"/>
    </font>
    <font>
      <b/>
      <sz val="10"/>
      <name val="Calibri"/>
      <family val="2"/>
    </font>
    <font>
      <sz val="10"/>
      <name val="Calibri"/>
      <family val="2"/>
    </font>
    <font>
      <b/>
      <sz val="10"/>
      <color rgb="FFFFFFFF"/>
      <name val="Calibri"/>
      <family val="2"/>
    </font>
    <font>
      <i/>
      <sz val="10"/>
      <name val="Calibri"/>
      <family val="2"/>
    </font>
    <font>
      <b/>
      <i/>
      <sz val="10"/>
      <name val="Calibri"/>
      <family val="2"/>
    </font>
    <font>
      <sz val="10"/>
      <color rgb="FF008000"/>
      <name val="Calibri"/>
      <family val="2"/>
    </font>
    <font>
      <sz val="10"/>
      <color rgb="FF000000"/>
      <name val="Calibri"/>
      <family val="2"/>
    </font>
    <font>
      <i/>
      <sz val="10"/>
      <color rgb="FF000000"/>
      <name val="Calibri"/>
      <family val="2"/>
    </font>
    <font>
      <i/>
      <sz val="10"/>
      <color rgb="FF008000"/>
      <name val="Calibri"/>
      <family val="2"/>
    </font>
    <font>
      <b/>
      <sz val="13"/>
      <name val="Calibri"/>
      <family val="2"/>
    </font>
    <font>
      <b/>
      <sz val="11"/>
      <name val="Calibri"/>
      <family val="2"/>
    </font>
    <font>
      <b/>
      <sz val="10"/>
      <name val="Calibri"/>
      <family val="2"/>
    </font>
    <font>
      <sz val="10"/>
      <name val="Calibri"/>
      <family val="2"/>
    </font>
    <font>
      <i/>
      <sz val="10"/>
      <color rgb="FF595959"/>
      <name val="Calibri"/>
      <family val="2"/>
    </font>
    <font>
      <b/>
      <sz val="10"/>
      <color rgb="FFFFFFFF"/>
      <name val="Calibri"/>
      <family val="2"/>
    </font>
    <font>
      <sz val="10"/>
      <color rgb="FF008000"/>
      <name val="Calibri"/>
      <family val="2"/>
    </font>
    <font>
      <sz val="10"/>
      <color rgb="FF000000"/>
      <name val="Calibri"/>
      <family val="2"/>
    </font>
    <font>
      <b/>
      <sz val="10"/>
      <color rgb="FF008000"/>
      <name val="Calibri"/>
      <family val="2"/>
    </font>
    <font>
      <b/>
      <sz val="10"/>
      <color rgb="FF000000"/>
      <name val="Calibri"/>
      <family val="2"/>
    </font>
    <font>
      <sz val="11"/>
      <name val="Carlito"/>
    </font>
  </fonts>
  <fills count="27">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
      <patternFill patternType="solid">
        <fgColor rgb="FFFFFFFF"/>
      </patternFill>
    </fill>
    <fill>
      <patternFill patternType="solid">
        <fgColor theme="0" tint="-4.9989318521683403E-2"/>
        <bgColor indexed="64"/>
      </patternFill>
    </fill>
    <fill>
      <patternFill patternType="solid">
        <fgColor theme="4" tint="0.79998168889431442"/>
        <bgColor theme="4"/>
      </patternFill>
    </fill>
    <fill>
      <patternFill patternType="solid">
        <fgColor theme="0" tint="-4.9989318521683403E-2"/>
        <bgColor theme="4"/>
      </patternFill>
    </fill>
    <fill>
      <patternFill patternType="solid">
        <fgColor theme="0"/>
        <bgColor indexed="64"/>
      </patternFill>
    </fill>
    <fill>
      <patternFill patternType="solid">
        <fgColor theme="4" tint="0.79998168889431442"/>
        <bgColor rgb="FFF5F5F5"/>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002060"/>
        <bgColor indexed="64"/>
      </patternFill>
    </fill>
    <fill>
      <patternFill patternType="solid">
        <fgColor rgb="FF002060"/>
        <bgColor theme="4" tint="0.79998168889431442"/>
      </patternFill>
    </fill>
    <fill>
      <patternFill patternType="solid">
        <fgColor rgb="FFD9E1F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1"/>
        <bgColor theme="8"/>
      </patternFill>
    </fill>
    <fill>
      <patternFill patternType="solid">
        <fgColor rgb="FF1F3864"/>
        <bgColor indexed="64"/>
      </patternFill>
    </fill>
    <fill>
      <patternFill patternType="solid">
        <fgColor rgb="FFF2F2F2"/>
        <bgColor indexed="64"/>
      </patternFill>
    </fill>
    <fill>
      <patternFill patternType="solid">
        <fgColor rgb="FFFFF2CC"/>
        <bgColor indexed="64"/>
      </patternFill>
    </fill>
    <fill>
      <patternFill patternType="solid">
        <fgColor rgb="FFA6A6A6"/>
      </patternFill>
    </fill>
  </fills>
  <borders count="30">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bottom/>
      <diagonal/>
    </border>
    <border>
      <left/>
      <right/>
      <top/>
      <bottom style="thin">
        <color auto="1"/>
      </bottom>
      <diagonal/>
    </border>
    <border>
      <left/>
      <right/>
      <top style="thin">
        <color indexed="64"/>
      </top>
      <bottom style="double">
        <color auto="1"/>
      </bottom>
      <diagonal/>
    </border>
    <border>
      <left/>
      <right style="thin">
        <color auto="1"/>
      </right>
      <top style="thin">
        <color indexed="64"/>
      </top>
      <bottom/>
      <diagonal/>
    </border>
    <border>
      <left/>
      <right style="thin">
        <color auto="1"/>
      </right>
      <top style="thin">
        <color indexed="64"/>
      </top>
      <bottom style="double">
        <color auto="1"/>
      </bottom>
      <diagonal/>
    </border>
  </borders>
  <cellStyleXfs count="22">
    <xf numFmtId="0" fontId="0" fillId="0" borderId="0"/>
    <xf numFmtId="166" fontId="8"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 fillId="0" borderId="0"/>
    <xf numFmtId="0" fontId="8" fillId="0" borderId="0"/>
    <xf numFmtId="165" fontId="8"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0" fontId="25" fillId="0" borderId="0"/>
    <xf numFmtId="165" fontId="2" fillId="0" borderId="0" applyFont="0" applyFill="0" applyBorder="0" applyAlignment="0" applyProtection="0"/>
    <xf numFmtId="166" fontId="25" fillId="0" borderId="0" applyFont="0" applyFill="0" applyBorder="0" applyAlignment="0" applyProtection="0"/>
    <xf numFmtId="164" fontId="53"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1" fillId="0" borderId="0"/>
    <xf numFmtId="9" fontId="116" fillId="0" borderId="0" applyFont="0" applyFill="0" applyBorder="0" applyAlignment="0" applyProtection="0"/>
  </cellStyleXfs>
  <cellXfs count="674">
    <xf numFmtId="0" fontId="0" fillId="0" borderId="0" xfId="0"/>
    <xf numFmtId="167" fontId="0" fillId="0" borderId="0" xfId="1" applyNumberFormat="1" applyFont="1" applyFill="1"/>
    <xf numFmtId="167" fontId="0" fillId="0" borderId="0" xfId="1" applyNumberFormat="1" applyFont="1"/>
    <xf numFmtId="167" fontId="6" fillId="0" borderId="0" xfId="1" applyNumberFormat="1" applyFont="1"/>
    <xf numFmtId="167" fontId="7" fillId="0" borderId="0" xfId="1" applyNumberFormat="1" applyFont="1" applyFill="1"/>
    <xf numFmtId="167" fontId="7" fillId="3" borderId="0" xfId="1" applyNumberFormat="1" applyFont="1" applyFill="1"/>
    <xf numFmtId="0" fontId="9" fillId="0" borderId="0" xfId="5" applyFont="1"/>
    <xf numFmtId="0" fontId="10" fillId="0" borderId="0" xfId="5" applyFont="1"/>
    <xf numFmtId="169" fontId="0" fillId="0" borderId="0" xfId="6" applyNumberFormat="1" applyFont="1"/>
    <xf numFmtId="0" fontId="8" fillId="0" borderId="0" xfId="5"/>
    <xf numFmtId="0" fontId="3" fillId="0" borderId="0" xfId="4"/>
    <xf numFmtId="169" fontId="8" fillId="0" borderId="0" xfId="5" applyNumberFormat="1"/>
    <xf numFmtId="9" fontId="8" fillId="0" borderId="0" xfId="5" applyNumberFormat="1"/>
    <xf numFmtId="165" fontId="8" fillId="0" borderId="0" xfId="5" applyNumberFormat="1"/>
    <xf numFmtId="0" fontId="0" fillId="0" borderId="0" xfId="5" applyFont="1"/>
    <xf numFmtId="169" fontId="0" fillId="0" borderId="0" xfId="6" applyNumberFormat="1" applyFont="1" applyFill="1"/>
    <xf numFmtId="170" fontId="3" fillId="0" borderId="0" xfId="4" applyNumberFormat="1"/>
    <xf numFmtId="170" fontId="12" fillId="0" borderId="4" xfId="4" applyNumberFormat="1" applyFont="1" applyBorder="1"/>
    <xf numFmtId="170" fontId="3" fillId="0" borderId="4" xfId="4" applyNumberFormat="1" applyBorder="1"/>
    <xf numFmtId="0" fontId="3" fillId="0" borderId="4" xfId="4" applyBorder="1"/>
    <xf numFmtId="0" fontId="14" fillId="4" borderId="4" xfId="4" applyFont="1" applyFill="1" applyBorder="1" applyAlignment="1">
      <alignment horizontal="center" vertical="center"/>
    </xf>
    <xf numFmtId="170" fontId="14" fillId="4" borderId="4" xfId="4" applyNumberFormat="1" applyFont="1" applyFill="1" applyBorder="1" applyAlignment="1">
      <alignment horizontal="center" vertical="center"/>
    </xf>
    <xf numFmtId="170" fontId="14" fillId="4" borderId="4" xfId="4" applyNumberFormat="1" applyFont="1" applyFill="1" applyBorder="1" applyAlignment="1">
      <alignment horizontal="left" vertical="center"/>
    </xf>
    <xf numFmtId="0" fontId="15" fillId="0" borderId="0" xfId="4" applyFont="1"/>
    <xf numFmtId="0" fontId="15" fillId="0" borderId="4" xfId="4" applyFont="1" applyBorder="1"/>
    <xf numFmtId="170" fontId="15" fillId="0" borderId="4" xfId="4" applyNumberFormat="1" applyFont="1" applyBorder="1" applyAlignment="1">
      <alignment horizontal="right"/>
    </xf>
    <xf numFmtId="0" fontId="16" fillId="0" borderId="4" xfId="4" applyFont="1" applyBorder="1"/>
    <xf numFmtId="170" fontId="16" fillId="0" borderId="4" xfId="4" applyNumberFormat="1" applyFont="1" applyBorder="1" applyAlignment="1">
      <alignment horizontal="right"/>
    </xf>
    <xf numFmtId="0" fontId="17" fillId="0" borderId="0" xfId="4" applyFont="1"/>
    <xf numFmtId="168" fontId="18" fillId="0" borderId="0" xfId="2" applyNumberFormat="1" applyFont="1"/>
    <xf numFmtId="168" fontId="18" fillId="5" borderId="0" xfId="2" applyNumberFormat="1" applyFont="1" applyFill="1"/>
    <xf numFmtId="0" fontId="18" fillId="0" borderId="0" xfId="4" applyFont="1"/>
    <xf numFmtId="0" fontId="19" fillId="0" borderId="0" xfId="4" applyFont="1"/>
    <xf numFmtId="9" fontId="18" fillId="0" borderId="0" xfId="2" applyNumberFormat="1" applyFont="1"/>
    <xf numFmtId="9" fontId="18" fillId="5" borderId="0" xfId="2" applyNumberFormat="1" applyFont="1" applyFill="1"/>
    <xf numFmtId="0" fontId="14" fillId="6" borderId="5" xfId="4" applyFont="1" applyFill="1" applyBorder="1" applyAlignment="1">
      <alignment horizontal="left" vertical="center"/>
    </xf>
    <xf numFmtId="168" fontId="14" fillId="6" borderId="6" xfId="2" applyNumberFormat="1" applyFont="1" applyFill="1" applyBorder="1" applyAlignment="1">
      <alignment horizontal="center" vertical="center" wrapText="1"/>
    </xf>
    <xf numFmtId="17" fontId="14" fillId="7" borderId="6" xfId="2" applyNumberFormat="1" applyFont="1" applyFill="1" applyBorder="1" applyAlignment="1">
      <alignment horizontal="center" vertical="top" wrapText="1"/>
    </xf>
    <xf numFmtId="0" fontId="14" fillId="6" borderId="6" xfId="4" applyFont="1" applyFill="1" applyBorder="1" applyAlignment="1">
      <alignment horizontal="center" vertical="center" wrapText="1"/>
    </xf>
    <xf numFmtId="0" fontId="20" fillId="0" borderId="0" xfId="4" applyFont="1" applyAlignment="1">
      <alignment vertical="center"/>
    </xf>
    <xf numFmtId="0" fontId="17" fillId="0" borderId="7" xfId="4" applyFont="1" applyBorder="1"/>
    <xf numFmtId="168" fontId="17" fillId="0" borderId="8" xfId="2" applyNumberFormat="1" applyFont="1" applyBorder="1"/>
    <xf numFmtId="168" fontId="17" fillId="5" borderId="8" xfId="2" applyNumberFormat="1" applyFont="1" applyFill="1" applyBorder="1"/>
    <xf numFmtId="0" fontId="21" fillId="0" borderId="7" xfId="4" applyFont="1" applyBorder="1"/>
    <xf numFmtId="168" fontId="21" fillId="0" borderId="8" xfId="2" applyNumberFormat="1" applyFont="1" applyFill="1" applyBorder="1"/>
    <xf numFmtId="168" fontId="21" fillId="5" borderId="8" xfId="2" applyNumberFormat="1" applyFont="1" applyFill="1" applyBorder="1"/>
    <xf numFmtId="168" fontId="21" fillId="5" borderId="8" xfId="2" applyNumberFormat="1" applyFont="1" applyFill="1" applyBorder="1" applyAlignment="1">
      <alignment vertical="center"/>
    </xf>
    <xf numFmtId="168" fontId="21" fillId="0" borderId="8" xfId="2" applyNumberFormat="1" applyFont="1" applyBorder="1"/>
    <xf numFmtId="168" fontId="21" fillId="0" borderId="8" xfId="2" applyNumberFormat="1" applyFont="1" applyBorder="1" applyAlignment="1">
      <alignment wrapText="1"/>
    </xf>
    <xf numFmtId="0" fontId="21" fillId="0" borderId="8" xfId="4" applyFont="1" applyBorder="1"/>
    <xf numFmtId="0" fontId="21" fillId="0" borderId="7" xfId="4" applyFont="1" applyBorder="1" applyAlignment="1">
      <alignment horizontal="left" vertical="center"/>
    </xf>
    <xf numFmtId="168" fontId="21" fillId="0" borderId="8" xfId="2" applyNumberFormat="1" applyFont="1" applyBorder="1" applyAlignment="1">
      <alignment horizontal="left" vertical="center"/>
    </xf>
    <xf numFmtId="168" fontId="21" fillId="5" borderId="8" xfId="2" applyNumberFormat="1" applyFont="1" applyFill="1" applyBorder="1" applyAlignment="1">
      <alignment horizontal="left" vertical="center"/>
    </xf>
    <xf numFmtId="0" fontId="21" fillId="0" borderId="8" xfId="4" applyFont="1" applyBorder="1" applyAlignment="1">
      <alignment vertical="center" wrapText="1"/>
    </xf>
    <xf numFmtId="0" fontId="21" fillId="0" borderId="8" xfId="4" applyFont="1" applyBorder="1" applyAlignment="1">
      <alignment wrapText="1"/>
    </xf>
    <xf numFmtId="0" fontId="18" fillId="0" borderId="0" xfId="4" applyFont="1" applyAlignment="1">
      <alignment horizontal="left" vertical="center"/>
    </xf>
    <xf numFmtId="168" fontId="21" fillId="0" borderId="8" xfId="2" applyNumberFormat="1" applyFont="1" applyFill="1" applyBorder="1" applyAlignment="1">
      <alignment horizontal="left" vertical="center"/>
    </xf>
    <xf numFmtId="0" fontId="21" fillId="0" borderId="7" xfId="4" applyFont="1" applyBorder="1" applyAlignment="1">
      <alignment vertical="center"/>
    </xf>
    <xf numFmtId="168" fontId="21" fillId="0" borderId="8" xfId="2" applyNumberFormat="1" applyFont="1" applyBorder="1" applyAlignment="1">
      <alignment vertical="center"/>
    </xf>
    <xf numFmtId="0" fontId="21" fillId="0" borderId="8" xfId="4" applyFont="1" applyBorder="1" applyAlignment="1">
      <alignment vertical="center"/>
    </xf>
    <xf numFmtId="168" fontId="21" fillId="0" borderId="8" xfId="2" applyNumberFormat="1" applyFont="1" applyFill="1" applyBorder="1" applyAlignment="1">
      <alignment vertical="center"/>
    </xf>
    <xf numFmtId="0" fontId="18" fillId="0" borderId="0" xfId="4" applyFont="1" applyAlignment="1">
      <alignment vertical="center"/>
    </xf>
    <xf numFmtId="9" fontId="18" fillId="0" borderId="0" xfId="4" applyNumberFormat="1" applyFont="1"/>
    <xf numFmtId="9" fontId="17" fillId="0" borderId="7" xfId="4" applyNumberFormat="1" applyFont="1" applyBorder="1"/>
    <xf numFmtId="9" fontId="17" fillId="0" borderId="8" xfId="2" applyNumberFormat="1" applyFont="1" applyBorder="1"/>
    <xf numFmtId="9" fontId="17" fillId="5" borderId="8" xfId="2" applyNumberFormat="1" applyFont="1" applyFill="1" applyBorder="1"/>
    <xf numFmtId="0" fontId="22" fillId="3" borderId="0" xfId="4" applyFont="1" applyFill="1"/>
    <xf numFmtId="0" fontId="22" fillId="8" borderId="7" xfId="4" applyFont="1" applyFill="1" applyBorder="1"/>
    <xf numFmtId="168" fontId="22" fillId="8" borderId="8" xfId="2" applyNumberFormat="1" applyFont="1" applyFill="1" applyBorder="1"/>
    <xf numFmtId="0" fontId="22" fillId="8" borderId="0" xfId="4" applyFont="1" applyFill="1"/>
    <xf numFmtId="168" fontId="18" fillId="0" borderId="8" xfId="2" applyNumberFormat="1" applyFont="1" applyBorder="1"/>
    <xf numFmtId="168" fontId="18" fillId="0" borderId="8" xfId="2" applyNumberFormat="1" applyFont="1" applyBorder="1" applyAlignment="1">
      <alignment vertical="center" wrapText="1"/>
    </xf>
    <xf numFmtId="0" fontId="18" fillId="0" borderId="7" xfId="4" applyFont="1" applyBorder="1"/>
    <xf numFmtId="168" fontId="18" fillId="5" borderId="8" xfId="2" applyNumberFormat="1" applyFont="1" applyFill="1" applyBorder="1"/>
    <xf numFmtId="168" fontId="18" fillId="5" borderId="8" xfId="2" applyNumberFormat="1" applyFont="1" applyFill="1" applyBorder="1" applyAlignment="1">
      <alignment vertical="center"/>
    </xf>
    <xf numFmtId="168" fontId="18" fillId="0" borderId="8" xfId="2" applyNumberFormat="1" applyFont="1" applyBorder="1" applyAlignment="1">
      <alignment wrapText="1"/>
    </xf>
    <xf numFmtId="168" fontId="18" fillId="0" borderId="8" xfId="2" applyNumberFormat="1" applyFont="1" applyFill="1" applyBorder="1"/>
    <xf numFmtId="0" fontId="19" fillId="0" borderId="7" xfId="4" applyFont="1" applyBorder="1"/>
    <xf numFmtId="168" fontId="19" fillId="0" borderId="8" xfId="2" applyNumberFormat="1" applyFont="1" applyBorder="1"/>
    <xf numFmtId="168" fontId="19" fillId="5" borderId="8" xfId="2" applyNumberFormat="1" applyFont="1" applyFill="1" applyBorder="1"/>
    <xf numFmtId="0" fontId="19" fillId="0" borderId="9" xfId="4" applyFont="1" applyBorder="1"/>
    <xf numFmtId="168" fontId="19" fillId="0" borderId="10" xfId="2" applyNumberFormat="1" applyFont="1" applyBorder="1"/>
    <xf numFmtId="168" fontId="19" fillId="5" borderId="10" xfId="2" applyNumberFormat="1" applyFont="1" applyFill="1" applyBorder="1"/>
    <xf numFmtId="9" fontId="19" fillId="0" borderId="0" xfId="2" applyNumberFormat="1" applyFont="1" applyBorder="1"/>
    <xf numFmtId="168" fontId="19" fillId="0" borderId="0" xfId="2" applyNumberFormat="1" applyFont="1" applyBorder="1"/>
    <xf numFmtId="9" fontId="19" fillId="5" borderId="0" xfId="2" applyNumberFormat="1" applyFont="1" applyFill="1" applyBorder="1"/>
    <xf numFmtId="168" fontId="19" fillId="5" borderId="0" xfId="2" applyNumberFormat="1" applyFont="1" applyFill="1" applyBorder="1"/>
    <xf numFmtId="168" fontId="18" fillId="0" borderId="0" xfId="2" applyNumberFormat="1" applyFont="1" applyBorder="1"/>
    <xf numFmtId="168" fontId="18" fillId="5" borderId="0" xfId="2" applyNumberFormat="1" applyFont="1" applyFill="1" applyBorder="1"/>
    <xf numFmtId="168" fontId="18" fillId="5" borderId="0" xfId="2" applyNumberFormat="1" applyFont="1" applyFill="1" applyBorder="1" applyAlignment="1"/>
    <xf numFmtId="168" fontId="19" fillId="0" borderId="0" xfId="2" applyNumberFormat="1" applyFont="1" applyBorder="1" applyAlignment="1"/>
    <xf numFmtId="1" fontId="18" fillId="5" borderId="0" xfId="2" applyNumberFormat="1" applyFont="1" applyFill="1" applyBorder="1" applyAlignment="1">
      <alignment vertical="center"/>
    </xf>
    <xf numFmtId="9" fontId="19" fillId="0" borderId="0" xfId="4" applyNumberFormat="1" applyFont="1"/>
    <xf numFmtId="9" fontId="18" fillId="0" borderId="0" xfId="2" applyNumberFormat="1" applyFont="1" applyBorder="1"/>
    <xf numFmtId="9" fontId="18" fillId="5" borderId="0" xfId="2" applyNumberFormat="1" applyFont="1" applyFill="1" applyBorder="1" applyAlignment="1"/>
    <xf numFmtId="9" fontId="19" fillId="5" borderId="0" xfId="2" applyNumberFormat="1" applyFont="1" applyFill="1" applyBorder="1" applyAlignment="1"/>
    <xf numFmtId="167" fontId="18" fillId="0" borderId="0" xfId="7" applyNumberFormat="1" applyFont="1"/>
    <xf numFmtId="49" fontId="21" fillId="0" borderId="8" xfId="4" applyNumberFormat="1" applyFont="1" applyBorder="1" applyAlignment="1">
      <alignment horizontal="left" vertical="top" indent="1"/>
    </xf>
    <xf numFmtId="0" fontId="17" fillId="0" borderId="8" xfId="4" applyFont="1" applyBorder="1" applyAlignment="1">
      <alignment horizontal="left"/>
    </xf>
    <xf numFmtId="0" fontId="17" fillId="0" borderId="8" xfId="4" applyFont="1" applyBorder="1" applyAlignment="1">
      <alignment vertical="center"/>
    </xf>
    <xf numFmtId="168" fontId="18" fillId="0" borderId="8" xfId="2" applyNumberFormat="1" applyFont="1" applyFill="1" applyBorder="1" applyAlignment="1">
      <alignment vertical="center" wrapText="1"/>
    </xf>
    <xf numFmtId="0" fontId="18" fillId="0" borderId="8" xfId="4" applyFont="1" applyBorder="1" applyAlignment="1">
      <alignment vertical="center"/>
    </xf>
    <xf numFmtId="168" fontId="18" fillId="0" borderId="8" xfId="2" applyNumberFormat="1" applyFont="1" applyBorder="1" applyAlignment="1">
      <alignment vertical="center"/>
    </xf>
    <xf numFmtId="168" fontId="18" fillId="5" borderId="8" xfId="2" applyNumberFormat="1" applyFont="1" applyFill="1" applyBorder="1" applyAlignment="1"/>
    <xf numFmtId="0" fontId="21" fillId="0" borderId="8" xfId="4" applyFont="1" applyBorder="1" applyAlignment="1">
      <alignment horizontal="left" vertical="center"/>
    </xf>
    <xf numFmtId="168" fontId="18" fillId="5" borderId="8" xfId="2" applyNumberFormat="1" applyFont="1" applyFill="1" applyBorder="1" applyAlignment="1">
      <alignment horizontal="center" vertical="center"/>
    </xf>
    <xf numFmtId="0" fontId="17" fillId="0" borderId="8" xfId="4" applyFont="1" applyBorder="1"/>
    <xf numFmtId="168" fontId="19" fillId="0" borderId="8" xfId="2" applyNumberFormat="1" applyFont="1" applyBorder="1" applyAlignment="1">
      <alignment vertical="center" wrapText="1"/>
    </xf>
    <xf numFmtId="0" fontId="18" fillId="3" borderId="0" xfId="4" applyFont="1" applyFill="1"/>
    <xf numFmtId="0" fontId="23" fillId="8" borderId="8" xfId="4" applyFont="1" applyFill="1" applyBorder="1" applyAlignment="1">
      <alignment vertical="center"/>
    </xf>
    <xf numFmtId="168" fontId="18" fillId="8" borderId="8" xfId="2" applyNumberFormat="1" applyFont="1" applyFill="1" applyBorder="1" applyAlignment="1">
      <alignment vertical="center" wrapText="1"/>
    </xf>
    <xf numFmtId="0" fontId="18" fillId="8" borderId="0" xfId="4" applyFont="1" applyFill="1"/>
    <xf numFmtId="169" fontId="22" fillId="8" borderId="8" xfId="8" applyNumberFormat="1" applyFont="1" applyFill="1" applyBorder="1" applyAlignment="1">
      <alignment vertical="center"/>
    </xf>
    <xf numFmtId="168" fontId="22" fillId="0" borderId="8" xfId="2" applyNumberFormat="1" applyFont="1" applyBorder="1"/>
    <xf numFmtId="168" fontId="18" fillId="8" borderId="8" xfId="2" applyNumberFormat="1" applyFont="1" applyFill="1" applyBorder="1"/>
    <xf numFmtId="0" fontId="19" fillId="3" borderId="0" xfId="4" applyFont="1" applyFill="1"/>
    <xf numFmtId="168" fontId="23" fillId="8" borderId="8" xfId="2" applyNumberFormat="1" applyFont="1" applyFill="1" applyBorder="1"/>
    <xf numFmtId="168" fontId="19" fillId="8" borderId="8" xfId="2" applyNumberFormat="1" applyFont="1" applyFill="1" applyBorder="1"/>
    <xf numFmtId="0" fontId="19" fillId="8" borderId="0" xfId="4" applyFont="1" applyFill="1"/>
    <xf numFmtId="0" fontId="18" fillId="0" borderId="8" xfId="4" applyFont="1" applyBorder="1"/>
    <xf numFmtId="0" fontId="19" fillId="0" borderId="10" xfId="4" applyFont="1" applyBorder="1"/>
    <xf numFmtId="0" fontId="2" fillId="0" borderId="0" xfId="9"/>
    <xf numFmtId="170" fontId="2" fillId="0" borderId="0" xfId="9" applyNumberFormat="1"/>
    <xf numFmtId="170" fontId="12" fillId="0" borderId="4" xfId="9" applyNumberFormat="1" applyFont="1" applyBorder="1"/>
    <xf numFmtId="170" fontId="2" fillId="0" borderId="4" xfId="9" applyNumberFormat="1" applyBorder="1"/>
    <xf numFmtId="0" fontId="2" fillId="0" borderId="4" xfId="9" applyBorder="1"/>
    <xf numFmtId="0" fontId="14" fillId="4" borderId="4" xfId="9" applyFont="1" applyFill="1" applyBorder="1" applyAlignment="1">
      <alignment horizontal="center" vertical="center"/>
    </xf>
    <xf numFmtId="170" fontId="14" fillId="4" borderId="4" xfId="9" applyNumberFormat="1" applyFont="1" applyFill="1" applyBorder="1" applyAlignment="1">
      <alignment horizontal="center" vertical="center"/>
    </xf>
    <xf numFmtId="170" fontId="14" fillId="4" borderId="4" xfId="9" applyNumberFormat="1" applyFont="1" applyFill="1" applyBorder="1" applyAlignment="1">
      <alignment horizontal="left" vertical="center"/>
    </xf>
    <xf numFmtId="0" fontId="15" fillId="0" borderId="0" xfId="9" applyFont="1"/>
    <xf numFmtId="0" fontId="15" fillId="0" borderId="4" xfId="9" applyFont="1" applyBorder="1"/>
    <xf numFmtId="170" fontId="15" fillId="0" borderId="4" xfId="9" applyNumberFormat="1" applyFont="1" applyBorder="1" applyAlignment="1">
      <alignment horizontal="right"/>
    </xf>
    <xf numFmtId="0" fontId="16" fillId="0" borderId="4" xfId="9" applyFont="1" applyBorder="1"/>
    <xf numFmtId="170" fontId="16" fillId="0" borderId="4" xfId="9" applyNumberFormat="1" applyFont="1" applyBorder="1" applyAlignment="1">
      <alignment horizontal="right"/>
    </xf>
    <xf numFmtId="9" fontId="0" fillId="0" borderId="0" xfId="10" applyFont="1"/>
    <xf numFmtId="168" fontId="0" fillId="0" borderId="0" xfId="11" applyNumberFormat="1" applyFont="1"/>
    <xf numFmtId="167" fontId="2" fillId="0" borderId="0" xfId="9" applyNumberFormat="1"/>
    <xf numFmtId="168" fontId="2" fillId="0" borderId="0" xfId="9" applyNumberFormat="1"/>
    <xf numFmtId="168" fontId="6" fillId="2" borderId="0" xfId="9" applyNumberFormat="1" applyFont="1" applyFill="1"/>
    <xf numFmtId="15" fontId="6" fillId="0" borderId="0" xfId="9" applyNumberFormat="1" applyFont="1"/>
    <xf numFmtId="15" fontId="2" fillId="0" borderId="0" xfId="9" applyNumberFormat="1"/>
    <xf numFmtId="15" fontId="6" fillId="2" borderId="1" xfId="9" applyNumberFormat="1" applyFont="1" applyFill="1" applyBorder="1"/>
    <xf numFmtId="167" fontId="2" fillId="0" borderId="0" xfId="9" applyNumberFormat="1" applyAlignment="1">
      <alignment horizontal="left"/>
    </xf>
    <xf numFmtId="168" fontId="6" fillId="0" borderId="1" xfId="9" applyNumberFormat="1" applyFont="1" applyBorder="1"/>
    <xf numFmtId="167" fontId="2" fillId="0" borderId="0" xfId="9" applyNumberFormat="1" applyAlignment="1">
      <alignment horizontal="left" indent="1"/>
    </xf>
    <xf numFmtId="168" fontId="6" fillId="0" borderId="0" xfId="9" applyNumberFormat="1" applyFont="1"/>
    <xf numFmtId="167" fontId="2" fillId="0" borderId="0" xfId="9" applyNumberFormat="1" applyAlignment="1">
      <alignment horizontal="left" indent="2"/>
    </xf>
    <xf numFmtId="167" fontId="2" fillId="0" borderId="0" xfId="9" applyNumberFormat="1" applyAlignment="1">
      <alignment horizontal="left" indent="3"/>
    </xf>
    <xf numFmtId="167" fontId="2" fillId="0" borderId="0" xfId="1" applyNumberFormat="1" applyFont="1"/>
    <xf numFmtId="167" fontId="7" fillId="0" borderId="0" xfId="9" applyNumberFormat="1" applyFont="1" applyAlignment="1">
      <alignment horizontal="left" indent="1"/>
    </xf>
    <xf numFmtId="168" fontId="7" fillId="0" borderId="0" xfId="9" applyNumberFormat="1" applyFont="1"/>
    <xf numFmtId="168" fontId="4" fillId="0" borderId="0" xfId="9" applyNumberFormat="1" applyFont="1"/>
    <xf numFmtId="167" fontId="7" fillId="0" borderId="0" xfId="1" applyNumberFormat="1" applyFont="1"/>
    <xf numFmtId="167" fontId="7" fillId="0" borderId="0" xfId="9" applyNumberFormat="1" applyFont="1" applyAlignment="1">
      <alignment horizontal="left" indent="2"/>
    </xf>
    <xf numFmtId="167" fontId="7" fillId="0" borderId="0" xfId="9" applyNumberFormat="1" applyFont="1" applyAlignment="1">
      <alignment horizontal="left" indent="3"/>
    </xf>
    <xf numFmtId="168" fontId="6" fillId="2" borderId="2" xfId="9" applyNumberFormat="1" applyFont="1" applyFill="1" applyBorder="1"/>
    <xf numFmtId="167" fontId="0" fillId="0" borderId="0" xfId="12" applyNumberFormat="1" applyFont="1"/>
    <xf numFmtId="167" fontId="8" fillId="0" borderId="0" xfId="12" applyNumberFormat="1" applyFont="1"/>
    <xf numFmtId="0" fontId="11" fillId="0" borderId="0" xfId="9" applyFont="1"/>
    <xf numFmtId="167" fontId="6" fillId="2" borderId="0" xfId="9" applyNumberFormat="1" applyFont="1" applyFill="1"/>
    <xf numFmtId="169" fontId="2" fillId="0" borderId="0" xfId="9" applyNumberFormat="1"/>
    <xf numFmtId="10" fontId="8" fillId="0" borderId="0" xfId="10" applyNumberFormat="1" applyFont="1"/>
    <xf numFmtId="169" fontId="6" fillId="0" borderId="3" xfId="9" applyNumberFormat="1" applyFont="1" applyBorder="1"/>
    <xf numFmtId="0" fontId="2" fillId="0" borderId="0" xfId="5" applyFont="1"/>
    <xf numFmtId="169" fontId="6" fillId="2" borderId="2" xfId="9" applyNumberFormat="1" applyFont="1" applyFill="1" applyBorder="1"/>
    <xf numFmtId="167" fontId="0" fillId="0" borderId="0" xfId="12" applyNumberFormat="1" applyFont="1" applyFill="1"/>
    <xf numFmtId="167" fontId="8" fillId="0" borderId="0" xfId="12" applyNumberFormat="1" applyFont="1" applyFill="1"/>
    <xf numFmtId="0" fontId="7" fillId="0" borderId="0" xfId="9" applyFont="1"/>
    <xf numFmtId="17" fontId="26" fillId="9" borderId="0" xfId="13" applyNumberFormat="1" applyFont="1" applyFill="1" applyAlignment="1">
      <alignment horizontal="left"/>
    </xf>
    <xf numFmtId="17" fontId="26" fillId="9" borderId="0" xfId="13" applyNumberFormat="1" applyFont="1" applyFill="1" applyAlignment="1">
      <alignment horizontal="center"/>
    </xf>
    <xf numFmtId="0" fontId="27" fillId="9" borderId="0" xfId="13" applyFont="1" applyFill="1" applyAlignment="1">
      <alignment horizontal="center"/>
    </xf>
    <xf numFmtId="0" fontId="28" fillId="0" borderId="0" xfId="9" applyFont="1"/>
    <xf numFmtId="167" fontId="6" fillId="0" borderId="1" xfId="9" applyNumberFormat="1" applyFont="1" applyBorder="1" applyAlignment="1">
      <alignment horizontal="left"/>
    </xf>
    <xf numFmtId="167" fontId="6" fillId="0" borderId="0" xfId="9" applyNumberFormat="1" applyFont="1" applyAlignment="1">
      <alignment horizontal="left" indent="1"/>
    </xf>
    <xf numFmtId="167" fontId="6" fillId="0" borderId="0" xfId="9" applyNumberFormat="1" applyFont="1" applyAlignment="1">
      <alignment horizontal="left" indent="2"/>
    </xf>
    <xf numFmtId="167" fontId="2" fillId="10" borderId="0" xfId="9" applyNumberFormat="1" applyFill="1" applyAlignment="1">
      <alignment horizontal="left" indent="3"/>
    </xf>
    <xf numFmtId="171" fontId="28" fillId="10" borderId="0" xfId="9" applyNumberFormat="1" applyFont="1" applyFill="1" applyAlignment="1">
      <alignment horizontal="left"/>
    </xf>
    <xf numFmtId="167" fontId="6" fillId="10" borderId="0" xfId="9" applyNumberFormat="1" applyFont="1" applyFill="1" applyAlignment="1">
      <alignment horizontal="left" indent="3"/>
    </xf>
    <xf numFmtId="171" fontId="28" fillId="0" borderId="0" xfId="9" applyNumberFormat="1" applyFont="1" applyAlignment="1">
      <alignment horizontal="left"/>
    </xf>
    <xf numFmtId="167" fontId="6" fillId="0" borderId="0" xfId="9" applyNumberFormat="1" applyFont="1" applyAlignment="1">
      <alignment horizontal="left" indent="3"/>
    </xf>
    <xf numFmtId="169" fontId="6" fillId="5" borderId="3" xfId="9" applyNumberFormat="1" applyFont="1" applyFill="1" applyBorder="1"/>
    <xf numFmtId="0" fontId="24" fillId="10" borderId="3" xfId="9" applyFont="1" applyFill="1" applyBorder="1"/>
    <xf numFmtId="169" fontId="6" fillId="10" borderId="3" xfId="9" applyNumberFormat="1" applyFont="1" applyFill="1" applyBorder="1"/>
    <xf numFmtId="0" fontId="2" fillId="11" borderId="0" xfId="9" applyFill="1"/>
    <xf numFmtId="167" fontId="29" fillId="0" borderId="0" xfId="9" applyNumberFormat="1" applyFont="1" applyAlignment="1">
      <alignment horizontal="left" indent="3"/>
    </xf>
    <xf numFmtId="167" fontId="5" fillId="0" borderId="0" xfId="9" applyNumberFormat="1" applyFont="1" applyAlignment="1">
      <alignment horizontal="left" indent="2"/>
    </xf>
    <xf numFmtId="167" fontId="30" fillId="0" borderId="0" xfId="9" applyNumberFormat="1" applyFont="1" applyAlignment="1">
      <alignment horizontal="left" indent="3"/>
    </xf>
    <xf numFmtId="172" fontId="31" fillId="0" borderId="0" xfId="14" applyNumberFormat="1" applyFont="1" applyFill="1" applyBorder="1" applyAlignment="1">
      <alignment horizontal="left" vertical="center"/>
    </xf>
    <xf numFmtId="0" fontId="32" fillId="0" borderId="3" xfId="9" applyFont="1" applyBorder="1"/>
    <xf numFmtId="167" fontId="29" fillId="0" borderId="0" xfId="9" applyNumberFormat="1" applyFont="1" applyAlignment="1">
      <alignment horizontal="left" indent="2"/>
    </xf>
    <xf numFmtId="172" fontId="33" fillId="0" borderId="0" xfId="14" applyNumberFormat="1" applyFont="1" applyBorder="1" applyAlignment="1">
      <alignment horizontal="left" vertical="center"/>
    </xf>
    <xf numFmtId="167" fontId="2" fillId="8" borderId="0" xfId="9" applyNumberFormat="1" applyFill="1" applyAlignment="1">
      <alignment horizontal="left" indent="3"/>
    </xf>
    <xf numFmtId="0" fontId="24" fillId="5" borderId="3" xfId="9" applyFont="1" applyFill="1" applyBorder="1"/>
    <xf numFmtId="167" fontId="6" fillId="2" borderId="2" xfId="9" applyNumberFormat="1" applyFont="1" applyFill="1" applyBorder="1" applyAlignment="1">
      <alignment horizontal="left"/>
    </xf>
    <xf numFmtId="0" fontId="34" fillId="0" borderId="11" xfId="13" applyFont="1" applyBorder="1" applyAlignment="1">
      <alignment horizontal="left" vertical="center"/>
    </xf>
    <xf numFmtId="0" fontId="34" fillId="0" borderId="11" xfId="13" applyFont="1" applyBorder="1" applyAlignment="1">
      <alignment vertical="center"/>
    </xf>
    <xf numFmtId="0" fontId="34" fillId="0" borderId="12" xfId="13" applyFont="1" applyBorder="1" applyAlignment="1">
      <alignment vertical="center"/>
    </xf>
    <xf numFmtId="0" fontId="28" fillId="0" borderId="13" xfId="9" applyFont="1" applyBorder="1"/>
    <xf numFmtId="0" fontId="34" fillId="0" borderId="0" xfId="13" applyFont="1" applyAlignment="1">
      <alignment horizontal="left" vertical="center"/>
    </xf>
    <xf numFmtId="0" fontId="34" fillId="0" borderId="0" xfId="13" applyFont="1" applyAlignment="1">
      <alignment vertical="center"/>
    </xf>
    <xf numFmtId="0" fontId="34" fillId="0" borderId="14" xfId="13" applyFont="1" applyBorder="1" applyAlignment="1">
      <alignment horizontal="left" vertical="center"/>
    </xf>
    <xf numFmtId="0" fontId="34" fillId="0" borderId="14" xfId="13" applyFont="1" applyBorder="1" applyAlignment="1">
      <alignment vertical="center"/>
    </xf>
    <xf numFmtId="0" fontId="34" fillId="0" borderId="15" xfId="13" applyFont="1" applyBorder="1" applyAlignment="1">
      <alignment horizontal="left" vertical="center"/>
    </xf>
    <xf numFmtId="0" fontId="34" fillId="0" borderId="15" xfId="13" applyFont="1" applyBorder="1" applyAlignment="1">
      <alignment vertical="center"/>
    </xf>
    <xf numFmtId="1" fontId="34" fillId="0" borderId="0" xfId="13" applyNumberFormat="1" applyFont="1" applyAlignment="1">
      <alignment vertical="center"/>
    </xf>
    <xf numFmtId="0" fontId="24" fillId="0" borderId="0" xfId="9" applyFont="1"/>
    <xf numFmtId="0" fontId="31" fillId="0" borderId="0" xfId="9" applyFont="1"/>
    <xf numFmtId="169" fontId="28" fillId="0" borderId="0" xfId="14" applyNumberFormat="1" applyFont="1"/>
    <xf numFmtId="169" fontId="34" fillId="0" borderId="0" xfId="13" applyNumberFormat="1" applyFont="1" applyAlignment="1">
      <alignment vertical="center"/>
    </xf>
    <xf numFmtId="173" fontId="33" fillId="0" borderId="0" xfId="14" applyNumberFormat="1" applyFont="1" applyBorder="1" applyAlignment="1">
      <alignment horizontal="left" vertical="center"/>
    </xf>
    <xf numFmtId="169" fontId="35" fillId="0" borderId="0" xfId="14" applyNumberFormat="1" applyFont="1" applyBorder="1" applyAlignment="1">
      <alignment vertical="center"/>
    </xf>
    <xf numFmtId="10" fontId="28" fillId="0" borderId="0" xfId="10" applyNumberFormat="1" applyFont="1" applyAlignment="1">
      <alignment horizontal="left"/>
    </xf>
    <xf numFmtId="0" fontId="24" fillId="0" borderId="1" xfId="9" applyFont="1" applyBorder="1"/>
    <xf numFmtId="168" fontId="21" fillId="0" borderId="0" xfId="11" applyNumberFormat="1" applyFont="1" applyFill="1" applyBorder="1"/>
    <xf numFmtId="169" fontId="31" fillId="0" borderId="0" xfId="9" applyNumberFormat="1" applyFont="1"/>
    <xf numFmtId="165" fontId="34" fillId="0" borderId="0" xfId="13" applyNumberFormat="1" applyFont="1" applyAlignment="1">
      <alignment vertical="center"/>
    </xf>
    <xf numFmtId="0" fontId="36" fillId="0" borderId="0" xfId="9" applyFont="1"/>
    <xf numFmtId="2" fontId="35" fillId="0" borderId="0" xfId="14" applyNumberFormat="1" applyFont="1" applyBorder="1" applyAlignment="1">
      <alignment horizontal="left" vertical="center"/>
    </xf>
    <xf numFmtId="0" fontId="31" fillId="11" borderId="0" xfId="9" applyFont="1" applyFill="1"/>
    <xf numFmtId="174" fontId="33" fillId="0" borderId="0" xfId="14" applyNumberFormat="1" applyFont="1" applyBorder="1" applyAlignment="1">
      <alignment horizontal="left" vertical="center"/>
    </xf>
    <xf numFmtId="2" fontId="33" fillId="0" borderId="0" xfId="14" applyNumberFormat="1" applyFont="1" applyBorder="1" applyAlignment="1">
      <alignment horizontal="left" vertical="center"/>
    </xf>
    <xf numFmtId="165" fontId="28" fillId="0" borderId="0" xfId="9" applyNumberFormat="1" applyFont="1"/>
    <xf numFmtId="165" fontId="34" fillId="0" borderId="0" xfId="13" applyNumberFormat="1" applyFont="1" applyAlignment="1">
      <alignment horizontal="left" vertical="center"/>
    </xf>
    <xf numFmtId="169" fontId="35" fillId="0" borderId="0" xfId="14" applyNumberFormat="1" applyFont="1" applyFill="1" applyBorder="1" applyAlignment="1">
      <alignment vertical="center"/>
    </xf>
    <xf numFmtId="174" fontId="33" fillId="0" borderId="0" xfId="14" applyNumberFormat="1" applyFont="1" applyFill="1" applyBorder="1" applyAlignment="1">
      <alignment horizontal="left" vertical="center"/>
    </xf>
    <xf numFmtId="0" fontId="6" fillId="0" borderId="0" xfId="9" applyFont="1"/>
    <xf numFmtId="169" fontId="28" fillId="0" borderId="0" xfId="14" applyNumberFormat="1" applyFont="1" applyFill="1"/>
    <xf numFmtId="9" fontId="35" fillId="0" borderId="0" xfId="13" applyNumberFormat="1" applyFont="1" applyAlignment="1">
      <alignment horizontal="left" vertical="center"/>
    </xf>
    <xf numFmtId="169" fontId="35" fillId="0" borderId="0" xfId="14" applyNumberFormat="1" applyFont="1" applyAlignment="1">
      <alignment vertical="center"/>
    </xf>
    <xf numFmtId="173" fontId="33" fillId="0" borderId="0" xfId="14" applyNumberFormat="1" applyFont="1" applyFill="1" applyBorder="1" applyAlignment="1">
      <alignment horizontal="left" vertical="center"/>
    </xf>
    <xf numFmtId="0" fontId="32" fillId="0" borderId="0" xfId="9" applyFont="1"/>
    <xf numFmtId="0" fontId="37" fillId="0" borderId="0" xfId="13" applyFont="1" applyAlignment="1">
      <alignment horizontal="left" vertical="center"/>
    </xf>
    <xf numFmtId="171" fontId="38" fillId="0" borderId="0" xfId="9" applyNumberFormat="1" applyFont="1" applyAlignment="1">
      <alignment horizontal="left"/>
    </xf>
    <xf numFmtId="0" fontId="38" fillId="0" borderId="0" xfId="13" applyFont="1" applyAlignment="1">
      <alignment vertical="center"/>
    </xf>
    <xf numFmtId="169" fontId="37" fillId="0" borderId="0" xfId="13" applyNumberFormat="1" applyFont="1" applyAlignment="1">
      <alignment vertical="center"/>
    </xf>
    <xf numFmtId="0" fontId="38" fillId="0" borderId="0" xfId="9" applyFont="1"/>
    <xf numFmtId="0" fontId="35" fillId="0" borderId="0" xfId="13" applyFont="1" applyAlignment="1">
      <alignment vertical="center"/>
    </xf>
    <xf numFmtId="0" fontId="24" fillId="11" borderId="0" xfId="9" applyFont="1" applyFill="1"/>
    <xf numFmtId="0" fontId="28" fillId="0" borderId="0" xfId="9" applyFont="1" applyAlignment="1">
      <alignment horizontal="left"/>
    </xf>
    <xf numFmtId="169" fontId="28" fillId="0" borderId="0" xfId="9" applyNumberFormat="1" applyFont="1"/>
    <xf numFmtId="166" fontId="28" fillId="0" borderId="0" xfId="9" applyNumberFormat="1" applyFont="1"/>
    <xf numFmtId="9" fontId="24" fillId="5" borderId="3" xfId="9" applyNumberFormat="1" applyFont="1" applyFill="1" applyBorder="1"/>
    <xf numFmtId="1" fontId="28" fillId="0" borderId="0" xfId="9" applyNumberFormat="1" applyFont="1"/>
    <xf numFmtId="0" fontId="34" fillId="12" borderId="0" xfId="13" applyFont="1" applyFill="1" applyAlignment="1">
      <alignment horizontal="left" vertical="center"/>
    </xf>
    <xf numFmtId="167" fontId="39" fillId="0" borderId="0" xfId="15" applyNumberFormat="1" applyFont="1" applyBorder="1" applyAlignment="1">
      <alignment horizontal="left" vertical="center"/>
    </xf>
    <xf numFmtId="167" fontId="39" fillId="0" borderId="0" xfId="15" applyNumberFormat="1" applyFont="1" applyBorder="1" applyAlignment="1">
      <alignment horizontal="center" vertical="center"/>
    </xf>
    <xf numFmtId="0" fontId="40" fillId="0" borderId="0" xfId="13" applyFont="1" applyAlignment="1">
      <alignment horizontal="left"/>
    </xf>
    <xf numFmtId="0" fontId="40" fillId="0" borderId="0" xfId="13" applyFont="1"/>
    <xf numFmtId="9" fontId="41" fillId="0" borderId="0" xfId="10" applyFont="1" applyBorder="1" applyAlignment="1">
      <alignment horizontal="right"/>
    </xf>
    <xf numFmtId="0" fontId="26" fillId="0" borderId="0" xfId="9" applyFont="1"/>
    <xf numFmtId="167" fontId="40" fillId="0" borderId="0" xfId="15" applyNumberFormat="1" applyFont="1" applyBorder="1" applyAlignment="1">
      <alignment horizontal="left" vertical="center"/>
    </xf>
    <xf numFmtId="167" fontId="40" fillId="13" borderId="0" xfId="15" applyNumberFormat="1" applyFont="1" applyFill="1" applyBorder="1" applyAlignment="1">
      <alignment horizontal="center" vertical="center"/>
    </xf>
    <xf numFmtId="167" fontId="39" fillId="13" borderId="0" xfId="15" applyNumberFormat="1" applyFont="1" applyFill="1" applyBorder="1" applyAlignment="1">
      <alignment horizontal="center" vertical="center"/>
    </xf>
    <xf numFmtId="0" fontId="28" fillId="0" borderId="0" xfId="9" applyFont="1" applyAlignment="1">
      <alignment wrapText="1"/>
    </xf>
    <xf numFmtId="167" fontId="40" fillId="0" borderId="0" xfId="15" applyNumberFormat="1" applyFont="1" applyFill="1" applyBorder="1" applyAlignment="1">
      <alignment horizontal="left" vertical="center"/>
    </xf>
    <xf numFmtId="167" fontId="39" fillId="0" borderId="0" xfId="15" applyNumberFormat="1" applyFont="1" applyFill="1" applyBorder="1" applyAlignment="1">
      <alignment horizontal="center" vertical="center"/>
    </xf>
    <xf numFmtId="167" fontId="39" fillId="0" borderId="0" xfId="15" applyNumberFormat="1" applyFont="1" applyFill="1" applyBorder="1" applyAlignment="1">
      <alignment horizontal="left" vertical="center"/>
    </xf>
    <xf numFmtId="167" fontId="40" fillId="0" borderId="0" xfId="15" applyNumberFormat="1" applyFont="1" applyFill="1" applyBorder="1" applyAlignment="1">
      <alignment horizontal="center" vertical="center"/>
    </xf>
    <xf numFmtId="0" fontId="28" fillId="14" borderId="0" xfId="9" applyFont="1" applyFill="1"/>
    <xf numFmtId="167" fontId="28" fillId="0" borderId="0" xfId="9" applyNumberFormat="1" applyFont="1"/>
    <xf numFmtId="167" fontId="40" fillId="13" borderId="0" xfId="15" applyNumberFormat="1" applyFont="1" applyFill="1" applyBorder="1" applyAlignment="1">
      <alignment horizontal="left" vertical="center"/>
    </xf>
    <xf numFmtId="167" fontId="40" fillId="0" borderId="0" xfId="15" applyNumberFormat="1" applyFont="1" applyBorder="1" applyAlignment="1">
      <alignment horizontal="center" vertical="center"/>
    </xf>
    <xf numFmtId="169" fontId="40" fillId="0" borderId="8" xfId="14" applyNumberFormat="1" applyFont="1" applyBorder="1" applyAlignment="1">
      <alignment horizontal="left" vertical="center"/>
    </xf>
    <xf numFmtId="169" fontId="40" fillId="0" borderId="0" xfId="14" applyNumberFormat="1" applyFont="1" applyBorder="1" applyAlignment="1">
      <alignment horizontal="left" vertical="center"/>
    </xf>
    <xf numFmtId="17" fontId="26" fillId="9" borderId="16" xfId="13" applyNumberFormat="1" applyFont="1" applyFill="1" applyBorder="1" applyAlignment="1">
      <alignment horizontal="left"/>
    </xf>
    <xf numFmtId="17" fontId="26" fillId="9" borderId="16" xfId="13" applyNumberFormat="1" applyFont="1" applyFill="1" applyBorder="1" applyAlignment="1">
      <alignment horizontal="center"/>
    </xf>
    <xf numFmtId="17" fontId="26" fillId="9" borderId="17" xfId="13" applyNumberFormat="1" applyFont="1" applyFill="1" applyBorder="1" applyAlignment="1">
      <alignment horizontal="center"/>
    </xf>
    <xf numFmtId="0" fontId="27" fillId="9" borderId="17" xfId="13" applyFont="1" applyFill="1" applyBorder="1" applyAlignment="1">
      <alignment horizontal="center"/>
    </xf>
    <xf numFmtId="169" fontId="28" fillId="0" borderId="8" xfId="14" applyNumberFormat="1" applyFont="1" applyBorder="1" applyAlignment="1">
      <alignment horizontal="left" vertical="top"/>
    </xf>
    <xf numFmtId="169" fontId="28" fillId="0" borderId="8" xfId="14" applyNumberFormat="1" applyFont="1" applyBorder="1" applyAlignment="1">
      <alignment horizontal="right" vertical="top"/>
    </xf>
    <xf numFmtId="167" fontId="40" fillId="0" borderId="18" xfId="15" applyNumberFormat="1" applyFont="1" applyBorder="1" applyAlignment="1">
      <alignment horizontal="center" vertical="center"/>
    </xf>
    <xf numFmtId="169" fontId="28" fillId="0" borderId="7" xfId="14" applyNumberFormat="1" applyFont="1" applyBorder="1" applyAlignment="1">
      <alignment horizontal="right" vertical="top"/>
    </xf>
    <xf numFmtId="169" fontId="40" fillId="0" borderId="0" xfId="14" applyNumberFormat="1" applyFont="1" applyBorder="1" applyAlignment="1">
      <alignment horizontal="right" vertical="center"/>
    </xf>
    <xf numFmtId="169" fontId="28" fillId="11" borderId="8" xfId="14" applyNumberFormat="1" applyFont="1" applyFill="1" applyBorder="1" applyAlignment="1">
      <alignment horizontal="left" vertical="top"/>
    </xf>
    <xf numFmtId="169" fontId="28" fillId="11" borderId="8" xfId="14" applyNumberFormat="1" applyFont="1" applyFill="1" applyBorder="1" applyAlignment="1">
      <alignment horizontal="right" vertical="top"/>
    </xf>
    <xf numFmtId="169" fontId="28" fillId="14" borderId="8" xfId="14" applyNumberFormat="1" applyFont="1" applyFill="1" applyBorder="1" applyAlignment="1">
      <alignment horizontal="left" vertical="top"/>
    </xf>
    <xf numFmtId="167" fontId="40" fillId="14" borderId="18" xfId="15" applyNumberFormat="1" applyFont="1" applyFill="1" applyBorder="1" applyAlignment="1">
      <alignment horizontal="center" vertical="center"/>
    </xf>
    <xf numFmtId="169" fontId="28" fillId="14" borderId="7" xfId="14" applyNumberFormat="1" applyFont="1" applyFill="1" applyBorder="1" applyAlignment="1">
      <alignment horizontal="right" vertical="top"/>
    </xf>
    <xf numFmtId="169" fontId="40" fillId="14" borderId="0" xfId="14" applyNumberFormat="1" applyFont="1" applyFill="1" applyBorder="1" applyAlignment="1">
      <alignment horizontal="right" vertical="center"/>
    </xf>
    <xf numFmtId="169" fontId="39" fillId="0" borderId="4" xfId="14" applyNumberFormat="1" applyFont="1" applyBorder="1" applyAlignment="1">
      <alignment horizontal="left" vertical="center"/>
    </xf>
    <xf numFmtId="169" fontId="39" fillId="0" borderId="4" xfId="14" applyNumberFormat="1" applyFont="1" applyBorder="1" applyAlignment="1">
      <alignment horizontal="right" vertical="center"/>
    </xf>
    <xf numFmtId="9" fontId="41" fillId="0" borderId="0" xfId="10" applyFont="1" applyAlignment="1">
      <alignment horizontal="right"/>
    </xf>
    <xf numFmtId="169" fontId="28" fillId="13" borderId="8" xfId="14" applyNumberFormat="1" applyFont="1" applyFill="1" applyBorder="1" applyAlignment="1">
      <alignment horizontal="left" vertical="top"/>
    </xf>
    <xf numFmtId="169" fontId="28" fillId="13" borderId="8" xfId="14" applyNumberFormat="1" applyFont="1" applyFill="1" applyBorder="1" applyAlignment="1">
      <alignment horizontal="right" vertical="top"/>
    </xf>
    <xf numFmtId="169" fontId="40" fillId="14" borderId="7" xfId="14" applyNumberFormat="1" applyFont="1" applyFill="1" applyBorder="1" applyAlignment="1">
      <alignment horizontal="right" vertical="center"/>
    </xf>
    <xf numFmtId="169" fontId="28" fillId="0" borderId="8" xfId="14" applyNumberFormat="1" applyFont="1" applyFill="1" applyBorder="1" applyAlignment="1">
      <alignment horizontal="left" vertical="top"/>
    </xf>
    <xf numFmtId="169" fontId="28" fillId="0" borderId="8" xfId="14" applyNumberFormat="1" applyFont="1" applyFill="1" applyBorder="1" applyAlignment="1">
      <alignment horizontal="right" vertical="top"/>
    </xf>
    <xf numFmtId="169" fontId="28" fillId="0" borderId="7" xfId="14" applyNumberFormat="1" applyFont="1" applyFill="1" applyBorder="1" applyAlignment="1">
      <alignment horizontal="right" vertical="top"/>
    </xf>
    <xf numFmtId="169" fontId="40" fillId="0" borderId="0" xfId="14" applyNumberFormat="1" applyFont="1" applyFill="1" applyBorder="1" applyAlignment="1">
      <alignment horizontal="right" vertical="center"/>
    </xf>
    <xf numFmtId="169" fontId="40" fillId="0" borderId="8" xfId="14" applyNumberFormat="1" applyFont="1" applyBorder="1" applyAlignment="1">
      <alignment horizontal="right" vertical="center"/>
    </xf>
    <xf numFmtId="169" fontId="40" fillId="13" borderId="8" xfId="14" applyNumberFormat="1" applyFont="1" applyFill="1" applyBorder="1" applyAlignment="1">
      <alignment horizontal="left" vertical="center"/>
    </xf>
    <xf numFmtId="169" fontId="28" fillId="11" borderId="8" xfId="14" applyNumberFormat="1" applyFont="1" applyFill="1" applyBorder="1" applyAlignment="1">
      <alignment horizontal="left" vertical="top" wrapText="1"/>
    </xf>
    <xf numFmtId="169" fontId="40" fillId="13" borderId="8" xfId="14" applyNumberFormat="1" applyFont="1" applyFill="1" applyBorder="1" applyAlignment="1">
      <alignment horizontal="right" vertical="center"/>
    </xf>
    <xf numFmtId="169" fontId="28" fillId="0" borderId="0" xfId="14" applyNumberFormat="1" applyFont="1" applyBorder="1" applyAlignment="1">
      <alignment horizontal="right" vertical="top"/>
    </xf>
    <xf numFmtId="169" fontId="40" fillId="11" borderId="8" xfId="14" applyNumberFormat="1" applyFont="1" applyFill="1" applyBorder="1" applyAlignment="1">
      <alignment horizontal="left" vertical="center"/>
    </xf>
    <xf numFmtId="169" fontId="28" fillId="14" borderId="0" xfId="14" applyNumberFormat="1" applyFont="1" applyFill="1" applyBorder="1" applyAlignment="1">
      <alignment horizontal="right" vertical="top"/>
    </xf>
    <xf numFmtId="169" fontId="40" fillId="14" borderId="8" xfId="14" applyNumberFormat="1" applyFont="1" applyFill="1" applyBorder="1" applyAlignment="1">
      <alignment horizontal="left" vertical="center"/>
    </xf>
    <xf numFmtId="169" fontId="40" fillId="11" borderId="8" xfId="14" applyNumberFormat="1" applyFont="1" applyFill="1" applyBorder="1" applyAlignment="1">
      <alignment horizontal="right" vertical="center"/>
    </xf>
    <xf numFmtId="169" fontId="39" fillId="12" borderId="4" xfId="14" applyNumberFormat="1" applyFont="1" applyFill="1" applyBorder="1" applyAlignment="1">
      <alignment horizontal="right" vertical="center"/>
    </xf>
    <xf numFmtId="169" fontId="40" fillId="0" borderId="8" xfId="14" applyNumberFormat="1" applyFont="1" applyBorder="1" applyAlignment="1">
      <alignment horizontal="center" vertical="center"/>
    </xf>
    <xf numFmtId="169" fontId="40" fillId="0" borderId="8" xfId="14" applyNumberFormat="1" applyFont="1" applyFill="1" applyBorder="1" applyAlignment="1">
      <alignment horizontal="center" vertical="center"/>
    </xf>
    <xf numFmtId="169" fontId="39" fillId="12" borderId="4" xfId="14" applyNumberFormat="1" applyFont="1" applyFill="1" applyBorder="1" applyAlignment="1">
      <alignment horizontal="center" vertical="center"/>
    </xf>
    <xf numFmtId="169" fontId="39" fillId="0" borderId="4" xfId="14" applyNumberFormat="1" applyFont="1" applyBorder="1" applyAlignment="1">
      <alignment horizontal="center" vertical="center"/>
    </xf>
    <xf numFmtId="165" fontId="40" fillId="0" borderId="0" xfId="13" applyNumberFormat="1" applyFont="1"/>
    <xf numFmtId="167" fontId="40" fillId="14" borderId="8" xfId="15" applyNumberFormat="1" applyFont="1" applyFill="1" applyBorder="1" applyAlignment="1">
      <alignment horizontal="left" vertical="center"/>
    </xf>
    <xf numFmtId="167" fontId="40" fillId="14" borderId="8" xfId="15" applyNumberFormat="1" applyFont="1" applyFill="1" applyBorder="1" applyAlignment="1">
      <alignment horizontal="center" vertical="center"/>
    </xf>
    <xf numFmtId="0" fontId="40" fillId="0" borderId="8" xfId="13" applyFont="1" applyBorder="1" applyAlignment="1">
      <alignment horizontal="left" vertical="center"/>
    </xf>
    <xf numFmtId="0" fontId="40" fillId="0" borderId="8" xfId="13" applyFont="1" applyBorder="1" applyAlignment="1">
      <alignment horizontal="center" vertical="center"/>
    </xf>
    <xf numFmtId="167" fontId="39" fillId="0" borderId="4" xfId="15" applyNumberFormat="1" applyFont="1" applyBorder="1" applyAlignment="1">
      <alignment horizontal="left" vertical="center"/>
    </xf>
    <xf numFmtId="167" fontId="39" fillId="0" borderId="4" xfId="15" applyNumberFormat="1" applyFont="1" applyBorder="1" applyAlignment="1">
      <alignment horizontal="center" vertical="center"/>
    </xf>
    <xf numFmtId="167" fontId="40" fillId="0" borderId="8" xfId="15" applyNumberFormat="1" applyFont="1" applyBorder="1" applyAlignment="1">
      <alignment horizontal="left" vertical="center"/>
    </xf>
    <xf numFmtId="167" fontId="40" fillId="0" borderId="8" xfId="15" applyNumberFormat="1" applyFont="1" applyBorder="1" applyAlignment="1">
      <alignment horizontal="center" vertical="center"/>
    </xf>
    <xf numFmtId="167" fontId="39" fillId="13" borderId="4" xfId="15" applyNumberFormat="1" applyFont="1" applyFill="1" applyBorder="1" applyAlignment="1">
      <alignment horizontal="center" vertical="center"/>
    </xf>
    <xf numFmtId="166" fontId="28" fillId="14" borderId="0" xfId="9" applyNumberFormat="1" applyFont="1" applyFill="1"/>
    <xf numFmtId="167" fontId="40" fillId="15" borderId="8" xfId="15" applyNumberFormat="1" applyFont="1" applyFill="1" applyBorder="1" applyAlignment="1">
      <alignment horizontal="center" vertical="center"/>
    </xf>
    <xf numFmtId="167" fontId="40" fillId="15" borderId="18" xfId="15" applyNumberFormat="1" applyFont="1" applyFill="1" applyBorder="1" applyAlignment="1">
      <alignment horizontal="center" vertical="center"/>
    </xf>
    <xf numFmtId="0" fontId="28" fillId="15" borderId="0" xfId="9" applyFont="1" applyFill="1"/>
    <xf numFmtId="167" fontId="40" fillId="0" borderId="8" xfId="13" applyNumberFormat="1" applyFont="1" applyBorder="1" applyAlignment="1">
      <alignment horizontal="center" vertical="center"/>
    </xf>
    <xf numFmtId="0" fontId="40" fillId="14" borderId="0" xfId="13" applyFont="1" applyFill="1" applyAlignment="1">
      <alignment horizontal="left"/>
    </xf>
    <xf numFmtId="0" fontId="40" fillId="14" borderId="0" xfId="13" applyFont="1" applyFill="1"/>
    <xf numFmtId="9" fontId="41" fillId="14" borderId="0" xfId="10" applyFont="1" applyFill="1" applyAlignment="1">
      <alignment horizontal="right"/>
    </xf>
    <xf numFmtId="167" fontId="40" fillId="0" borderId="19" xfId="15" applyNumberFormat="1" applyFont="1" applyBorder="1" applyAlignment="1">
      <alignment horizontal="left" vertical="center"/>
    </xf>
    <xf numFmtId="167" fontId="40" fillId="0" borderId="19" xfId="15" applyNumberFormat="1" applyFont="1" applyBorder="1" applyAlignment="1">
      <alignment horizontal="center" vertical="center"/>
    </xf>
    <xf numFmtId="167" fontId="40" fillId="0" borderId="7" xfId="15" applyNumberFormat="1" applyFont="1" applyBorder="1" applyAlignment="1">
      <alignment horizontal="center" vertical="center"/>
    </xf>
    <xf numFmtId="167" fontId="40" fillId="0" borderId="20" xfId="15" applyNumberFormat="1" applyFont="1" applyFill="1" applyBorder="1" applyAlignment="1">
      <alignment horizontal="center" vertical="center"/>
    </xf>
    <xf numFmtId="167" fontId="40" fillId="0" borderId="21" xfId="15" applyNumberFormat="1" applyFont="1" applyBorder="1" applyAlignment="1">
      <alignment horizontal="center" vertical="center"/>
    </xf>
    <xf numFmtId="167" fontId="40" fillId="0" borderId="20" xfId="15" applyNumberFormat="1" applyFont="1" applyBorder="1" applyAlignment="1">
      <alignment horizontal="center" vertical="center"/>
    </xf>
    <xf numFmtId="0" fontId="40" fillId="0" borderId="19" xfId="13" applyFont="1" applyBorder="1" applyAlignment="1">
      <alignment horizontal="left" vertical="center"/>
    </xf>
    <xf numFmtId="0" fontId="40" fillId="0" borderId="19" xfId="13" applyFont="1" applyBorder="1" applyAlignment="1">
      <alignment horizontal="center" vertical="center"/>
    </xf>
    <xf numFmtId="0" fontId="40" fillId="0" borderId="7" xfId="13" applyFont="1" applyBorder="1" applyAlignment="1">
      <alignment horizontal="center" vertical="center"/>
    </xf>
    <xf numFmtId="167" fontId="39" fillId="13" borderId="22" xfId="15" applyNumberFormat="1" applyFont="1" applyFill="1" applyBorder="1" applyAlignment="1">
      <alignment horizontal="center" vertical="center"/>
    </xf>
    <xf numFmtId="167" fontId="39" fillId="13" borderId="23" xfId="15" applyNumberFormat="1" applyFont="1" applyFill="1" applyBorder="1" applyAlignment="1">
      <alignment horizontal="center" vertical="center"/>
    </xf>
    <xf numFmtId="0" fontId="40" fillId="0" borderId="20" xfId="13" applyFont="1" applyBorder="1" applyAlignment="1">
      <alignment horizontal="center" vertical="center"/>
    </xf>
    <xf numFmtId="167" fontId="39" fillId="0" borderId="23" xfId="15" applyNumberFormat="1" applyFont="1" applyBorder="1" applyAlignment="1">
      <alignment horizontal="center" vertical="center"/>
    </xf>
    <xf numFmtId="167" fontId="39" fillId="0" borderId="22" xfId="15" applyNumberFormat="1" applyFont="1" applyBorder="1" applyAlignment="1">
      <alignment horizontal="center" vertical="center"/>
    </xf>
    <xf numFmtId="167" fontId="40" fillId="11" borderId="8" xfId="15" applyNumberFormat="1" applyFont="1" applyFill="1" applyBorder="1" applyAlignment="1">
      <alignment horizontal="center" vertical="center"/>
    </xf>
    <xf numFmtId="167" fontId="40" fillId="0" borderId="8" xfId="15" applyNumberFormat="1" applyFont="1" applyFill="1" applyBorder="1" applyAlignment="1">
      <alignment horizontal="left" vertical="center"/>
    </xf>
    <xf numFmtId="167" fontId="40" fillId="0" borderId="8" xfId="15" applyNumberFormat="1" applyFont="1" applyFill="1" applyBorder="1" applyAlignment="1">
      <alignment horizontal="center" vertical="center"/>
    </xf>
    <xf numFmtId="167" fontId="40" fillId="0" borderId="18" xfId="15" applyNumberFormat="1" applyFont="1" applyFill="1" applyBorder="1" applyAlignment="1">
      <alignment horizontal="center" vertical="center"/>
    </xf>
    <xf numFmtId="167" fontId="39" fillId="0" borderId="4" xfId="15" applyNumberFormat="1" applyFont="1" applyFill="1" applyBorder="1" applyAlignment="1">
      <alignment horizontal="left" vertical="center"/>
    </xf>
    <xf numFmtId="167" fontId="39" fillId="0" borderId="4" xfId="15" applyNumberFormat="1" applyFont="1" applyFill="1" applyBorder="1" applyAlignment="1">
      <alignment horizontal="center" vertical="center"/>
    </xf>
    <xf numFmtId="167" fontId="39" fillId="0" borderId="8" xfId="15" applyNumberFormat="1" applyFont="1" applyFill="1" applyBorder="1" applyAlignment="1">
      <alignment horizontal="left" vertical="center"/>
    </xf>
    <xf numFmtId="167" fontId="39" fillId="0" borderId="8" xfId="15" applyNumberFormat="1" applyFont="1" applyFill="1" applyBorder="1" applyAlignment="1">
      <alignment horizontal="center" vertical="center"/>
    </xf>
    <xf numFmtId="167" fontId="40" fillId="16" borderId="8" xfId="15" applyNumberFormat="1" applyFont="1" applyFill="1" applyBorder="1" applyAlignment="1">
      <alignment horizontal="left" vertical="center"/>
    </xf>
    <xf numFmtId="167" fontId="40" fillId="16" borderId="8" xfId="15" applyNumberFormat="1" applyFont="1" applyFill="1" applyBorder="1" applyAlignment="1">
      <alignment horizontal="center" vertical="center"/>
    </xf>
    <xf numFmtId="167" fontId="40" fillId="16" borderId="18" xfId="15" applyNumberFormat="1" applyFont="1" applyFill="1" applyBorder="1" applyAlignment="1">
      <alignment horizontal="center" vertical="center"/>
    </xf>
    <xf numFmtId="0" fontId="28" fillId="16" borderId="0" xfId="9" applyFont="1" applyFill="1" applyAlignment="1">
      <alignment horizontal="left"/>
    </xf>
    <xf numFmtId="0" fontId="44" fillId="0" borderId="0" xfId="9" applyFont="1" applyAlignment="1">
      <alignment vertical="center"/>
    </xf>
    <xf numFmtId="169" fontId="45" fillId="0" borderId="0" xfId="14" applyNumberFormat="1" applyFont="1" applyFill="1" applyBorder="1" applyAlignment="1">
      <alignment vertical="center"/>
    </xf>
    <xf numFmtId="0" fontId="46" fillId="0" borderId="0" xfId="9" applyFont="1" applyAlignment="1">
      <alignment vertical="center"/>
    </xf>
    <xf numFmtId="169" fontId="45" fillId="0" borderId="0" xfId="14" applyNumberFormat="1" applyFont="1" applyFill="1" applyBorder="1" applyAlignment="1">
      <alignment horizontal="center" vertical="center"/>
    </xf>
    <xf numFmtId="0" fontId="47" fillId="0" borderId="0" xfId="9" applyFont="1" applyAlignment="1">
      <alignment vertical="center"/>
    </xf>
    <xf numFmtId="169" fontId="48" fillId="0" borderId="0" xfId="14" applyNumberFormat="1" applyFont="1" applyFill="1" applyBorder="1" applyAlignment="1">
      <alignment vertical="center"/>
    </xf>
    <xf numFmtId="0" fontId="11" fillId="0" borderId="0" xfId="9" applyFont="1" applyAlignment="1">
      <alignment vertical="center"/>
    </xf>
    <xf numFmtId="169" fontId="48" fillId="0" borderId="0" xfId="14" applyNumberFormat="1" applyFont="1" applyFill="1" applyBorder="1" applyAlignment="1">
      <alignment horizontal="center" vertical="center"/>
    </xf>
    <xf numFmtId="169" fontId="49" fillId="0" borderId="0" xfId="14" applyNumberFormat="1" applyFont="1" applyFill="1" applyBorder="1" applyAlignment="1">
      <alignment vertical="center"/>
    </xf>
    <xf numFmtId="165" fontId="49" fillId="0" borderId="0" xfId="14" applyFont="1" applyFill="1" applyBorder="1" applyAlignment="1">
      <alignment horizontal="right" vertical="center"/>
    </xf>
    <xf numFmtId="169" fontId="49" fillId="0" borderId="0" xfId="14" applyNumberFormat="1" applyFont="1" applyFill="1" applyBorder="1" applyAlignment="1">
      <alignment horizontal="right" vertical="center"/>
    </xf>
    <xf numFmtId="0" fontId="50" fillId="0" borderId="0" xfId="9" applyFont="1" applyAlignment="1">
      <alignment vertical="center"/>
    </xf>
    <xf numFmtId="169" fontId="49" fillId="0" borderId="0" xfId="14" applyNumberFormat="1" applyFont="1" applyFill="1" applyBorder="1" applyAlignment="1">
      <alignment horizontal="center" vertical="center"/>
    </xf>
    <xf numFmtId="17" fontId="51" fillId="0" borderId="6" xfId="9" applyNumberFormat="1" applyFont="1" applyBorder="1" applyAlignment="1">
      <alignment horizontal="center" vertical="center" wrapText="1"/>
    </xf>
    <xf numFmtId="17" fontId="51" fillId="0" borderId="0" xfId="9" applyNumberFormat="1" applyFont="1" applyAlignment="1">
      <alignment horizontal="center" vertical="center" wrapText="1"/>
    </xf>
    <xf numFmtId="169" fontId="52" fillId="0" borderId="8" xfId="14" applyNumberFormat="1" applyFont="1" applyFill="1" applyBorder="1" applyAlignment="1">
      <alignment vertical="center"/>
    </xf>
    <xf numFmtId="17" fontId="51" fillId="0" borderId="8" xfId="9" applyNumberFormat="1" applyFont="1" applyBorder="1" applyAlignment="1">
      <alignment horizontal="center" vertical="center" wrapText="1"/>
    </xf>
    <xf numFmtId="175" fontId="51" fillId="0" borderId="8" xfId="9" applyNumberFormat="1" applyFont="1" applyBorder="1" applyAlignment="1">
      <alignment horizontal="center" vertical="center" wrapText="1"/>
    </xf>
    <xf numFmtId="165" fontId="51" fillId="0" borderId="0" xfId="14" applyFont="1" applyAlignment="1">
      <alignment horizontal="center" vertical="center" wrapText="1"/>
    </xf>
    <xf numFmtId="169" fontId="29" fillId="0" borderId="8" xfId="14" applyNumberFormat="1" applyFont="1" applyFill="1" applyBorder="1" applyAlignment="1">
      <alignment vertical="center"/>
    </xf>
    <xf numFmtId="175" fontId="29" fillId="0" borderId="8" xfId="14" applyNumberFormat="1" applyFont="1" applyFill="1" applyBorder="1" applyAlignment="1">
      <alignment horizontal="right" vertical="center"/>
    </xf>
    <xf numFmtId="9" fontId="29" fillId="0" borderId="8" xfId="10" applyFont="1" applyFill="1" applyBorder="1" applyAlignment="1">
      <alignment horizontal="center" vertical="center"/>
    </xf>
    <xf numFmtId="175" fontId="29" fillId="0" borderId="8" xfId="14" applyNumberFormat="1" applyFont="1" applyFill="1" applyBorder="1" applyAlignment="1">
      <alignment horizontal="center" vertical="center"/>
    </xf>
    <xf numFmtId="175" fontId="52" fillId="0" borderId="8" xfId="14" applyNumberFormat="1" applyFont="1" applyFill="1" applyBorder="1" applyAlignment="1">
      <alignment horizontal="right" vertical="center"/>
    </xf>
    <xf numFmtId="0" fontId="24" fillId="0" borderId="0" xfId="9" applyFont="1" applyAlignment="1">
      <alignment vertical="center"/>
    </xf>
    <xf numFmtId="175" fontId="52" fillId="0" borderId="8" xfId="14" applyNumberFormat="1" applyFont="1" applyFill="1" applyBorder="1" applyAlignment="1">
      <alignment horizontal="center" vertical="center"/>
    </xf>
    <xf numFmtId="169" fontId="52" fillId="0" borderId="8" xfId="14" applyNumberFormat="1" applyFont="1" applyFill="1" applyBorder="1" applyAlignment="1">
      <alignment horizontal="right" vertical="center"/>
    </xf>
    <xf numFmtId="169" fontId="52" fillId="0" borderId="8" xfId="14" applyNumberFormat="1" applyFont="1" applyFill="1" applyBorder="1" applyAlignment="1">
      <alignment horizontal="center" vertical="center"/>
    </xf>
    <xf numFmtId="9" fontId="52" fillId="0" borderId="8" xfId="10" applyFont="1" applyFill="1" applyBorder="1" applyAlignment="1">
      <alignment horizontal="right" vertical="center"/>
    </xf>
    <xf numFmtId="9" fontId="52" fillId="0" borderId="8" xfId="10" applyFont="1" applyFill="1" applyBorder="1" applyAlignment="1">
      <alignment horizontal="center" vertical="center"/>
    </xf>
    <xf numFmtId="175" fontId="52" fillId="0" borderId="8" xfId="10" applyNumberFormat="1" applyFont="1" applyFill="1" applyBorder="1" applyAlignment="1">
      <alignment horizontal="right" vertical="center"/>
    </xf>
    <xf numFmtId="175" fontId="11" fillId="0" borderId="0" xfId="9" applyNumberFormat="1" applyFont="1" applyAlignment="1">
      <alignment vertical="center"/>
    </xf>
    <xf numFmtId="9" fontId="52" fillId="0" borderId="8" xfId="10" applyFont="1" applyFill="1" applyBorder="1" applyAlignment="1">
      <alignment vertical="center"/>
    </xf>
    <xf numFmtId="9" fontId="24" fillId="0" borderId="0" xfId="10" applyFont="1" applyFill="1" applyBorder="1" applyAlignment="1">
      <alignment vertical="center"/>
    </xf>
    <xf numFmtId="9" fontId="11" fillId="0" borderId="0" xfId="10" applyFont="1" applyFill="1" applyBorder="1" applyAlignment="1">
      <alignment vertical="center"/>
    </xf>
    <xf numFmtId="175" fontId="29" fillId="15" borderId="8" xfId="14" applyNumberFormat="1" applyFont="1" applyFill="1" applyBorder="1" applyAlignment="1">
      <alignment horizontal="right" vertical="center"/>
    </xf>
    <xf numFmtId="175" fontId="51" fillId="0" borderId="0" xfId="9" applyNumberFormat="1" applyFont="1" applyAlignment="1">
      <alignment horizontal="center" vertical="center" wrapText="1"/>
    </xf>
    <xf numFmtId="9" fontId="46" fillId="0" borderId="0" xfId="10" applyFont="1" applyAlignment="1">
      <alignment horizontal="center" vertical="center" wrapText="1"/>
    </xf>
    <xf numFmtId="169" fontId="29" fillId="0" borderId="8" xfId="14" applyNumberFormat="1" applyFont="1" applyFill="1" applyBorder="1" applyAlignment="1">
      <alignment horizontal="right" vertical="center"/>
    </xf>
    <xf numFmtId="169" fontId="2" fillId="8" borderId="8" xfId="14" applyNumberFormat="1" applyFont="1" applyFill="1" applyBorder="1" applyAlignment="1">
      <alignment vertical="center"/>
    </xf>
    <xf numFmtId="175" fontId="2" fillId="8" borderId="8" xfId="14" applyNumberFormat="1" applyFont="1" applyFill="1" applyBorder="1" applyAlignment="1">
      <alignment horizontal="right" vertical="center"/>
    </xf>
    <xf numFmtId="9" fontId="11" fillId="8" borderId="0" xfId="10" applyFont="1" applyFill="1" applyAlignment="1">
      <alignment horizontal="center" vertical="center" wrapText="1"/>
    </xf>
    <xf numFmtId="0" fontId="11" fillId="8" borderId="0" xfId="9" applyFont="1" applyFill="1" applyAlignment="1">
      <alignment vertical="center"/>
    </xf>
    <xf numFmtId="9" fontId="2" fillId="8" borderId="8" xfId="10" applyFont="1" applyFill="1" applyBorder="1" applyAlignment="1">
      <alignment horizontal="center" vertical="center"/>
    </xf>
    <xf numFmtId="169" fontId="21" fillId="0" borderId="7" xfId="16" applyNumberFormat="1" applyFont="1" applyFill="1" applyBorder="1"/>
    <xf numFmtId="10" fontId="52" fillId="0" borderId="8" xfId="10" applyNumberFormat="1" applyFont="1" applyFill="1" applyBorder="1" applyAlignment="1">
      <alignment horizontal="right" vertical="center"/>
    </xf>
    <xf numFmtId="9" fontId="24" fillId="0" borderId="0" xfId="9" applyNumberFormat="1" applyFont="1" applyAlignment="1">
      <alignment vertical="center"/>
    </xf>
    <xf numFmtId="169" fontId="52" fillId="0" borderId="10" xfId="14" applyNumberFormat="1" applyFont="1" applyFill="1" applyBorder="1" applyAlignment="1">
      <alignment vertical="center"/>
    </xf>
    <xf numFmtId="9" fontId="11" fillId="0" borderId="10" xfId="10" applyFont="1" applyFill="1" applyBorder="1" applyAlignment="1">
      <alignment vertical="center"/>
    </xf>
    <xf numFmtId="176" fontId="11" fillId="0" borderId="0" xfId="9" applyNumberFormat="1" applyFont="1" applyAlignment="1">
      <alignment vertical="center"/>
    </xf>
    <xf numFmtId="9" fontId="11" fillId="0" borderId="10" xfId="10" applyFont="1" applyFill="1" applyBorder="1" applyAlignment="1">
      <alignment horizontal="center" vertical="center"/>
    </xf>
    <xf numFmtId="169" fontId="11" fillId="0" borderId="0" xfId="14" applyNumberFormat="1" applyFont="1" applyFill="1" applyBorder="1" applyAlignment="1">
      <alignment vertical="center"/>
    </xf>
    <xf numFmtId="169" fontId="11" fillId="0" borderId="0" xfId="14" applyNumberFormat="1" applyFont="1" applyFill="1" applyBorder="1" applyAlignment="1">
      <alignment horizontal="center" vertical="center"/>
    </xf>
    <xf numFmtId="0" fontId="24" fillId="0" borderId="0" xfId="9" applyFont="1" applyAlignment="1">
      <alignment horizontal="left" vertical="center"/>
    </xf>
    <xf numFmtId="0" fontId="11" fillId="0" borderId="4" xfId="9" applyFont="1" applyBorder="1" applyAlignment="1">
      <alignment vertical="center"/>
    </xf>
    <xf numFmtId="169" fontId="0" fillId="0" borderId="4" xfId="14" applyNumberFormat="1" applyFont="1" applyBorder="1"/>
    <xf numFmtId="0" fontId="2" fillId="0" borderId="0" xfId="9" applyAlignment="1">
      <alignment horizontal="center"/>
    </xf>
    <xf numFmtId="175" fontId="2" fillId="0" borderId="0" xfId="9" applyNumberFormat="1"/>
    <xf numFmtId="0" fontId="54" fillId="0" borderId="0" xfId="9" applyFont="1"/>
    <xf numFmtId="0" fontId="55" fillId="0" borderId="0" xfId="9" applyFont="1"/>
    <xf numFmtId="0" fontId="56" fillId="17" borderId="0" xfId="9" applyFont="1" applyFill="1" applyAlignment="1">
      <alignment horizontal="center" vertical="center" wrapText="1"/>
    </xf>
    <xf numFmtId="17" fontId="57" fillId="18" borderId="0" xfId="9" applyNumberFormat="1" applyFont="1" applyFill="1" applyAlignment="1">
      <alignment horizontal="center" vertical="top" wrapText="1"/>
    </xf>
    <xf numFmtId="17" fontId="57" fillId="0" borderId="0" xfId="9" applyNumberFormat="1" applyFont="1" applyAlignment="1">
      <alignment horizontal="center" vertical="top" wrapText="1"/>
    </xf>
    <xf numFmtId="0" fontId="58" fillId="0" borderId="0" xfId="9" applyFont="1"/>
    <xf numFmtId="0" fontId="59" fillId="0" borderId="0" xfId="9" applyFont="1"/>
    <xf numFmtId="177" fontId="59" fillId="0" borderId="0" xfId="9" applyNumberFormat="1" applyFont="1"/>
    <xf numFmtId="178" fontId="59" fillId="0" borderId="0" xfId="9" applyNumberFormat="1" applyFont="1"/>
    <xf numFmtId="2" fontId="59" fillId="0" borderId="0" xfId="9" applyNumberFormat="1" applyFont="1"/>
    <xf numFmtId="2" fontId="2" fillId="0" borderId="0" xfId="9" applyNumberFormat="1"/>
    <xf numFmtId="167" fontId="0" fillId="0" borderId="0" xfId="17" applyNumberFormat="1" applyFont="1" applyBorder="1"/>
    <xf numFmtId="167" fontId="0" fillId="0" borderId="0" xfId="17" applyNumberFormat="1" applyFont="1" applyFill="1" applyBorder="1"/>
    <xf numFmtId="0" fontId="60" fillId="0" borderId="0" xfId="9" applyFont="1"/>
    <xf numFmtId="0" fontId="61" fillId="19" borderId="24" xfId="9" applyFont="1" applyFill="1" applyBorder="1"/>
    <xf numFmtId="177" fontId="61" fillId="19" borderId="24" xfId="9" applyNumberFormat="1" applyFont="1" applyFill="1" applyBorder="1"/>
    <xf numFmtId="178" fontId="61" fillId="19" borderId="24" xfId="9" applyNumberFormat="1" applyFont="1" applyFill="1" applyBorder="1"/>
    <xf numFmtId="1" fontId="61" fillId="19" borderId="24" xfId="9" applyNumberFormat="1" applyFont="1" applyFill="1" applyBorder="1"/>
    <xf numFmtId="2" fontId="61" fillId="19" borderId="24" xfId="9" applyNumberFormat="1" applyFont="1" applyFill="1" applyBorder="1"/>
    <xf numFmtId="9" fontId="61" fillId="19" borderId="24" xfId="9" applyNumberFormat="1" applyFont="1" applyFill="1" applyBorder="1"/>
    <xf numFmtId="2" fontId="6" fillId="20" borderId="14" xfId="9" applyNumberFormat="1" applyFont="1" applyFill="1" applyBorder="1"/>
    <xf numFmtId="177" fontId="61" fillId="20" borderId="14" xfId="9" applyNumberFormat="1" applyFont="1" applyFill="1" applyBorder="1"/>
    <xf numFmtId="167" fontId="6" fillId="20" borderId="14" xfId="17" applyNumberFormat="1" applyFont="1" applyFill="1" applyBorder="1"/>
    <xf numFmtId="167" fontId="6" fillId="0" borderId="0" xfId="17" applyNumberFormat="1" applyFont="1" applyFill="1" applyBorder="1"/>
    <xf numFmtId="0" fontId="62" fillId="0" borderId="0" xfId="9" applyFont="1"/>
    <xf numFmtId="0" fontId="57" fillId="18" borderId="0" xfId="9" applyFont="1" applyFill="1" applyAlignment="1">
      <alignment horizontal="center" vertical="top" wrapText="1"/>
    </xf>
    <xf numFmtId="17" fontId="63" fillId="18" borderId="0" xfId="9" applyNumberFormat="1" applyFont="1" applyFill="1" applyAlignment="1">
      <alignment horizontal="center" vertical="top" wrapText="1"/>
    </xf>
    <xf numFmtId="0" fontId="64" fillId="0" borderId="0" xfId="9" applyFont="1"/>
    <xf numFmtId="0" fontId="2" fillId="0" borderId="0" xfId="9" applyAlignment="1">
      <alignment horizontal="left"/>
    </xf>
    <xf numFmtId="169" fontId="59" fillId="0" borderId="0" xfId="18" applyNumberFormat="1" applyFont="1" applyFill="1" applyBorder="1"/>
    <xf numFmtId="9" fontId="59" fillId="0" borderId="0" xfId="10" applyFont="1" applyFill="1" applyBorder="1"/>
    <xf numFmtId="165" fontId="59" fillId="0" borderId="0" xfId="18" applyFont="1" applyFill="1" applyBorder="1"/>
    <xf numFmtId="169" fontId="59" fillId="0" borderId="0" xfId="18" applyNumberFormat="1" applyFont="1" applyBorder="1"/>
    <xf numFmtId="9" fontId="59" fillId="0" borderId="0" xfId="10" applyFont="1" applyBorder="1"/>
    <xf numFmtId="9" fontId="65" fillId="0" borderId="0" xfId="10" applyFont="1" applyFill="1" applyBorder="1"/>
    <xf numFmtId="0" fontId="6" fillId="0" borderId="24" xfId="9" applyFont="1" applyBorder="1"/>
    <xf numFmtId="169" fontId="61" fillId="0" borderId="24" xfId="18" applyNumberFormat="1" applyFont="1" applyFill="1" applyBorder="1"/>
    <xf numFmtId="9" fontId="61" fillId="0" borderId="24" xfId="10" applyFont="1" applyFill="1" applyBorder="1"/>
    <xf numFmtId="2" fontId="6" fillId="0" borderId="24" xfId="9" applyNumberFormat="1" applyFont="1" applyBorder="1"/>
    <xf numFmtId="169" fontId="61" fillId="0" borderId="24" xfId="18" applyNumberFormat="1" applyFont="1" applyBorder="1"/>
    <xf numFmtId="9" fontId="61" fillId="0" borderId="24" xfId="10" applyFont="1" applyBorder="1"/>
    <xf numFmtId="9" fontId="66" fillId="0" borderId="24" xfId="10" applyFont="1" applyFill="1" applyBorder="1"/>
    <xf numFmtId="169" fontId="6" fillId="0" borderId="24" xfId="9" applyNumberFormat="1" applyFont="1" applyBorder="1"/>
    <xf numFmtId="167" fontId="6" fillId="0" borderId="24" xfId="17" applyNumberFormat="1" applyFont="1" applyBorder="1"/>
    <xf numFmtId="0" fontId="47" fillId="0" borderId="0" xfId="9" applyFont="1"/>
    <xf numFmtId="9" fontId="59" fillId="0" borderId="0" xfId="10" applyFont="1"/>
    <xf numFmtId="0" fontId="67" fillId="0" borderId="0" xfId="9" applyFont="1"/>
    <xf numFmtId="17" fontId="6" fillId="2" borderId="4" xfId="9" applyNumberFormat="1" applyFont="1" applyFill="1" applyBorder="1" applyAlignment="1">
      <alignment horizontal="center"/>
    </xf>
    <xf numFmtId="0" fontId="68" fillId="0" borderId="0" xfId="9" applyFont="1"/>
    <xf numFmtId="0" fontId="69" fillId="0" borderId="0" xfId="9" applyFont="1"/>
    <xf numFmtId="9" fontId="63" fillId="0" borderId="0" xfId="9" applyNumberFormat="1" applyFont="1"/>
    <xf numFmtId="9" fontId="68" fillId="0" borderId="0" xfId="9" applyNumberFormat="1" applyFont="1"/>
    <xf numFmtId="9" fontId="68" fillId="0" borderId="0" xfId="9" applyNumberFormat="1" applyFont="1" applyAlignment="1">
      <alignment horizontal="center"/>
    </xf>
    <xf numFmtId="2" fontId="68" fillId="0" borderId="0" xfId="9" applyNumberFormat="1" applyFont="1" applyAlignment="1">
      <alignment horizontal="center"/>
    </xf>
    <xf numFmtId="9" fontId="69" fillId="0" borderId="0" xfId="9" applyNumberFormat="1" applyFont="1" applyAlignment="1">
      <alignment horizontal="right"/>
    </xf>
    <xf numFmtId="165" fontId="2" fillId="0" borderId="0" xfId="9" applyNumberFormat="1"/>
    <xf numFmtId="179" fontId="68" fillId="0" borderId="0" xfId="9" applyNumberFormat="1" applyFont="1"/>
    <xf numFmtId="167" fontId="68" fillId="0" borderId="0" xfId="19" applyNumberFormat="1" applyFont="1"/>
    <xf numFmtId="0" fontId="63" fillId="18" borderId="10" xfId="9" applyFont="1" applyFill="1" applyBorder="1" applyAlignment="1">
      <alignment horizontal="center" vertical="top" wrapText="1"/>
    </xf>
    <xf numFmtId="17" fontId="63" fillId="18" borderId="10" xfId="9" applyNumberFormat="1" applyFont="1" applyFill="1" applyBorder="1" applyAlignment="1">
      <alignment horizontal="center" vertical="top" wrapText="1"/>
    </xf>
    <xf numFmtId="17" fontId="63" fillId="18" borderId="4" xfId="9" applyNumberFormat="1" applyFont="1" applyFill="1" applyBorder="1" applyAlignment="1">
      <alignment horizontal="center" vertical="top" wrapText="1"/>
    </xf>
    <xf numFmtId="0" fontId="68" fillId="0" borderId="10" xfId="9" applyFont="1" applyBorder="1" applyAlignment="1">
      <alignment horizontal="left"/>
    </xf>
    <xf numFmtId="169" fontId="68" fillId="0" borderId="10" xfId="18" applyNumberFormat="1" applyFont="1" applyFill="1" applyBorder="1"/>
    <xf numFmtId="9" fontId="68" fillId="0" borderId="10" xfId="10" applyFont="1" applyFill="1" applyBorder="1"/>
    <xf numFmtId="165" fontId="68" fillId="0" borderId="10" xfId="18" applyFont="1" applyFill="1" applyBorder="1"/>
    <xf numFmtId="165" fontId="68" fillId="0" borderId="10" xfId="18" applyFont="1" applyBorder="1"/>
    <xf numFmtId="169" fontId="68" fillId="0" borderId="10" xfId="18" applyNumberFormat="1" applyFont="1" applyBorder="1"/>
    <xf numFmtId="9" fontId="68" fillId="0" borderId="10" xfId="10" applyFont="1" applyBorder="1"/>
    <xf numFmtId="9" fontId="69" fillId="0" borderId="10" xfId="10" applyFont="1" applyFill="1" applyBorder="1"/>
    <xf numFmtId="0" fontId="68" fillId="0" borderId="4" xfId="9" applyFont="1" applyBorder="1" applyAlignment="1">
      <alignment horizontal="left"/>
    </xf>
    <xf numFmtId="169" fontId="68" fillId="0" borderId="4" xfId="18" applyNumberFormat="1" applyFont="1" applyFill="1" applyBorder="1"/>
    <xf numFmtId="169" fontId="68" fillId="0" borderId="4" xfId="18" applyNumberFormat="1" applyFont="1" applyBorder="1"/>
    <xf numFmtId="9" fontId="68" fillId="0" borderId="4" xfId="10" applyFont="1" applyBorder="1"/>
    <xf numFmtId="9" fontId="69" fillId="0" borderId="4" xfId="10" applyFont="1" applyFill="1" applyBorder="1"/>
    <xf numFmtId="0" fontId="68" fillId="0" borderId="6" xfId="9" applyFont="1" applyBorder="1" applyAlignment="1">
      <alignment horizontal="left"/>
    </xf>
    <xf numFmtId="169" fontId="68" fillId="0" borderId="6" xfId="18" applyNumberFormat="1" applyFont="1" applyFill="1" applyBorder="1"/>
    <xf numFmtId="169" fontId="68" fillId="0" borderId="6" xfId="18" applyNumberFormat="1" applyFont="1" applyBorder="1"/>
    <xf numFmtId="9" fontId="68" fillId="0" borderId="6" xfId="10" applyFont="1" applyBorder="1"/>
    <xf numFmtId="9" fontId="69" fillId="0" borderId="6" xfId="10" applyFont="1" applyFill="1" applyBorder="1"/>
    <xf numFmtId="0" fontId="6" fillId="0" borderId="4" xfId="9" applyFont="1" applyBorder="1"/>
    <xf numFmtId="169" fontId="6" fillId="0" borderId="4" xfId="9" applyNumberFormat="1" applyFont="1" applyBorder="1"/>
    <xf numFmtId="9" fontId="67" fillId="0" borderId="4" xfId="10" applyFont="1" applyBorder="1"/>
    <xf numFmtId="9" fontId="70" fillId="0" borderId="4" xfId="10" applyFont="1" applyFill="1" applyBorder="1"/>
    <xf numFmtId="1" fontId="2" fillId="0" borderId="0" xfId="9" applyNumberFormat="1"/>
    <xf numFmtId="167" fontId="0" fillId="0" borderId="0" xfId="19" applyNumberFormat="1" applyFont="1"/>
    <xf numFmtId="0" fontId="6" fillId="21" borderId="0" xfId="9" applyFont="1" applyFill="1"/>
    <xf numFmtId="0" fontId="32" fillId="17" borderId="0" xfId="9" applyFont="1" applyFill="1"/>
    <xf numFmtId="0" fontId="11" fillId="0" borderId="4" xfId="9" applyFont="1" applyBorder="1"/>
    <xf numFmtId="3" fontId="11" fillId="0" borderId="4" xfId="9" applyNumberFormat="1" applyFont="1" applyBorder="1"/>
    <xf numFmtId="10" fontId="11" fillId="0" borderId="4" xfId="9" applyNumberFormat="1" applyFont="1" applyBorder="1"/>
    <xf numFmtId="4" fontId="11" fillId="0" borderId="4" xfId="9" applyNumberFormat="1" applyFont="1" applyBorder="1"/>
    <xf numFmtId="9" fontId="11" fillId="0" borderId="4" xfId="9" applyNumberFormat="1" applyFont="1" applyBorder="1"/>
    <xf numFmtId="0" fontId="18" fillId="0" borderId="4" xfId="9" applyFont="1" applyBorder="1" applyAlignment="1">
      <alignment horizontal="left"/>
    </xf>
    <xf numFmtId="0" fontId="24" fillId="21" borderId="4" xfId="9" applyFont="1" applyFill="1" applyBorder="1"/>
    <xf numFmtId="4" fontId="24" fillId="21" borderId="4" xfId="9" applyNumberFormat="1" applyFont="1" applyFill="1" applyBorder="1"/>
    <xf numFmtId="9" fontId="24" fillId="21" borderId="4" xfId="9" applyNumberFormat="1" applyFont="1" applyFill="1" applyBorder="1"/>
    <xf numFmtId="3" fontId="24" fillId="21" borderId="4" xfId="9" applyNumberFormat="1" applyFont="1" applyFill="1" applyBorder="1"/>
    <xf numFmtId="169" fontId="68" fillId="0" borderId="0" xfId="18" applyNumberFormat="1" applyFont="1" applyBorder="1"/>
    <xf numFmtId="3" fontId="2" fillId="0" borderId="0" xfId="9" applyNumberFormat="1"/>
    <xf numFmtId="0" fontId="71" fillId="0" borderId="0" xfId="9" applyFont="1" applyAlignment="1">
      <alignment horizontal="left"/>
    </xf>
    <xf numFmtId="9" fontId="59" fillId="21" borderId="0" xfId="10" applyFont="1" applyFill="1"/>
    <xf numFmtId="9" fontId="59" fillId="21" borderId="0" xfId="10" applyFont="1" applyFill="1" applyBorder="1"/>
    <xf numFmtId="0" fontId="72" fillId="0" borderId="0" xfId="0" applyFont="1"/>
    <xf numFmtId="0" fontId="73" fillId="0" borderId="0" xfId="0" applyFont="1"/>
    <xf numFmtId="0" fontId="74" fillId="0" borderId="0" xfId="0" applyFont="1"/>
    <xf numFmtId="175" fontId="2" fillId="0" borderId="8" xfId="14" applyNumberFormat="1" applyFont="1" applyFill="1" applyBorder="1" applyAlignment="1">
      <alignment horizontal="right" vertical="center"/>
    </xf>
    <xf numFmtId="175" fontId="6" fillId="0" borderId="8" xfId="14" applyNumberFormat="1" applyFont="1" applyFill="1" applyBorder="1" applyAlignment="1">
      <alignment horizontal="right" vertical="center"/>
    </xf>
    <xf numFmtId="49" fontId="75" fillId="0" borderId="0" xfId="9" applyNumberFormat="1" applyFont="1" applyAlignment="1">
      <alignment vertical="top"/>
    </xf>
    <xf numFmtId="0" fontId="77" fillId="0" borderId="0" xfId="9" applyFont="1" applyAlignment="1">
      <alignment horizontal="left"/>
    </xf>
    <xf numFmtId="0" fontId="78" fillId="0" borderId="0" xfId="9" applyFont="1" applyAlignment="1">
      <alignment horizontal="left"/>
    </xf>
    <xf numFmtId="0" fontId="77" fillId="0" borderId="0" xfId="9" applyFont="1"/>
    <xf numFmtId="0" fontId="79" fillId="0" borderId="0" xfId="9" applyFont="1"/>
    <xf numFmtId="0" fontId="77" fillId="0" borderId="0" xfId="9" applyFont="1" applyAlignment="1">
      <alignment horizontal="center"/>
    </xf>
    <xf numFmtId="0" fontId="80" fillId="22" borderId="6" xfId="9" applyFont="1" applyFill="1" applyBorder="1" applyAlignment="1">
      <alignment horizontal="center" vertical="center" wrapText="1"/>
    </xf>
    <xf numFmtId="17" fontId="80" fillId="22" borderId="6" xfId="9" applyNumberFormat="1" applyFont="1" applyFill="1" applyBorder="1" applyAlignment="1">
      <alignment horizontal="center"/>
    </xf>
    <xf numFmtId="0" fontId="79" fillId="0" borderId="0" xfId="9" applyFont="1" applyAlignment="1">
      <alignment wrapText="1"/>
    </xf>
    <xf numFmtId="17" fontId="81" fillId="0" borderId="25" xfId="9" applyNumberFormat="1" applyFont="1" applyBorder="1" applyAlignment="1">
      <alignment horizontal="left"/>
    </xf>
    <xf numFmtId="17" fontId="82" fillId="0" borderId="25" xfId="9" applyNumberFormat="1" applyFont="1" applyBorder="1" applyAlignment="1">
      <alignment horizontal="left"/>
    </xf>
    <xf numFmtId="179" fontId="83" fillId="0" borderId="8" xfId="9" applyNumberFormat="1" applyFont="1" applyBorder="1" applyAlignment="1">
      <alignment horizontal="left"/>
    </xf>
    <xf numFmtId="179" fontId="78" fillId="0" borderId="8" xfId="18" applyNumberFormat="1" applyFont="1" applyFill="1" applyBorder="1" applyAlignment="1">
      <alignment horizontal="center"/>
    </xf>
    <xf numFmtId="0" fontId="79" fillId="0" borderId="4" xfId="9" applyFont="1" applyBorder="1"/>
    <xf numFmtId="179" fontId="81" fillId="0" borderId="4" xfId="18" applyNumberFormat="1" applyFont="1" applyFill="1" applyBorder="1" applyAlignment="1">
      <alignment horizontal="left"/>
    </xf>
    <xf numFmtId="167" fontId="83" fillId="0" borderId="8" xfId="18" applyNumberFormat="1" applyFont="1" applyFill="1" applyBorder="1" applyAlignment="1">
      <alignment horizontal="left"/>
    </xf>
    <xf numFmtId="0" fontId="77" fillId="0" borderId="8" xfId="9" applyFont="1" applyBorder="1"/>
    <xf numFmtId="179" fontId="83" fillId="0" borderId="8" xfId="18" applyNumberFormat="1" applyFont="1" applyFill="1" applyBorder="1" applyAlignment="1">
      <alignment horizontal="left"/>
    </xf>
    <xf numFmtId="0" fontId="79" fillId="0" borderId="0" xfId="9" applyFont="1" applyAlignment="1">
      <alignment vertical="center"/>
    </xf>
    <xf numFmtId="179" fontId="81" fillId="0" borderId="8" xfId="9" applyNumberFormat="1" applyFont="1" applyBorder="1" applyAlignment="1">
      <alignment horizontal="left"/>
    </xf>
    <xf numFmtId="0" fontId="77" fillId="0" borderId="0" xfId="9" applyFont="1" applyAlignment="1">
      <alignment vertical="center"/>
    </xf>
    <xf numFmtId="168" fontId="81" fillId="0" borderId="8" xfId="11" applyNumberFormat="1" applyFont="1" applyFill="1" applyBorder="1" applyAlignment="1">
      <alignment horizontal="left"/>
    </xf>
    <xf numFmtId="168" fontId="84" fillId="0" borderId="8" xfId="11" applyNumberFormat="1" applyFont="1" applyFill="1" applyBorder="1" applyAlignment="1">
      <alignment horizontal="left"/>
    </xf>
    <xf numFmtId="168" fontId="83" fillId="0" borderId="8" xfId="11" applyNumberFormat="1" applyFont="1" applyFill="1" applyBorder="1" applyAlignment="1">
      <alignment horizontal="left"/>
    </xf>
    <xf numFmtId="179" fontId="81" fillId="0" borderId="8" xfId="18" applyNumberFormat="1" applyFont="1" applyFill="1" applyBorder="1" applyAlignment="1">
      <alignment horizontal="left"/>
    </xf>
    <xf numFmtId="179" fontId="78" fillId="0" borderId="8" xfId="18" applyNumberFormat="1" applyFont="1" applyFill="1" applyBorder="1" applyAlignment="1">
      <alignment horizontal="left"/>
    </xf>
    <xf numFmtId="179" fontId="81" fillId="0" borderId="4" xfId="9" applyNumberFormat="1" applyFont="1" applyBorder="1" applyAlignment="1">
      <alignment horizontal="right"/>
    </xf>
    <xf numFmtId="179" fontId="82" fillId="0" borderId="8" xfId="9" applyNumberFormat="1" applyFont="1" applyBorder="1" applyAlignment="1">
      <alignment horizontal="right"/>
    </xf>
    <xf numFmtId="179" fontId="81" fillId="0" borderId="8" xfId="9" applyNumberFormat="1" applyFont="1" applyBorder="1" applyAlignment="1">
      <alignment horizontal="right"/>
    </xf>
    <xf numFmtId="0" fontId="79" fillId="0" borderId="5" xfId="9" applyFont="1" applyBorder="1"/>
    <xf numFmtId="179" fontId="81" fillId="0" borderId="6" xfId="18" applyNumberFormat="1" applyFont="1" applyFill="1" applyBorder="1" applyAlignment="1">
      <alignment horizontal="left"/>
    </xf>
    <xf numFmtId="179" fontId="82" fillId="0" borderId="8" xfId="18" applyNumberFormat="1" applyFont="1" applyFill="1" applyBorder="1" applyAlignment="1">
      <alignment horizontal="left"/>
    </xf>
    <xf numFmtId="0" fontId="85" fillId="0" borderId="9" xfId="9" applyFont="1" applyBorder="1"/>
    <xf numFmtId="9" fontId="86" fillId="0" borderId="10" xfId="9" applyNumberFormat="1" applyFont="1" applyBorder="1" applyAlignment="1">
      <alignment horizontal="center"/>
    </xf>
    <xf numFmtId="9" fontId="87" fillId="0" borderId="8" xfId="9" applyNumberFormat="1" applyFont="1" applyBorder="1" applyAlignment="1">
      <alignment horizontal="center"/>
    </xf>
    <xf numFmtId="9" fontId="79" fillId="0" borderId="0" xfId="9" applyNumberFormat="1" applyFont="1"/>
    <xf numFmtId="9" fontId="88" fillId="0" borderId="8" xfId="9" applyNumberFormat="1" applyFont="1" applyBorder="1" applyAlignment="1">
      <alignment horizontal="center"/>
    </xf>
    <xf numFmtId="9" fontId="89" fillId="0" borderId="8" xfId="9" applyNumberFormat="1" applyFont="1" applyBorder="1" applyAlignment="1">
      <alignment horizontal="center"/>
    </xf>
    <xf numFmtId="179" fontId="78" fillId="0" borderId="8" xfId="9" applyNumberFormat="1" applyFont="1" applyBorder="1" applyAlignment="1">
      <alignment horizontal="left"/>
    </xf>
    <xf numFmtId="167" fontId="78" fillId="0" borderId="8" xfId="18" applyNumberFormat="1" applyFont="1" applyFill="1" applyBorder="1" applyAlignment="1">
      <alignment horizontal="left"/>
    </xf>
    <xf numFmtId="167" fontId="81" fillId="0" borderId="8" xfId="18" applyNumberFormat="1" applyFont="1" applyFill="1" applyBorder="1" applyAlignment="1">
      <alignment horizontal="left"/>
    </xf>
    <xf numFmtId="0" fontId="78" fillId="0" borderId="0" xfId="9" applyFont="1"/>
    <xf numFmtId="179" fontId="77" fillId="0" borderId="8" xfId="18" applyNumberFormat="1" applyFont="1" applyFill="1" applyBorder="1" applyAlignment="1">
      <alignment horizontal="left"/>
    </xf>
    <xf numFmtId="0" fontId="79" fillId="0" borderId="22" xfId="9" applyFont="1" applyBorder="1"/>
    <xf numFmtId="179" fontId="81" fillId="0" borderId="4" xfId="9" applyNumberFormat="1" applyFont="1" applyBorder="1" applyAlignment="1">
      <alignment horizontal="left"/>
    </xf>
    <xf numFmtId="179" fontId="82" fillId="0" borderId="8" xfId="9" applyNumberFormat="1" applyFont="1" applyBorder="1" applyAlignment="1">
      <alignment horizontal="left"/>
    </xf>
    <xf numFmtId="0" fontId="85" fillId="0" borderId="10" xfId="9" applyFont="1" applyBorder="1"/>
    <xf numFmtId="9" fontId="77" fillId="0" borderId="0" xfId="9" applyNumberFormat="1" applyFont="1"/>
    <xf numFmtId="0" fontId="85" fillId="0" borderId="0" xfId="9" applyFont="1"/>
    <xf numFmtId="49" fontId="77" fillId="0" borderId="4" xfId="9" applyNumberFormat="1" applyFont="1" applyBorder="1" applyAlignment="1">
      <alignment horizontal="left" vertical="top" indent="1"/>
    </xf>
    <xf numFmtId="179" fontId="2" fillId="0" borderId="4" xfId="9" applyNumberFormat="1" applyBorder="1"/>
    <xf numFmtId="179" fontId="29" fillId="0" borderId="4" xfId="9" applyNumberFormat="1" applyFont="1" applyBorder="1"/>
    <xf numFmtId="49" fontId="77" fillId="0" borderId="0" xfId="9" applyNumberFormat="1" applyFont="1" applyAlignment="1">
      <alignment horizontal="left" vertical="top" indent="1"/>
    </xf>
    <xf numFmtId="0" fontId="29" fillId="0" borderId="0" xfId="9" applyFont="1"/>
    <xf numFmtId="169" fontId="0" fillId="0" borderId="0" xfId="18" applyNumberFormat="1" applyFont="1"/>
    <xf numFmtId="179" fontId="2" fillId="0" borderId="0" xfId="9" applyNumberFormat="1"/>
    <xf numFmtId="49" fontId="79" fillId="0" borderId="0" xfId="9" applyNumberFormat="1" applyFont="1" applyAlignment="1">
      <alignment horizontal="left" vertical="top" indent="1"/>
    </xf>
    <xf numFmtId="0" fontId="79" fillId="0" borderId="0" xfId="9" applyFont="1" applyAlignment="1">
      <alignment horizontal="left" vertical="top" indent="1"/>
    </xf>
    <xf numFmtId="9" fontId="86" fillId="0" borderId="8" xfId="9" applyNumberFormat="1" applyFont="1" applyBorder="1" applyAlignment="1">
      <alignment horizontal="center"/>
    </xf>
    <xf numFmtId="179" fontId="90" fillId="0" borderId="8" xfId="18" applyNumberFormat="1" applyFont="1" applyFill="1" applyBorder="1" applyAlignment="1">
      <alignment horizontal="left"/>
    </xf>
    <xf numFmtId="0" fontId="91" fillId="0" borderId="0" xfId="9" applyFont="1"/>
    <xf numFmtId="168" fontId="92" fillId="0" borderId="0" xfId="9" applyNumberFormat="1" applyFont="1"/>
    <xf numFmtId="0" fontId="93" fillId="0" borderId="0" xfId="9" applyFont="1" applyAlignment="1">
      <alignment vertical="center"/>
    </xf>
    <xf numFmtId="0" fontId="84" fillId="0" borderId="0" xfId="9" applyFont="1"/>
    <xf numFmtId="0" fontId="93" fillId="0" borderId="0" xfId="9" applyFont="1"/>
    <xf numFmtId="179" fontId="94" fillId="0" borderId="8" xfId="18" applyNumberFormat="1" applyFont="1" applyFill="1" applyBorder="1" applyAlignment="1">
      <alignment horizontal="left"/>
    </xf>
    <xf numFmtId="179" fontId="95" fillId="0" borderId="8" xfId="18" applyNumberFormat="1" applyFont="1" applyFill="1" applyBorder="1" applyAlignment="1">
      <alignment horizontal="left"/>
    </xf>
    <xf numFmtId="0" fontId="96" fillId="0" borderId="0" xfId="0" applyFont="1"/>
    <xf numFmtId="0" fontId="13" fillId="0" borderId="0" xfId="0" applyFont="1"/>
    <xf numFmtId="0" fontId="97" fillId="0" borderId="0" xfId="0" applyFont="1"/>
    <xf numFmtId="0" fontId="98" fillId="0" borderId="0" xfId="0" applyFont="1"/>
    <xf numFmtId="180" fontId="98" fillId="0" borderId="0" xfId="0" applyNumberFormat="1" applyFont="1"/>
    <xf numFmtId="0" fontId="97" fillId="24" borderId="0" xfId="0" applyFont="1" applyFill="1"/>
    <xf numFmtId="0" fontId="100" fillId="0" borderId="0" xfId="0" applyFont="1"/>
    <xf numFmtId="180" fontId="102" fillId="0" borderId="0" xfId="0" applyNumberFormat="1" applyFont="1"/>
    <xf numFmtId="180" fontId="103" fillId="0" borderId="0" xfId="0" applyNumberFormat="1" applyFont="1"/>
    <xf numFmtId="181" fontId="103" fillId="0" borderId="0" xfId="0" applyNumberFormat="1" applyFont="1"/>
    <xf numFmtId="0" fontId="98" fillId="0" borderId="0" xfId="0" applyFont="1" applyAlignment="1">
      <alignment wrapText="1"/>
    </xf>
    <xf numFmtId="0" fontId="100" fillId="0" borderId="0" xfId="0" applyFont="1" applyAlignment="1">
      <alignment wrapText="1"/>
    </xf>
    <xf numFmtId="0" fontId="99" fillId="23" borderId="26" xfId="0" applyFont="1" applyFill="1" applyBorder="1" applyAlignment="1">
      <alignment horizontal="center" wrapText="1"/>
    </xf>
    <xf numFmtId="0" fontId="99" fillId="23" borderId="0" xfId="0" applyFont="1" applyFill="1"/>
    <xf numFmtId="0" fontId="99" fillId="23" borderId="0" xfId="0" applyFont="1" applyFill="1" applyAlignment="1">
      <alignment horizontal="center"/>
    </xf>
    <xf numFmtId="0" fontId="97" fillId="0" borderId="14" xfId="0" applyFont="1" applyBorder="1"/>
    <xf numFmtId="180" fontId="102" fillId="0" borderId="14" xfId="0" applyNumberFormat="1" applyFont="1" applyBorder="1"/>
    <xf numFmtId="180" fontId="103" fillId="0" borderId="14" xfId="0" applyNumberFormat="1" applyFont="1" applyBorder="1"/>
    <xf numFmtId="0" fontId="97" fillId="0" borderId="27" xfId="0" applyFont="1" applyBorder="1"/>
    <xf numFmtId="180" fontId="103" fillId="0" borderId="27" xfId="0" applyNumberFormat="1" applyFont="1" applyBorder="1"/>
    <xf numFmtId="0" fontId="97" fillId="25" borderId="14" xfId="0" applyFont="1" applyFill="1" applyBorder="1"/>
    <xf numFmtId="180" fontId="103" fillId="25" borderId="14" xfId="0" applyNumberFormat="1" applyFont="1" applyFill="1" applyBorder="1"/>
    <xf numFmtId="0" fontId="101" fillId="25" borderId="0" xfId="0" applyFont="1" applyFill="1"/>
    <xf numFmtId="181" fontId="103" fillId="25" borderId="0" xfId="0" applyNumberFormat="1" applyFont="1" applyFill="1"/>
    <xf numFmtId="0" fontId="99" fillId="23" borderId="25" xfId="0" applyFont="1" applyFill="1" applyBorder="1" applyAlignment="1">
      <alignment horizontal="center"/>
    </xf>
    <xf numFmtId="181" fontId="103" fillId="0" borderId="28" xfId="0" applyNumberFormat="1" applyFont="1" applyBorder="1"/>
    <xf numFmtId="181" fontId="103" fillId="0" borderId="25" xfId="0" applyNumberFormat="1" applyFont="1" applyBorder="1"/>
    <xf numFmtId="181" fontId="103" fillId="25" borderId="28" xfId="0" applyNumberFormat="1" applyFont="1" applyFill="1" applyBorder="1"/>
    <xf numFmtId="181" fontId="103" fillId="25" borderId="25" xfId="0" applyNumberFormat="1" applyFont="1" applyFill="1" applyBorder="1"/>
    <xf numFmtId="181" fontId="103" fillId="0" borderId="29" xfId="0" applyNumberFormat="1" applyFont="1" applyBorder="1"/>
    <xf numFmtId="0" fontId="101" fillId="24" borderId="0" xfId="0" applyFont="1" applyFill="1"/>
    <xf numFmtId="180" fontId="100" fillId="0" borderId="0" xfId="0" applyNumberFormat="1" applyFont="1"/>
    <xf numFmtId="180" fontId="104" fillId="0" borderId="0" xfId="0" applyNumberFormat="1" applyFont="1"/>
    <xf numFmtId="181" fontId="104" fillId="0" borderId="25" xfId="0" applyNumberFormat="1" applyFont="1" applyBorder="1"/>
    <xf numFmtId="180" fontId="105" fillId="0" borderId="0" xfId="0" applyNumberFormat="1" applyFont="1"/>
    <xf numFmtId="0" fontId="101" fillId="0" borderId="14" xfId="0" applyFont="1" applyBorder="1"/>
    <xf numFmtId="180" fontId="104" fillId="0" borderId="14" xfId="0" applyNumberFormat="1" applyFont="1" applyBorder="1"/>
    <xf numFmtId="181" fontId="104" fillId="0" borderId="28" xfId="0" applyNumberFormat="1" applyFont="1" applyBorder="1"/>
    <xf numFmtId="0" fontId="106" fillId="0" borderId="0" xfId="0" applyFont="1"/>
    <xf numFmtId="0" fontId="107" fillId="0" borderId="0" xfId="0" applyFont="1"/>
    <xf numFmtId="0" fontId="108" fillId="0" borderId="0" xfId="0" applyFont="1"/>
    <xf numFmtId="0" fontId="109" fillId="0" borderId="0" xfId="0" applyFont="1"/>
    <xf numFmtId="0" fontId="110" fillId="0" borderId="0" xfId="0" applyFont="1"/>
    <xf numFmtId="180" fontId="109" fillId="0" borderId="0" xfId="0" applyNumberFormat="1" applyFont="1"/>
    <xf numFmtId="180" fontId="112" fillId="0" borderId="0" xfId="0" applyNumberFormat="1" applyFont="1"/>
    <xf numFmtId="0" fontId="108" fillId="24" borderId="0" xfId="0" applyFont="1" applyFill="1"/>
    <xf numFmtId="180" fontId="113" fillId="0" borderId="0" xfId="0" applyNumberFormat="1" applyFont="1"/>
    <xf numFmtId="180" fontId="114" fillId="0" borderId="0" xfId="0" applyNumberFormat="1" applyFont="1"/>
    <xf numFmtId="181" fontId="115" fillId="0" borderId="0" xfId="0" applyNumberFormat="1" applyFont="1"/>
    <xf numFmtId="180" fontId="114" fillId="24" borderId="0" xfId="0" applyNumberFormat="1" applyFont="1" applyFill="1"/>
    <xf numFmtId="180" fontId="115" fillId="24" borderId="0" xfId="0" applyNumberFormat="1" applyFont="1" applyFill="1"/>
    <xf numFmtId="0" fontId="111" fillId="23" borderId="26" xfId="0" applyFont="1" applyFill="1" applyBorder="1"/>
    <xf numFmtId="0" fontId="108" fillId="0" borderId="14" xfId="0" applyFont="1" applyBorder="1"/>
    <xf numFmtId="180" fontId="114" fillId="0" borderId="14" xfId="0" applyNumberFormat="1" applyFont="1" applyBorder="1"/>
    <xf numFmtId="0" fontId="108" fillId="0" borderId="27" xfId="0" applyFont="1" applyBorder="1"/>
    <xf numFmtId="180" fontId="114" fillId="0" borderId="27" xfId="0" applyNumberFormat="1" applyFont="1" applyBorder="1"/>
    <xf numFmtId="180" fontId="114" fillId="24" borderId="28" xfId="0" applyNumberFormat="1" applyFont="1" applyFill="1" applyBorder="1"/>
    <xf numFmtId="180" fontId="112" fillId="0" borderId="25" xfId="0" applyNumberFormat="1" applyFont="1" applyBorder="1"/>
    <xf numFmtId="180" fontId="114" fillId="0" borderId="25" xfId="0" applyNumberFormat="1" applyFont="1" applyBorder="1"/>
    <xf numFmtId="180" fontId="114" fillId="24" borderId="25" xfId="0" applyNumberFormat="1" applyFont="1" applyFill="1" applyBorder="1"/>
    <xf numFmtId="180" fontId="114" fillId="0" borderId="28" xfId="0" applyNumberFormat="1" applyFont="1" applyBorder="1"/>
    <xf numFmtId="181" fontId="115" fillId="0" borderId="25" xfId="0" applyNumberFormat="1" applyFont="1" applyBorder="1"/>
    <xf numFmtId="180" fontId="114" fillId="0" borderId="29" xfId="0" applyNumberFormat="1" applyFont="1" applyBorder="1"/>
    <xf numFmtId="0" fontId="108" fillId="25" borderId="14" xfId="0" applyFont="1" applyFill="1" applyBorder="1"/>
    <xf numFmtId="180" fontId="114" fillId="25" borderId="14" xfId="0" applyNumberFormat="1" applyFont="1" applyFill="1" applyBorder="1"/>
    <xf numFmtId="180" fontId="114" fillId="25" borderId="28" xfId="0" applyNumberFormat="1" applyFont="1" applyFill="1" applyBorder="1"/>
    <xf numFmtId="0" fontId="108" fillId="25" borderId="0" xfId="0" applyFont="1" applyFill="1"/>
    <xf numFmtId="181" fontId="115" fillId="25" borderId="0" xfId="0" applyNumberFormat="1" applyFont="1" applyFill="1"/>
    <xf numFmtId="181" fontId="115" fillId="25" borderId="25" xfId="0" applyNumberFormat="1" applyFont="1" applyFill="1" applyBorder="1"/>
    <xf numFmtId="17" fontId="111" fillId="23" borderId="26" xfId="0" applyNumberFormat="1" applyFont="1" applyFill="1" applyBorder="1" applyAlignment="1">
      <alignment horizontal="center"/>
    </xf>
    <xf numFmtId="17" fontId="111" fillId="23" borderId="0" xfId="0" applyNumberFormat="1" applyFont="1" applyFill="1" applyAlignment="1">
      <alignment horizontal="center"/>
    </xf>
    <xf numFmtId="17" fontId="108" fillId="0" borderId="0" xfId="0" applyNumberFormat="1" applyFont="1" applyAlignment="1">
      <alignment horizontal="center"/>
    </xf>
    <xf numFmtId="168" fontId="14" fillId="6" borderId="6" xfId="4" applyNumberFormat="1" applyFont="1" applyFill="1" applyBorder="1" applyAlignment="1">
      <alignment horizontal="center" vertical="center" wrapText="1"/>
    </xf>
    <xf numFmtId="17" fontId="14" fillId="7" borderId="6" xfId="4" applyNumberFormat="1" applyFont="1" applyFill="1" applyBorder="1" applyAlignment="1">
      <alignment horizontal="center" vertical="center" wrapText="1"/>
    </xf>
    <xf numFmtId="0" fontId="1" fillId="0" borderId="0" xfId="20"/>
    <xf numFmtId="170" fontId="1" fillId="0" borderId="0" xfId="20" applyNumberFormat="1"/>
    <xf numFmtId="170" fontId="12" fillId="0" borderId="4" xfId="20" applyNumberFormat="1" applyFont="1" applyBorder="1"/>
    <xf numFmtId="170" fontId="1" fillId="0" borderId="4" xfId="20" applyNumberFormat="1" applyBorder="1"/>
    <xf numFmtId="170" fontId="12" fillId="0" borderId="0" xfId="20" applyNumberFormat="1" applyFont="1"/>
    <xf numFmtId="0" fontId="1" fillId="0" borderId="4" xfId="20" applyBorder="1"/>
    <xf numFmtId="0" fontId="14" fillId="26" borderId="4" xfId="20" applyFont="1" applyFill="1" applyBorder="1" applyAlignment="1">
      <alignment horizontal="center" vertical="center" wrapText="1"/>
    </xf>
    <xf numFmtId="170" fontId="14" fillId="26" borderId="4" xfId="20" applyNumberFormat="1" applyFont="1" applyFill="1" applyBorder="1" applyAlignment="1">
      <alignment horizontal="center" vertical="center" wrapText="1"/>
    </xf>
    <xf numFmtId="0" fontId="15" fillId="0" borderId="0" xfId="20" applyFont="1"/>
    <xf numFmtId="0" fontId="15" fillId="0" borderId="4" xfId="20" applyFont="1" applyBorder="1" applyAlignment="1">
      <alignment wrapText="1"/>
    </xf>
    <xf numFmtId="170" fontId="15" fillId="0" borderId="4" xfId="20" applyNumberFormat="1" applyFont="1" applyBorder="1" applyAlignment="1">
      <alignment horizontal="right" wrapText="1"/>
    </xf>
    <xf numFmtId="0" fontId="16" fillId="0" borderId="4" xfId="20" applyFont="1" applyBorder="1" applyAlignment="1">
      <alignment wrapText="1"/>
    </xf>
    <xf numFmtId="170" fontId="16" fillId="0" borderId="4" xfId="20" applyNumberFormat="1" applyFont="1" applyBorder="1" applyAlignment="1">
      <alignment horizontal="right" wrapText="1"/>
    </xf>
    <xf numFmtId="0" fontId="99" fillId="23" borderId="26" xfId="0" applyFont="1" applyFill="1" applyBorder="1" applyAlignment="1">
      <alignment horizontal="center"/>
    </xf>
    <xf numFmtId="170" fontId="1" fillId="0" borderId="4" xfId="20" applyNumberFormat="1" applyBorder="1"/>
    <xf numFmtId="170" fontId="1" fillId="0" borderId="0" xfId="20" applyNumberFormat="1"/>
    <xf numFmtId="182" fontId="97" fillId="19" borderId="0" xfId="0" applyNumberFormat="1" applyFont="1" applyFill="1" applyAlignment="1">
      <alignment horizontal="center"/>
    </xf>
    <xf numFmtId="17" fontId="97" fillId="19" borderId="0" xfId="0" applyNumberFormat="1" applyFont="1" applyFill="1" applyAlignment="1">
      <alignment horizontal="center"/>
    </xf>
    <xf numFmtId="17" fontId="97" fillId="19" borderId="25" xfId="0" applyNumberFormat="1" applyFont="1" applyFill="1" applyBorder="1" applyAlignment="1">
      <alignment horizontal="center"/>
    </xf>
    <xf numFmtId="170" fontId="15" fillId="0" borderId="4" xfId="0" applyNumberFormat="1" applyFont="1" applyBorder="1" applyAlignment="1">
      <alignment horizontal="right" wrapText="1"/>
    </xf>
    <xf numFmtId="9" fontId="15" fillId="0" borderId="4" xfId="21" applyFont="1" applyBorder="1" applyAlignment="1">
      <alignment horizontal="right" wrapText="1"/>
    </xf>
  </cellXfs>
  <cellStyles count="22">
    <cellStyle name="Comma 17" xfId="15" xr:uid="{39C41BB4-1029-4CA0-9CFC-8770F0A6ED13}"/>
    <cellStyle name="Comma 2" xfId="7" xr:uid="{765C94A5-CEC8-410C-B9FA-A5D6643F9408}"/>
    <cellStyle name="Comma 2 2" xfId="8" xr:uid="{243BD357-E808-428E-B845-C1D8194870EA}"/>
    <cellStyle name="Comma 2 2 2" xfId="18" xr:uid="{9813140D-B11B-4531-BD74-2334B9C2C694}"/>
    <cellStyle name="Comma 2 3" xfId="16" xr:uid="{BF8B3ACC-8289-4573-9F6A-0EFDA23386D4}"/>
    <cellStyle name="Comma 3" xfId="12" xr:uid="{0AB04492-025B-49B8-8496-8A9E5625D5ED}"/>
    <cellStyle name="Comma 4" xfId="6" xr:uid="{5B430278-DD86-4691-B7B9-2D5B6BD7ACA7}"/>
    <cellStyle name="Comma 5" xfId="1" xr:uid="{11AFD7F7-2AFD-4658-A216-515FBC5842D7}"/>
    <cellStyle name="Comma 6" xfId="14" xr:uid="{2E048F1A-5463-4F5C-AB2C-AD41C8A43211}"/>
    <cellStyle name="Comma 6 2" xfId="17" xr:uid="{729C7D06-EA96-46A4-96A6-8F593CB5911E}"/>
    <cellStyle name="Comma 6 2 2" xfId="19" xr:uid="{4C988D57-5641-46A1-B7EF-934D5EA34498}"/>
    <cellStyle name="Currency 2" xfId="2" xr:uid="{26AFD7A1-CEEB-4473-9C91-F1C75DD86526}"/>
    <cellStyle name="Currency 3" xfId="11" xr:uid="{8C042985-8764-4C13-AC8C-1AA1973B4848}"/>
    <cellStyle name="Normal" xfId="0" builtinId="0"/>
    <cellStyle name="Normal 18" xfId="13" xr:uid="{68BDE3E7-E74F-4FD9-AA49-52B00E60E14B}"/>
    <cellStyle name="Normal 2" xfId="4" xr:uid="{FE50C8DE-DC61-469F-B61F-5ABFC1E9EE2B}"/>
    <cellStyle name="Normal 3" xfId="9" xr:uid="{2BB8404E-6F49-41CC-A652-98EDB456E074}"/>
    <cellStyle name="Normal 3 2" xfId="5" xr:uid="{A6C92FC2-29F4-4E51-B2A8-E4AFFED420E7}"/>
    <cellStyle name="Normal 4" xfId="20" xr:uid="{AE08621A-60A8-493A-84BE-6F413727B054}"/>
    <cellStyle name="Percent" xfId="21" builtinId="5"/>
    <cellStyle name="Percent 2" xfId="3" xr:uid="{4E1A44B3-1C0A-4A05-908E-0CD0ACEC4D10}"/>
    <cellStyle name="Percent 3" xfId="10" xr:uid="{83CD89C6-3AE4-4C2B-8DC7-F4252A6EE30F}"/>
  </cellStyles>
  <dxfs count="267">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fill>
        <patternFill patternType="none">
          <bgColor auto="1"/>
        </patternFill>
      </fill>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9" formatCode="_(* #,##0_);_(* \(#,##0\);_(* &quot;-&quot;??_);_(@_)"/>
    </dxf>
    <dxf>
      <numFmt numFmtId="169" formatCode="_(* #,##0_);_(* \(#,##0\);_(* &quot;-&quot;??_);_(@_)"/>
    </dxf>
    <dxf>
      <numFmt numFmtId="169" formatCode="_(* #,##0_);_(* \(#,##0\);_(* &quot;-&quot;??_);_(@_)"/>
    </dxf>
    <dxf>
      <numFmt numFmtId="169" formatCode="_(* #,##0_);_(* \(#,##0\);_(* &quot;-&quot;??_);_(@_)"/>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FF0000"/>
      </font>
    </dxf>
    <dxf>
      <fill>
        <patternFill patternType="none">
          <bgColor auto="1"/>
        </patternFill>
      </fill>
    </dxf>
    <dxf>
      <fill>
        <patternFill patternType="none">
          <bgColor auto="1"/>
        </patternFill>
      </fill>
    </dxf>
    <dxf>
      <font>
        <color theme="1"/>
      </font>
    </dxf>
    <dxf>
      <font>
        <color theme="1"/>
      </font>
    </dxf>
    <dxf>
      <font>
        <color theme="1"/>
      </font>
    </dxf>
    <dxf>
      <font>
        <color theme="1"/>
      </font>
    </dxf>
    <dxf>
      <fill>
        <patternFill patternType="none">
          <bgColor auto="1"/>
        </patternFill>
      </fill>
    </dxf>
    <dxf>
      <font>
        <b/>
      </font>
    </dxf>
    <dxf>
      <font>
        <b val="0"/>
      </font>
    </dxf>
    <dxf>
      <font>
        <b val="0"/>
      </font>
    </dxf>
    <dxf>
      <font>
        <b val="0"/>
      </font>
    </dxf>
    <dxf>
      <font>
        <b val="0"/>
      </font>
    </dxf>
    <dxf>
      <font>
        <b val="0"/>
      </font>
    </dxf>
    <dxf>
      <font>
        <b val="0"/>
      </font>
    </dxf>
    <dxf>
      <font>
        <b val="0"/>
      </font>
    </dxf>
    <dxf>
      <font>
        <b val="0"/>
      </font>
    </dxf>
    <dxf>
      <font>
        <b val="0"/>
      </font>
    </dxf>
    <dxf>
      <numFmt numFmtId="183" formatCode="d\-mmm\-yy"/>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fill>
        <patternFill patternType="none">
          <bgColor auto="1"/>
        </patternFill>
      </fill>
    </dxf>
    <dxf>
      <fill>
        <patternFill patternType="none">
          <bgColor auto="1"/>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3.%20June%202026/Financial%20Control/MIS%20Report/Imagnum%20MIS%20Jun'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3.%20June%202026/Financial%20Control/MIS%20Report/Imagnum%20MIS%20Jun'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RF" refreshedDate="46218.56329849537" createdVersion="8" refreshedVersion="8" minRefreshableVersion="3" recordCount="1455" xr:uid="{BF328133-5C45-434D-A140-5C7452E6FF55}">
  <cacheSource type="worksheet">
    <worksheetSource ref="A1:I1456" sheet="Expense categorisation - US" r:id="rId2"/>
  </cacheSource>
  <cacheFields count="12">
    <cacheField name="Date" numFmtId="0">
      <sharedItems containsDate="1" containsMixedTypes="1" minDate="2025-04-30T00:00:00" maxDate="2026-01-06T00:00:00"/>
    </cacheField>
    <cacheField name="Month" numFmtId="15">
      <sharedItems containsSemiMixedTypes="0" containsNonDate="0" containsDate="1" containsString="0" minDate="2025-01-31T00:00:00" maxDate="2026-07-01T00:00:00" count="18">
        <d v="2025-02-28T00:00:00"/>
        <d v="2025-03-31T00:00:00"/>
        <d v="2025-04-30T00:00:00"/>
        <d v="2025-05-31T00:00:00"/>
        <d v="2025-06-30T00:00:00"/>
        <d v="2025-07-31T00:00:00"/>
        <d v="2025-08-31T00:00:00"/>
        <d v="2025-09-30T00:00:00"/>
        <d v="2025-10-31T00:00:00"/>
        <d v="2025-11-30T00:00:00"/>
        <d v="2025-12-31T00:00:00"/>
        <d v="2025-01-31T00:00:00"/>
        <d v="2026-01-31T00:00:00"/>
        <d v="2026-02-28T00:00:00"/>
        <d v="2026-03-31T00:00:00"/>
        <d v="2026-04-30T00:00:00"/>
        <d v="2026-05-31T00:00:00"/>
        <d v="2026-06-30T00:00:00"/>
      </sharedItems>
      <fieldGroup par="11"/>
    </cacheField>
    <cacheField name="Account name" numFmtId="0">
      <sharedItems count="27">
        <s v="Bank Fees and Charges"/>
        <s v="Charitable Donations"/>
        <s v="Consultancy Fees"/>
        <s v="Consultancy Fees - G&amp;A"/>
        <s v="Dues and Subscriptions"/>
        <s v="Fuel/Mileage Expenses"/>
        <s v="Insurance Expense"/>
        <s v="Interest Paid"/>
        <s v="IT and Internet Expenses"/>
        <s v="Legal &amp; Professional Services"/>
        <s v="Lodging"/>
        <s v="Management salaries"/>
        <s v="Meals and Entertainment"/>
        <s v="Office Supplies"/>
        <s v="Parking"/>
        <s v="Payroll Processing Fees"/>
        <s v="Payroll Taxes"/>
        <s v="Postage"/>
        <s v="Rates &amp; Taxes"/>
        <s v="Rent Expense"/>
        <s v="Software Expenses"/>
        <s v="Sales And Marketing"/>
        <s v="Telephone Expense"/>
        <s v="Toll Fee"/>
        <s v="Travel Expense"/>
        <s v="Interest on Car loan"/>
        <s v="Contractors"/>
      </sharedItems>
    </cacheField>
    <cacheField name="Main segment" numFmtId="0">
      <sharedItems count="9">
        <s v="Finance Cost"/>
        <s v="G&amp;A Cost"/>
        <s v="Manpower"/>
        <s v="Telecom Data &amp; Others"/>
        <s v="Sales &amp; Marketing"/>
        <s v="Management Salaries"/>
        <s v="Facility Cost"/>
        <s v="Other COGS"/>
        <s v="India Cost"/>
      </sharedItems>
    </cacheField>
    <cacheField name="MIS Group" numFmtId="0">
      <sharedItems count="3">
        <s v="Finance "/>
        <s v="SG&amp;A"/>
        <s v="Operational Cost"/>
      </sharedItems>
    </cacheField>
    <cacheField name="Transaction details" numFmtId="0">
      <sharedItems count="256">
        <s v="Chase"/>
        <s v="Credit Card (9904)"/>
        <s v="BOA 7456"/>
        <s v="Amex Business Credit Card"/>
        <s v=""/>
        <s v="Vfs Services"/>
        <s v="HEALTHCARE BUSINESS"/>
        <s v="Chugh LLP"/>
        <s v="iQuantified Management Services"/>
        <s v="Comprehensive C S LLC"/>
        <s v="Lynx Realty"/>
        <s v="CLEARME.COM"/>
        <s v="Gerald Mannikarote"/>
        <s v="Inc. Media"/>
        <s v="Georgia Association"/>
        <s v="Samatva Wealth Management LLC"/>
        <s v="Maheshkumar Nagarajan"/>
        <s v="HJC Consulting Group"/>
        <s v="MEDSOURCE AI LLC"/>
        <s v="Adobe Systems"/>
        <s v="Zoho Corp"/>
        <s v="Chatgpt"/>
        <s v="Calendly"/>
        <s v="DROPBOX"/>
        <s v="READ - MEETING"/>
        <s v="Bluefin"/>
        <s v="GoDaddy"/>
        <s v="QuickBooks Payments"/>
        <s v="MongoDB"/>
        <s v="Availity"/>
        <s v="MICROSOFT"/>
        <s v="A2Webhost"/>
        <s v="McAfee"/>
        <s v="Awaz"/>
        <s v="Tailwind"/>
        <s v="Shell"/>
        <s v="H-E-B"/>
        <s v="Costco"/>
        <s v="BP"/>
        <s v="Walmart"/>
        <s v="Chevron"/>
        <s v="Buc-EES"/>
        <s v="X Christiana Rd"/>
        <s v="Katy Fwy"/>
        <s v="United Health Care"/>
        <s v="Manhattanlife"/>
        <s v="NGIC"/>
        <s v="First Insurance"/>
        <s v="ICHRA"/>
        <s v="iMagnum Healthcare Solutions Pvt Ltd"/>
        <s v="Base"/>
        <s v="Figma"/>
        <s v="Digital Ocean"/>
        <s v="Semrush"/>
        <s v="Scalela"/>
        <s v="Shikha Gupta CPA"/>
        <s v="Aapc"/>
        <s v="AATRALAI TECH SOLUTIONS PVT. LTD."/>
        <s v="Ekam Legal"/>
        <s v="WHIZZ CYBERSECURITY PVT. L ID"/>
        <s v="Queen City"/>
        <s v="Sheraton Niagara Falls"/>
        <s v="ADP"/>
        <s v="Russo's New York Pizza"/>
        <s v="The UPS Store"/>
        <s v="Indian Bazaar &amp; Cafe"/>
        <s v="Meals and Entertainment"/>
        <s v="Pho Oh Yeah"/>
        <s v="The Pumphouse Riverside Restaurant and Bar"/>
        <s v="Chick-fil-a"/>
        <s v="Walgreens"/>
        <s v="Neetu's Indian Kitchen"/>
        <s v="Kottu Korner"/>
        <s v="Hilton Garden"/>
        <s v="Charcoal Eats"/>
        <s v="Panda Express"/>
        <s v="The Home Depot"/>
        <s v="First Watch"/>
        <s v="Nagas South Indian"/>
        <s v="Tide Dry Cleaners"/>
        <s v="Madras Mantra"/>
        <s v="Shellis News"/>
        <s v="Wyndham"/>
        <s v="Chipotle"/>
        <s v="Uber Eats"/>
        <s v="Mint Leaf"/>
        <s v="Burtons Grill"/>
        <s v="Publix"/>
        <s v="Cafe Italiano"/>
        <s v="Baja Fresh"/>
        <s v="Atl Today"/>
        <s v="Starbucks"/>
        <s v="Sixt USA"/>
        <s v="La Terraza"/>
        <s v="Royal Biryani House"/>
        <s v="TARGET"/>
        <s v="Panera Bread"/>
        <s v="Nirvana"/>
        <s v="Bistro"/>
        <s v="Gyro Hut"/>
        <s v="Akashi Sushi Fusion"/>
        <s v="Absolute Thai Cuisine"/>
        <s v="Centurion Lounge"/>
        <s v="Autogrill Middle East"/>
        <s v="Asian Kitchen"/>
        <s v="Las Fuentes"/>
        <s v="Piada"/>
        <s v="Jallikattu Indian Grill"/>
        <s v="Los Cucos Mexican Cafe"/>
        <s v="Food Mart"/>
        <s v="Olive Garden"/>
        <s v="Greenville Ave"/>
        <s v="Pines"/>
        <s v="Reyhan's Grill"/>
        <s v="Kluay Kluay"/>
        <s v="Sangam Indian Cuisine"/>
        <s v="Saravanaa Bhavan"/>
        <s v="Cafeneo"/>
        <s v="Eccola Italian Bistro"/>
        <s v="Lebanese Taverna"/>
        <s v="Indian Aroma"/>
        <s v="Pasta Mista"/>
        <s v="Cava Belmont"/>
        <s v="Airi Ramen &amp; Sushi"/>
        <s v="Torchy's Tacos"/>
        <s v="Vietnam Bistro"/>
        <s v="Great Wraps"/>
        <s v="Paradies-Broward"/>
        <s v="Pinkberry"/>
        <s v="QDF North Node"/>
        <s v="Rasoi Indian Cuisine"/>
        <s v="Taco Fuego"/>
        <s v="Murugan Cafe"/>
        <s v="Rainforest Cafe"/>
        <s v="TST* CHOWRASTHA COPPCOPPELL"/>
        <s v="Gusto"/>
        <s v="Muerde la Burger"/>
        <s v="Torchys Tacos"/>
        <s v="Charleston's Restaurant"/>
        <s v="Dunkin"/>
        <s v="Jimmy John's"/>
        <s v="Shake Shack"/>
        <s v="Marathon Diner"/>
        <s v="District News"/>
        <s v="Ezee Fiber"/>
        <s v="Shah's of Kabob"/>
        <s v="Lombardi's Restaurant"/>
        <s v="Dasara Indian Cuisine"/>
        <s v="P.F. Chang's"/>
        <s v="HARPER'S ASIAN"/>
        <s v="GACHI SUSHI"/>
        <s v="Dubai Duty Free"/>
        <s v="Best Buy"/>
        <s v="Print N Ship"/>
        <s v="Wells"/>
        <s v="Apple.com"/>
        <s v="ATEA USA"/>
        <s v="Office Depot"/>
        <s v="Amazon"/>
        <s v="Fast Park Hou Fastpark"/>
        <s v="York Rd"/>
        <s v="Colonial Parking"/>
        <s v="Highway"/>
        <s v="Ipostal"/>
        <s v="PostNet"/>
        <s v="IRS"/>
        <s v="Claim.MD"/>
        <s v="AHREFS* AHREFS"/>
        <s v="Contabo.com"/>
        <s v="kalpana Rajaram"/>
        <s v="Associates"/>
        <s v="Hubspot"/>
        <s v="Seamless.AI"/>
        <s v="Hole in the Roof"/>
        <s v="Cloudways LTD"/>
        <s v="AdvancedMD"/>
        <s v="Office Ally"/>
        <s v="Obo Health Inc"/>
        <s v="Trizetto Prov"/>
        <s v="Moet Advisors LLC"/>
        <s v="RFPMart LLC"/>
        <s v="SaaSMonk"/>
        <s v="Foxyproxy"/>
        <s v="Replit"/>
        <s v="Atlantic.net"/>
        <s v="RINGCENTRAL INC"/>
        <s v="Verizon"/>
        <s v="Hertztoll"/>
        <s v="NTTA Online"/>
        <s v="Bancpass"/>
        <s v="MOUSEFLOWAPS"/>
        <s v="LOCALFALCON-STARTER"/>
        <s v="Emirates"/>
        <s v="QATAR AIRWAYS"/>
        <s v="Spirit Airlines"/>
        <s v="PRICELN"/>
        <s v="Airbnb"/>
        <s v="Southwest Airlines"/>
        <s v="Uber"/>
        <s v="Bt City Pass"/>
        <s v="Hampton Inn"/>
        <s v="Hotels.com"/>
        <s v="San Francisco"/>
        <s v="Fairfield"/>
        <s v="Westin"/>
        <s v="Homewood"/>
        <s v="American Airlines"/>
        <s v="Ocean Gateway"/>
        <s v="Flatonia TX"/>
        <s v="Omni Frisco Front"/>
        <s v="Secointrin"/>
        <s v="Delta Air"/>
        <s v="Priceline Rent A Car"/>
        <s v="Travel Expense"/>
        <s v="HOUSTON AP CARTCHAIRHOUSTON"/>
        <s v="Lyft"/>
        <s v="Lanier Parking"/>
        <s v="CHATTANOOGAN HOTEL"/>
        <s v="TPA Hospitality Partners"/>
        <s v="Hertz Rent-a-Car"/>
        <s v="Verra Mobility"/>
        <s v="Verramo Mobility"/>
        <s v="Dubai International Hotel"/>
        <s v="Texas Burger"/>
        <s v="Las Fuentes Mexican Restaurant"/>
        <s v="Courtyard By MarriotLewisville"/>
        <s v="QualiTel Communications"/>
        <s v="Lartico Inc."/>
        <s v="United Airlines"/>
        <s v="Travellers House Coffee"/>
        <s v="The Metropolitan"/>
        <s v="MedTrade"/>
        <s v="Harvard Business Services"/>
        <s v="ExxonMobil"/>
        <s v="TRIVENI FOOD COURT"/>
        <s v="Travel Guard Group"/>
        <s v="Sisters Thai"/>
        <s v="Red Lobster"/>
        <s v="Corp E Corp"/>
        <s v="Stedi, Inc."/>
        <s v="Cair Health Inc."/>
        <s v="DoubleTree"/>
        <s v="Etihad Airways"/>
        <s v="Travel Agency"/>
        <s v="ETIHADAIR"/>
        <s v="Wire Fees"/>
        <s v="El Associates"/>
        <s v="COMP OF MARYLAND"/>
        <s v="KUMAR'S HOUSTON"/>
        <s v="Fort Bend County"/>
        <s v="World Duty Free"/>
        <s v="Strategy Studio Labs LLP"/>
        <s v="Kristy Brown"/>
        <s v="S10.AI INC" u="1"/>
        <s v="Stedi" u="1"/>
        <s v="Contractors" u="1"/>
      </sharedItems>
    </cacheField>
    <cacheField name="Debit" numFmtId="0">
      <sharedItems containsString="0" containsBlank="1" containsNumber="1" minValue="-954.25" maxValue="200674"/>
    </cacheField>
    <cacheField name="Credit" numFmtId="0">
      <sharedItems containsString="0" containsBlank="1" containsNumber="1" containsInteger="1" minValue="10" maxValue="48000"/>
    </cacheField>
    <cacheField name="Amount" numFmtId="0">
      <sharedItems containsSemiMixedTypes="0" containsString="0" containsNumber="1" minValue="-48000" maxValue="200674"/>
    </cacheField>
    <cacheField name="Months (Month)" numFmtId="0" databaseField="0">
      <fieldGroup base="1">
        <rangePr groupBy="months" startDate="2025-01-31T00:00:00" endDate="2026-07-01T00:00:00"/>
        <groupItems count="14">
          <s v="&lt;1/31/2025"/>
          <s v="Jan"/>
          <s v="Feb"/>
          <s v="Mar"/>
          <s v="Apr"/>
          <s v="May"/>
          <s v="Jun"/>
          <s v="Jul"/>
          <s v="Aug"/>
          <s v="Sep"/>
          <s v="Oct"/>
          <s v="Nov"/>
          <s v="Dec"/>
          <s v="&gt;7/1/2026"/>
        </groupItems>
      </fieldGroup>
    </cacheField>
    <cacheField name="Quarters (Month)" numFmtId="0" databaseField="0">
      <fieldGroup base="1">
        <rangePr groupBy="quarters" startDate="2025-01-31T00:00:00" endDate="2026-07-01T00:00:00"/>
        <groupItems count="6">
          <s v="&lt;1/31/2025"/>
          <s v="Qtr1"/>
          <s v="Qtr2"/>
          <s v="Qtr3"/>
          <s v="Qtr4"/>
          <s v="&gt;7/1/2026"/>
        </groupItems>
      </fieldGroup>
    </cacheField>
    <cacheField name="Years (Month)" numFmtId="0" databaseField="0">
      <fieldGroup base="1">
        <rangePr groupBy="years" startDate="2025-01-31T00:00:00" endDate="2026-07-01T00:00:00"/>
        <groupItems count="4">
          <s v="&lt;1/31/2025"/>
          <s v="2025"/>
          <s v="2026"/>
          <s v="&gt;7/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RF" refreshedDate="46218.57847083333" createdVersion="8" refreshedVersion="8" minRefreshableVersion="3" recordCount="2175" xr:uid="{A4ADBF87-18FA-4FC8-8355-1CD79C3F2F3A}">
  <cacheSource type="worksheet">
    <worksheetSource ref="A1:I2176" sheet="Expense Categorisation - Ind" r:id="rId2"/>
  </cacheSource>
  <cacheFields count="11">
    <cacheField name="Date" numFmtId="0">
      <sharedItems containsDate="1" containsMixedTypes="1" minDate="2025-08-31T00:00:00" maxDate="2026-03-01T00:00:00"/>
    </cacheField>
    <cacheField name="Month" numFmtId="15">
      <sharedItems containsSemiMixedTypes="0" containsNonDate="0" containsDate="1" containsString="0" minDate="2025-01-31T00:00:00" maxDate="2026-07-01T00:00:00" count="18">
        <d v="2025-01-31T00:00:00"/>
        <d v="2025-02-28T00:00:00"/>
        <d v="2025-03-31T00:00:00"/>
        <d v="2025-04-30T00:00:00"/>
        <d v="2025-05-31T00:00:00"/>
        <d v="2025-06-30T00:00:00"/>
        <d v="2025-07-31T00:00:00"/>
        <d v="2025-08-31T00:00:00"/>
        <d v="2025-09-30T00:00:00"/>
        <d v="2025-10-31T00:00:00"/>
        <d v="2025-11-30T00:00:00"/>
        <d v="2025-12-31T00:00:00"/>
        <d v="2026-01-31T00:00:00"/>
        <d v="2026-02-28T00:00:00"/>
        <d v="2026-03-31T00:00:00"/>
        <d v="2026-04-30T00:00:00"/>
        <d v="2026-05-31T00:00:00"/>
        <d v="2026-06-30T00:00:00"/>
      </sharedItems>
      <fieldGroup par="10"/>
    </cacheField>
    <cacheField name="Ledger Name" numFmtId="0">
      <sharedItems count="63">
        <s v="Janani Property Rental Charges"/>
        <s v="Janani Property Maintenance Charges"/>
        <s v="Coding charges"/>
        <s v="FPO Charges - SRF"/>
        <s v="Telephone Rental Charges"/>
        <s v="Legal Charges"/>
        <s v="Staff Transportation Charges"/>
        <s v="Office Supplies"/>
        <s v="Exchange Gain or Loss"/>
        <s v="IT and Internet Expenses"/>
        <s v="Travelling Expenses"/>
        <s v="Staff Welfare Expenses"/>
        <s v="Bonus and Incentives"/>
        <s v="License/Subscription/Certification Charges"/>
        <s v="Meals and Entertainment"/>
        <s v="Telecom Charges"/>
        <s v="Insurance"/>
        <s v="Electricity Expense"/>
        <s v="Thiruttani rental charges"/>
        <s v="Bank Charges"/>
        <s v="Printing and Stationery"/>
        <s v="Laptop Rental Charges"/>
        <s v="Cyber Security Insurance"/>
        <s v="Software development and Hosting charges"/>
        <s v="Management Salaries"/>
        <s v="Contract Employee Salaries"/>
        <s v="Housekeeping Charges"/>
        <s v="EPF Admin Charges"/>
        <s v="Food Coupon-Happay Wallet"/>
        <s v="Operation Salaries"/>
        <s v="Ops Support Salaries"/>
        <s v="Employee PF"/>
        <s v="Employer PF"/>
        <s v="Employer ESI"/>
        <s v="Employee ESI"/>
        <s v="S&amp;M Salaries"/>
        <s v="HR Salaries"/>
        <s v="Admin Salaries"/>
        <s v="IT Salaries"/>
        <s v="Professional Tax"/>
        <s v="VISA charges"/>
        <s v="Professional services"/>
        <s v="Consultant Expense"/>
        <s v="Rewards and Recognition"/>
        <s v="Maintenance Charges"/>
        <s v="DSC Registration fee"/>
        <s v="Interest on OD"/>
        <s v="Accommodation Charges"/>
        <s v="Interest on TDS"/>
        <s v="Gratuity"/>
        <s v="FPO Charges-SMCS GLOBAL"/>
        <s v="Computer maintenance"/>
        <s v="Max Office rental charges"/>
        <s v="MCA Filing Fee"/>
        <s v="Referral Bonus"/>
        <s v="Trichy rental charges"/>
        <s v="Advertising And Marketing"/>
        <s v="Employee Engagement"/>
        <s v="Razorpay Charges"/>
        <s v="Leadership Engagement"/>
        <s v="Registration charges"/>
        <s v="Interest on PT"/>
        <s v="Interest on Advance Tax"/>
      </sharedItems>
    </cacheField>
    <cacheField name="Cost Category" numFmtId="0">
      <sharedItems count="11">
        <s v="2.Facility cost"/>
        <s v="7.Legal &amp; Professional Fees"/>
        <s v="3.Telecom Data &amp; others"/>
        <s v="9.General &amp; Administration"/>
        <s v="4.Transport Cost"/>
        <s v="9.Exchange Gain or Loss"/>
        <s v="5.Other COGS"/>
        <s v="1.Manpower"/>
        <s v="10.Finance cost"/>
        <s v="6.G&amp;A salaries"/>
        <s v="8.Sales &amp; Marketing"/>
      </sharedItems>
    </cacheField>
    <cacheField name="Main Segment" numFmtId="0">
      <sharedItems/>
    </cacheField>
    <cacheField name="Supplier Name" numFmtId="0">
      <sharedItems count="136">
        <s v="JANANI PROPERTY &amp; ESTATES PVT LTD"/>
        <s v="Coding charges"/>
        <s v="Spice Route Finance"/>
        <s v="UNIFIED VOICE COMMUNICATION PRIVATE LIMITED"/>
        <s v="EKAM LEGAL"/>
        <s v="VKS Travels"/>
        <s v="Rainbow Office Solutions"/>
        <s v="IMAGNUM US"/>
        <s v="IT and Internet Expenses"/>
        <s v="HDFC Bank"/>
        <s v="SRI LAKSHMI RESIDENCY"/>
        <s v="Esoftsol Infocom Pvt Ltd"/>
        <s v="HDFC credit card (Imagnum)"/>
        <s v="KABINI FOODS CHENNAI"/>
        <s v="License/Subscription/Certification Charges"/>
        <s v="Insurance"/>
        <s v="TAMILNADU GENERATION AND DISTRIBUTION CORPORATION LIMITED"/>
        <s v="Balaji Towers"/>
        <s v="Asian Plastics"/>
        <s v="BHARTI AIRTEL LIMITED"/>
        <s v="M.R. INFOTECH"/>
        <s v="Adobe Systems Software Ireland Ltd"/>
        <s v="LinkedIn"/>
        <s v="E2E Networks  Limited"/>
        <s v="Cyber Security Insurance"/>
        <s v="Software development and Hosting charges"/>
        <s v="Management Salaries"/>
        <s v="Contract Employee Salaries"/>
        <s v="TRUE CARE SECURITY SERVICES"/>
        <s v="EPF Admin Charges"/>
        <s v="Food Coupon-Happay Wallet"/>
        <s v="Operation Salaries"/>
        <s v="Ops Support Salaries"/>
        <s v="Employee PF"/>
        <s v="Employer PF"/>
        <s v="Employer ESI"/>
        <s v="Employee ESI"/>
        <s v="S&amp;M Salaries"/>
        <s v="HR Salaries"/>
        <s v="Admin Salaries"/>
        <s v="IT Salaries"/>
        <s v="Professional Tax"/>
        <s v="Office Supplies"/>
        <s v="Travelling Expenses"/>
        <s v="Legal Charges"/>
        <s v="Staff Welfare Expenses"/>
        <s v="VFS.GLOBAL"/>
        <s v="AATRALAI TECH SOLUTIONS PVT. LTD."/>
        <s v="InterGlobe Aviation Limited"/>
        <s v="KHIVRAJ MOTORS PRIVATE LIMITED"/>
        <s v="Air India Express"/>
        <s v="HDFC credit card (Kasi)"/>
        <s v="Cure Claims Healthcare Services"/>
        <s v="JENNYS HOTEL PVT. LTD."/>
        <s v="DAS MANPOWER CONSULTANCY SERVICES"/>
        <s v="HDFC OD Account"/>
        <s v="Udemy India LLP"/>
        <s v="Printing and Stationery"/>
        <s v="SRI LAKSHMI NARASIMHAR PHOTOFRAME CENTER"/>
        <s v="VGP Golden Beach Resort"/>
        <s v="NANDHA ENTERPRISES"/>
        <s v="Aditya Birla Fashion"/>
        <s v="Clicktech Retail Private Limited"/>
        <s v="RETAILEZ PRIVATE LIMITED"/>
        <s v="Qatar Airways"/>
        <s v="RV COMMUNICATION"/>
        <s v="SMCS Global"/>
        <s v="Info Edge (India) Ltd"/>
        <s v="CLEARTRIP PRIVATE LIMITED"/>
        <s v="DQS India"/>
        <s v="VASANTH &amp; CO"/>
        <s v="HOMEWOOD SUITES"/>
        <s v="Chugh Consulting (India) LLP"/>
        <s v="SYSVEL TECHNOLOGY"/>
        <s v="DEVA PRINTERS"/>
        <s v="Gratuity"/>
        <s v="MANGAL &amp; MANGAL"/>
        <s v="MAKE MY TRIP (INDIA) PVT. LTD."/>
        <s v="Manjhi Residency"/>
        <s v="N V Balaji and Co."/>
        <s v="Xtreme Infotech"/>
        <s v="Meals and Entertainment"/>
        <s v="Max Office"/>
        <s v="Zudio"/>
        <s v="Viji Embroidery works"/>
        <s v="TATA TELESERVICES LIMITED"/>
        <s v="Medway Hospitals"/>
        <s v="Accommodation Charges"/>
        <s v="Queen Emperor Hotels And Resorts"/>
        <s v="Futurecalls Technology"/>
        <s v="Health &amp; Safety Hub"/>
        <s v="BAJAJ ALLIANZ GENERAL INSURANCE COMPANY LIMITED"/>
        <s v="Tiger Protective Services"/>
        <s v="Spelman Printers"/>
        <s v="Best Engineering Works"/>
        <s v="GAMMA.APP"/>
        <s v="The Roy Restaurant"/>
        <s v="Sai Kalaimagal Stationery and Generals"/>
        <s v="HDFC credit card (Ashok Kumar)"/>
        <s v="INTACT ENTERPRISES"/>
        <s v="DARLING DIGITAL WORLD PVT LTD"/>
        <s v="Amutha Trichy Rental House"/>
        <s v="Mahendra Associates"/>
        <s v="SUVAI BIRIYANI RESTAURATRICHY"/>
        <s v="Select Cabs"/>
        <s v="AAPC"/>
        <s v="Hotel Akshaya"/>
        <s v="BIRD EYE SECURITY SERVICES"/>
        <s v="Amazon.in"/>
        <s v="EBENEZER PAULP"/>
        <s v="CODE FLOW CONSULTANT"/>
        <s v="COPPER KITCHEN VADAPALA CHENNAI"/>
        <s v="Yasodhai Damodaran POSH Consultant"/>
        <s v="ZAITOON RESTAURANT AND CHENNAI"/>
        <s v="Tharikha Medicals"/>
        <s v="ROCK RESTAURANT"/>
        <s v="ABS ABSOLUTE BARBECUES BANGALORE"/>
        <s v="M S GRAND CONTINENT HOT"/>
        <s v="NAYAGARA HOTELS PRIVATE LIMITED"/>
        <s v="REDBUS"/>
        <s v="PALMSHORE MULTICUISINECHENNAI"/>
        <s v="Vasanta Bhavan Hotel's Pvt Ltd"/>
        <s v="RZPX Private Limited"/>
        <s v="Claritus Management Consulting Pvt. Ltd."/>
        <s v="Explore The Unexplored Camping Tours"/>
        <s v="AMAR HARDWARES"/>
        <s v="CATAWING CYBERNETICS PVT. LTD."/>
        <s v="Green Park Hotels and Resorts Limited"/>
        <s v="Slack"/>
        <s v="Pure Palate"/>
        <s v="Reliance Jio Infocomm Limited"/>
        <s v="Amazon"/>
        <s v="ClaudeAI"/>
        <s v="TRTS Travels"/>
        <s v="Razorpay Wallet"/>
        <s v="Elaa Resort"/>
      </sharedItems>
    </cacheField>
    <cacheField name="Debit" numFmtId="0">
      <sharedItems containsMixedTypes="1" containsNumber="1" minValue="2" maxValue="6323574"/>
    </cacheField>
    <cacheField name="Credit" numFmtId="0">
      <sharedItems containsMixedTypes="1" containsNumber="1" minValue="4.46" maxValue="615033.78"/>
    </cacheField>
    <cacheField name="Amount" numFmtId="0">
      <sharedItems containsSemiMixedTypes="0" containsString="0" containsNumber="1" minValue="-615033.78" maxValue="6323574"/>
    </cacheField>
    <cacheField name="Days (Month)" numFmtId="0" databaseField="0">
      <fieldGroup base="1">
        <rangePr groupBy="days" startDate="2025-01-31T00:00:00" endDate="2026-07-01T00:00:00"/>
        <groupItems count="368">
          <s v="&lt;1/3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6"/>
        </groupItems>
      </fieldGroup>
    </cacheField>
    <cacheField name="Months (Month)" numFmtId="0" databaseField="0">
      <fieldGroup base="1">
        <rangePr groupBy="months" startDate="2025-01-31T00:00:00" endDate="2026-07-01T00:00:00"/>
        <groupItems count="14">
          <s v="&lt;1/31/2025"/>
          <s v="Jan"/>
          <s v="Feb"/>
          <s v="Mar"/>
          <s v="Apr"/>
          <s v="May"/>
          <s v="Jun"/>
          <s v="Jul"/>
          <s v="Aug"/>
          <s v="Sep"/>
          <s v="Oct"/>
          <s v="Nov"/>
          <s v="Dec"/>
          <s v="&gt;7/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s v="02/01/2025"/>
    <x v="0"/>
    <x v="0"/>
    <x v="0"/>
    <x v="0"/>
    <x v="0"/>
    <n v="195"/>
    <m/>
    <n v="195"/>
  </r>
  <r>
    <s v="02/04/2025"/>
    <x v="0"/>
    <x v="0"/>
    <x v="0"/>
    <x v="0"/>
    <x v="1"/>
    <n v="29"/>
    <m/>
    <n v="29"/>
  </r>
  <r>
    <s v="02/06/2025"/>
    <x v="0"/>
    <x v="0"/>
    <x v="0"/>
    <x v="0"/>
    <x v="1"/>
    <n v="4.78"/>
    <m/>
    <n v="4.78"/>
  </r>
  <r>
    <s v="02/13/2025"/>
    <x v="0"/>
    <x v="0"/>
    <x v="0"/>
    <x v="0"/>
    <x v="2"/>
    <n v="5"/>
    <m/>
    <n v="5"/>
  </r>
  <r>
    <s v="02/14/2025"/>
    <x v="0"/>
    <x v="0"/>
    <x v="0"/>
    <x v="0"/>
    <x v="3"/>
    <n v="695"/>
    <m/>
    <n v="695"/>
  </r>
  <r>
    <s v="02/14/2025"/>
    <x v="0"/>
    <x v="0"/>
    <x v="0"/>
    <x v="0"/>
    <x v="3"/>
    <n v="350"/>
    <m/>
    <n v="350"/>
  </r>
  <r>
    <s v="03/13/2025"/>
    <x v="1"/>
    <x v="0"/>
    <x v="0"/>
    <x v="0"/>
    <x v="2"/>
    <n v="5"/>
    <m/>
    <n v="5"/>
  </r>
  <r>
    <s v="04/09/2025"/>
    <x v="2"/>
    <x v="0"/>
    <x v="0"/>
    <x v="0"/>
    <x v="2"/>
    <n v="5"/>
    <m/>
    <n v="5"/>
  </r>
  <r>
    <s v="05/06/2025"/>
    <x v="3"/>
    <x v="0"/>
    <x v="0"/>
    <x v="0"/>
    <x v="1"/>
    <n v="29"/>
    <m/>
    <n v="29"/>
  </r>
  <r>
    <s v="05/09/2025"/>
    <x v="3"/>
    <x v="0"/>
    <x v="0"/>
    <x v="0"/>
    <x v="1"/>
    <n v="2.72"/>
    <m/>
    <n v="2.72"/>
  </r>
  <r>
    <s v="05/28/2025"/>
    <x v="3"/>
    <x v="0"/>
    <x v="0"/>
    <x v="0"/>
    <x v="2"/>
    <n v="5"/>
    <m/>
    <n v="5"/>
  </r>
  <r>
    <s v="05/28/2025"/>
    <x v="3"/>
    <x v="0"/>
    <x v="0"/>
    <x v="0"/>
    <x v="2"/>
    <n v="5"/>
    <m/>
    <n v="5"/>
  </r>
  <r>
    <s v="06/06/2025"/>
    <x v="4"/>
    <x v="0"/>
    <x v="0"/>
    <x v="0"/>
    <x v="2"/>
    <n v="5"/>
    <m/>
    <n v="5"/>
  </r>
  <r>
    <s v="06/09/2025"/>
    <x v="4"/>
    <x v="0"/>
    <x v="0"/>
    <x v="0"/>
    <x v="1"/>
    <n v="7.0000000000000007E-2"/>
    <m/>
    <n v="7.0000000000000007E-2"/>
  </r>
  <r>
    <s v="06/11/2025"/>
    <x v="4"/>
    <x v="0"/>
    <x v="0"/>
    <x v="0"/>
    <x v="3"/>
    <n v="39"/>
    <m/>
    <n v="39"/>
  </r>
  <r>
    <s v="06/16/2025"/>
    <x v="4"/>
    <x v="0"/>
    <x v="0"/>
    <x v="0"/>
    <x v="3"/>
    <n v="100.96"/>
    <m/>
    <n v="100.96"/>
  </r>
  <r>
    <s v="06/17/2025"/>
    <x v="4"/>
    <x v="0"/>
    <x v="0"/>
    <x v="0"/>
    <x v="2"/>
    <n v="5"/>
    <m/>
    <n v="5"/>
  </r>
  <r>
    <s v="06/18/2025"/>
    <x v="4"/>
    <x v="0"/>
    <x v="0"/>
    <x v="0"/>
    <x v="2"/>
    <n v="5"/>
    <m/>
    <n v="5"/>
  </r>
  <r>
    <s v="07/01/2025"/>
    <x v="5"/>
    <x v="0"/>
    <x v="0"/>
    <x v="0"/>
    <x v="4"/>
    <n v="30.68"/>
    <m/>
    <n v="30.68"/>
  </r>
  <r>
    <s v="07/03/2025"/>
    <x v="5"/>
    <x v="0"/>
    <x v="0"/>
    <x v="0"/>
    <x v="2"/>
    <n v="30.68"/>
    <m/>
    <n v="30.68"/>
  </r>
  <r>
    <s v="07/17/2025"/>
    <x v="5"/>
    <x v="0"/>
    <x v="0"/>
    <x v="0"/>
    <x v="3"/>
    <n v="109.42"/>
    <m/>
    <n v="109.42"/>
  </r>
  <r>
    <s v="07/18/2025"/>
    <x v="5"/>
    <x v="0"/>
    <x v="0"/>
    <x v="0"/>
    <x v="2"/>
    <n v="5"/>
    <m/>
    <n v="5"/>
  </r>
  <r>
    <s v="07/19/2025"/>
    <x v="5"/>
    <x v="0"/>
    <x v="0"/>
    <x v="0"/>
    <x v="3"/>
    <n v="-209"/>
    <m/>
    <n v="-209"/>
  </r>
  <r>
    <s v="07/24/2025"/>
    <x v="5"/>
    <x v="0"/>
    <x v="0"/>
    <x v="0"/>
    <x v="2"/>
    <n v="5"/>
    <m/>
    <n v="5"/>
  </r>
  <r>
    <s v="07/25/2025"/>
    <x v="5"/>
    <x v="0"/>
    <x v="0"/>
    <x v="0"/>
    <x v="2"/>
    <n v="50.17"/>
    <m/>
    <n v="50.17"/>
  </r>
  <r>
    <s v="07/29/2025"/>
    <x v="5"/>
    <x v="0"/>
    <x v="0"/>
    <x v="0"/>
    <x v="2"/>
    <n v="1"/>
    <m/>
    <n v="1"/>
  </r>
  <r>
    <s v="08/04/2025"/>
    <x v="6"/>
    <x v="0"/>
    <x v="0"/>
    <x v="0"/>
    <x v="2"/>
    <n v="-25"/>
    <m/>
    <n v="-25"/>
  </r>
  <r>
    <s v="08/12/2025"/>
    <x v="6"/>
    <x v="0"/>
    <x v="0"/>
    <x v="0"/>
    <x v="2"/>
    <n v="5"/>
    <m/>
    <n v="5"/>
  </r>
  <r>
    <s v="08/13/2025"/>
    <x v="6"/>
    <x v="0"/>
    <x v="0"/>
    <x v="0"/>
    <x v="2"/>
    <n v="5"/>
    <m/>
    <n v="5"/>
  </r>
  <r>
    <s v="08/17/2025"/>
    <x v="6"/>
    <x v="0"/>
    <x v="0"/>
    <x v="0"/>
    <x v="3"/>
    <n v="350"/>
    <m/>
    <n v="350"/>
  </r>
  <r>
    <s v="09/05/2025"/>
    <x v="7"/>
    <x v="0"/>
    <x v="0"/>
    <x v="0"/>
    <x v="2"/>
    <n v="5"/>
    <m/>
    <n v="5"/>
  </r>
  <r>
    <s v="09/17/2025"/>
    <x v="7"/>
    <x v="0"/>
    <x v="0"/>
    <x v="0"/>
    <x v="2"/>
    <n v="5"/>
    <m/>
    <n v="5"/>
  </r>
  <r>
    <s v="09/23/2025"/>
    <x v="7"/>
    <x v="0"/>
    <x v="0"/>
    <x v="0"/>
    <x v="2"/>
    <n v="30"/>
    <m/>
    <n v="30"/>
  </r>
  <r>
    <s v="09/24/2025"/>
    <x v="7"/>
    <x v="0"/>
    <x v="0"/>
    <x v="0"/>
    <x v="2"/>
    <n v="5"/>
    <m/>
    <n v="5"/>
  </r>
  <r>
    <s v="09/25/2025"/>
    <x v="7"/>
    <x v="0"/>
    <x v="0"/>
    <x v="0"/>
    <x v="2"/>
    <n v="45"/>
    <m/>
    <n v="45"/>
  </r>
  <r>
    <s v="10/17/2025"/>
    <x v="8"/>
    <x v="0"/>
    <x v="0"/>
    <x v="0"/>
    <x v="2"/>
    <n v="5"/>
    <m/>
    <n v="5"/>
  </r>
  <r>
    <s v="10/27/2025"/>
    <x v="8"/>
    <x v="0"/>
    <x v="0"/>
    <x v="0"/>
    <x v="2"/>
    <n v="5"/>
    <m/>
    <n v="5"/>
  </r>
  <r>
    <s v="11/05/2025"/>
    <x v="9"/>
    <x v="0"/>
    <x v="0"/>
    <x v="0"/>
    <x v="1"/>
    <n v="29"/>
    <m/>
    <n v="29"/>
  </r>
  <r>
    <s v="11/07/2025"/>
    <x v="9"/>
    <x v="0"/>
    <x v="0"/>
    <x v="0"/>
    <x v="1"/>
    <n v="3.06"/>
    <m/>
    <n v="3.06"/>
  </r>
  <r>
    <s v="11/17/2025"/>
    <x v="9"/>
    <x v="0"/>
    <x v="0"/>
    <x v="0"/>
    <x v="2"/>
    <n v="5"/>
    <m/>
    <n v="5"/>
  </r>
  <r>
    <s v="11/17/2025"/>
    <x v="9"/>
    <x v="0"/>
    <x v="0"/>
    <x v="0"/>
    <x v="2"/>
    <n v="5"/>
    <m/>
    <n v="5"/>
  </r>
  <r>
    <s v="11/17/2025"/>
    <x v="9"/>
    <x v="0"/>
    <x v="0"/>
    <x v="0"/>
    <x v="2"/>
    <n v="5"/>
    <m/>
    <n v="5"/>
  </r>
  <r>
    <s v="11/25/2025"/>
    <x v="9"/>
    <x v="0"/>
    <x v="0"/>
    <x v="0"/>
    <x v="2"/>
    <n v="5"/>
    <m/>
    <n v="5"/>
  </r>
  <r>
    <s v="12/09/2025"/>
    <x v="10"/>
    <x v="0"/>
    <x v="0"/>
    <x v="0"/>
    <x v="2"/>
    <n v="1"/>
    <m/>
    <n v="1"/>
  </r>
  <r>
    <s v="12/31/2025"/>
    <x v="10"/>
    <x v="0"/>
    <x v="0"/>
    <x v="0"/>
    <x v="2"/>
    <n v="5"/>
    <m/>
    <n v="5"/>
  </r>
  <r>
    <s v="05/05/2025"/>
    <x v="3"/>
    <x v="1"/>
    <x v="1"/>
    <x v="1"/>
    <x v="2"/>
    <n v="8000"/>
    <m/>
    <n v="8000"/>
  </r>
  <r>
    <s v="01/24/2025"/>
    <x v="11"/>
    <x v="2"/>
    <x v="2"/>
    <x v="2"/>
    <x v="5"/>
    <n v="234.95"/>
    <m/>
    <n v="234.95"/>
  </r>
  <r>
    <s v="02/25/2025"/>
    <x v="0"/>
    <x v="2"/>
    <x v="2"/>
    <x v="2"/>
    <x v="6"/>
    <n v="899"/>
    <m/>
    <n v="899"/>
  </r>
  <r>
    <s v="03/20/2025"/>
    <x v="1"/>
    <x v="2"/>
    <x v="2"/>
    <x v="2"/>
    <x v="7"/>
    <n v="8095"/>
    <m/>
    <n v="8095"/>
  </r>
  <r>
    <s v="04/18/2025"/>
    <x v="2"/>
    <x v="2"/>
    <x v="2"/>
    <x v="2"/>
    <x v="7"/>
    <n v="600"/>
    <m/>
    <n v="600"/>
  </r>
  <r>
    <s v="05/27/2025"/>
    <x v="3"/>
    <x v="2"/>
    <x v="2"/>
    <x v="2"/>
    <x v="8"/>
    <n v="2252.5500000000002"/>
    <m/>
    <n v="2252.5500000000002"/>
  </r>
  <r>
    <s v="05/30/2025"/>
    <x v="3"/>
    <x v="3"/>
    <x v="1"/>
    <x v="1"/>
    <x v="9"/>
    <n v="1896.58"/>
    <m/>
    <n v="1896.58"/>
  </r>
  <r>
    <s v="06/16/2025"/>
    <x v="4"/>
    <x v="3"/>
    <x v="1"/>
    <x v="1"/>
    <x v="9"/>
    <n v="1150"/>
    <m/>
    <n v="1150"/>
  </r>
  <r>
    <s v="06/17/2025"/>
    <x v="4"/>
    <x v="2"/>
    <x v="2"/>
    <x v="2"/>
    <x v="7"/>
    <n v="115.43"/>
    <m/>
    <n v="115.43"/>
  </r>
  <r>
    <s v="07/14/2025"/>
    <x v="5"/>
    <x v="2"/>
    <x v="2"/>
    <x v="2"/>
    <x v="10"/>
    <n v="2000"/>
    <m/>
    <n v="2000"/>
  </r>
  <r>
    <s v="07/15/2025"/>
    <x v="5"/>
    <x v="2"/>
    <x v="2"/>
    <x v="2"/>
    <x v="6"/>
    <n v="2750"/>
    <m/>
    <n v="2750"/>
  </r>
  <r>
    <s v="07/19/2025"/>
    <x v="5"/>
    <x v="3"/>
    <x v="1"/>
    <x v="1"/>
    <x v="11"/>
    <n v="209"/>
    <m/>
    <n v="209"/>
  </r>
  <r>
    <s v="07/23/2025"/>
    <x v="5"/>
    <x v="2"/>
    <x v="2"/>
    <x v="2"/>
    <x v="8"/>
    <n v="661.65"/>
    <m/>
    <n v="661.65"/>
  </r>
  <r>
    <s v="07/25/2025"/>
    <x v="5"/>
    <x v="3"/>
    <x v="1"/>
    <x v="1"/>
    <x v="9"/>
    <n v="1825"/>
    <m/>
    <n v="1825"/>
  </r>
  <r>
    <s v="07/28/2025"/>
    <x v="5"/>
    <x v="2"/>
    <x v="2"/>
    <x v="2"/>
    <x v="12"/>
    <n v="2267"/>
    <m/>
    <n v="2267"/>
  </r>
  <r>
    <s v="09/05/2025"/>
    <x v="7"/>
    <x v="2"/>
    <x v="2"/>
    <x v="2"/>
    <x v="13"/>
    <n v="895"/>
    <m/>
    <n v="895"/>
  </r>
  <r>
    <s v="09/15/2025"/>
    <x v="7"/>
    <x v="3"/>
    <x v="1"/>
    <x v="1"/>
    <x v="9"/>
    <n v="2500"/>
    <m/>
    <n v="2500"/>
  </r>
  <r>
    <s v="09/18/2025"/>
    <x v="7"/>
    <x v="2"/>
    <x v="2"/>
    <x v="2"/>
    <x v="14"/>
    <n v="2550"/>
    <m/>
    <n v="2550"/>
  </r>
  <r>
    <s v="09/23/2025"/>
    <x v="7"/>
    <x v="3"/>
    <x v="1"/>
    <x v="1"/>
    <x v="9"/>
    <n v="2500"/>
    <m/>
    <n v="2500"/>
  </r>
  <r>
    <s v="09/25/2025"/>
    <x v="7"/>
    <x v="3"/>
    <x v="1"/>
    <x v="1"/>
    <x v="15"/>
    <n v="2000"/>
    <m/>
    <n v="2000"/>
  </r>
  <r>
    <s v="10/14/2025"/>
    <x v="8"/>
    <x v="2"/>
    <x v="2"/>
    <x v="2"/>
    <x v="16"/>
    <n v="500"/>
    <m/>
    <n v="500"/>
  </r>
  <r>
    <s v="10/16/2025"/>
    <x v="8"/>
    <x v="3"/>
    <x v="1"/>
    <x v="1"/>
    <x v="9"/>
    <n v="2500"/>
    <m/>
    <n v="2500"/>
  </r>
  <r>
    <s v="10/16/2025"/>
    <x v="8"/>
    <x v="3"/>
    <x v="1"/>
    <x v="1"/>
    <x v="11"/>
    <n v="209"/>
    <m/>
    <n v="209"/>
  </r>
  <r>
    <s v="10/24/2025"/>
    <x v="8"/>
    <x v="2"/>
    <x v="2"/>
    <x v="2"/>
    <x v="17"/>
    <n v="3000"/>
    <m/>
    <n v="3000"/>
  </r>
  <r>
    <s v="11/10/2025"/>
    <x v="9"/>
    <x v="2"/>
    <x v="2"/>
    <x v="2"/>
    <x v="18"/>
    <n v="1250"/>
    <m/>
    <n v="1250"/>
  </r>
  <r>
    <s v="11/24/2025"/>
    <x v="9"/>
    <x v="3"/>
    <x v="1"/>
    <x v="1"/>
    <x v="9"/>
    <n v="2500"/>
    <m/>
    <n v="2500"/>
  </r>
  <r>
    <s v="12/01/2025"/>
    <x v="10"/>
    <x v="2"/>
    <x v="2"/>
    <x v="2"/>
    <x v="18"/>
    <n v="1250"/>
    <m/>
    <n v="1250"/>
  </r>
  <r>
    <s v="12/15/2025"/>
    <x v="10"/>
    <x v="2"/>
    <x v="2"/>
    <x v="2"/>
    <x v="18"/>
    <n v="1250"/>
    <m/>
    <n v="1250"/>
  </r>
  <r>
    <s v="12/22/2025"/>
    <x v="10"/>
    <x v="3"/>
    <x v="1"/>
    <x v="1"/>
    <x v="9"/>
    <n v="5000"/>
    <m/>
    <n v="5000"/>
  </r>
  <r>
    <s v="12/30/2025"/>
    <x v="10"/>
    <x v="2"/>
    <x v="2"/>
    <x v="2"/>
    <x v="18"/>
    <n v="1250"/>
    <m/>
    <n v="1250"/>
  </r>
  <r>
    <s v="01/02/2025"/>
    <x v="11"/>
    <x v="4"/>
    <x v="3"/>
    <x v="2"/>
    <x v="19"/>
    <n v="13.8"/>
    <m/>
    <n v="13.8"/>
  </r>
  <r>
    <s v="01/08/2025"/>
    <x v="11"/>
    <x v="4"/>
    <x v="3"/>
    <x v="2"/>
    <x v="20"/>
    <n v="53.3"/>
    <m/>
    <n v="53.3"/>
  </r>
  <r>
    <s v="01/08/2025"/>
    <x v="11"/>
    <x v="4"/>
    <x v="3"/>
    <x v="2"/>
    <x v="21"/>
    <n v="21.28"/>
    <m/>
    <n v="21.28"/>
  </r>
  <r>
    <s v="01/11/2025"/>
    <x v="11"/>
    <x v="4"/>
    <x v="3"/>
    <x v="2"/>
    <x v="22"/>
    <n v="12.6"/>
    <m/>
    <n v="12.6"/>
  </r>
  <r>
    <s v="01/12/2025"/>
    <x v="11"/>
    <x v="4"/>
    <x v="3"/>
    <x v="2"/>
    <x v="20"/>
    <n v="28.78"/>
    <m/>
    <n v="28.78"/>
  </r>
  <r>
    <s v="01/15/2025"/>
    <x v="11"/>
    <x v="4"/>
    <x v="3"/>
    <x v="2"/>
    <x v="22"/>
    <n v="12.7"/>
    <m/>
    <n v="12.7"/>
  </r>
  <r>
    <s v="01/18/2025"/>
    <x v="11"/>
    <x v="4"/>
    <x v="3"/>
    <x v="2"/>
    <x v="21"/>
    <n v="159.6"/>
    <m/>
    <n v="159.6"/>
  </r>
  <r>
    <s v="01/29/2025"/>
    <x v="11"/>
    <x v="4"/>
    <x v="3"/>
    <x v="2"/>
    <x v="23"/>
    <n v="12.78"/>
    <m/>
    <n v="12.78"/>
  </r>
  <r>
    <s v="02/02/2025"/>
    <x v="0"/>
    <x v="4"/>
    <x v="3"/>
    <x v="2"/>
    <x v="19"/>
    <n v="13.8"/>
    <m/>
    <n v="13.8"/>
  </r>
  <r>
    <s v="02/08/2025"/>
    <x v="0"/>
    <x v="4"/>
    <x v="3"/>
    <x v="2"/>
    <x v="20"/>
    <n v="53.3"/>
    <m/>
    <n v="53.3"/>
  </r>
  <r>
    <s v="02/08/2025"/>
    <x v="0"/>
    <x v="4"/>
    <x v="3"/>
    <x v="2"/>
    <x v="21"/>
    <n v="21.28"/>
    <m/>
    <n v="21.28"/>
  </r>
  <r>
    <s v="02/11/2025"/>
    <x v="0"/>
    <x v="4"/>
    <x v="3"/>
    <x v="2"/>
    <x v="22"/>
    <n v="12.6"/>
    <m/>
    <n v="12.6"/>
  </r>
  <r>
    <s v="02/12/2025"/>
    <x v="0"/>
    <x v="4"/>
    <x v="3"/>
    <x v="2"/>
    <x v="20"/>
    <n v="28.78"/>
    <m/>
    <n v="28.78"/>
  </r>
  <r>
    <s v="02/12/2025"/>
    <x v="0"/>
    <x v="4"/>
    <x v="3"/>
    <x v="2"/>
    <x v="24"/>
    <n v="19.75"/>
    <m/>
    <n v="19.75"/>
  </r>
  <r>
    <s v="02/15/2025"/>
    <x v="0"/>
    <x v="4"/>
    <x v="3"/>
    <x v="2"/>
    <x v="22"/>
    <n v="12.7"/>
    <m/>
    <n v="12.7"/>
  </r>
  <r>
    <s v="02/18/2025"/>
    <x v="0"/>
    <x v="4"/>
    <x v="3"/>
    <x v="2"/>
    <x v="21"/>
    <n v="159.6"/>
    <m/>
    <n v="159.6"/>
  </r>
  <r>
    <s v="03/01/2025"/>
    <x v="1"/>
    <x v="4"/>
    <x v="3"/>
    <x v="2"/>
    <x v="23"/>
    <n v="12.78"/>
    <m/>
    <n v="12.78"/>
  </r>
  <r>
    <s v="03/02/2025"/>
    <x v="1"/>
    <x v="4"/>
    <x v="3"/>
    <x v="2"/>
    <x v="19"/>
    <n v="13.8"/>
    <m/>
    <n v="13.8"/>
  </r>
  <r>
    <s v="03/08/2025"/>
    <x v="1"/>
    <x v="4"/>
    <x v="3"/>
    <x v="2"/>
    <x v="20"/>
    <n v="53.3"/>
    <m/>
    <n v="53.3"/>
  </r>
  <r>
    <s v="03/08/2025"/>
    <x v="1"/>
    <x v="4"/>
    <x v="3"/>
    <x v="2"/>
    <x v="21"/>
    <n v="21.28"/>
    <m/>
    <n v="21.28"/>
  </r>
  <r>
    <s v="03/11/2025"/>
    <x v="1"/>
    <x v="4"/>
    <x v="3"/>
    <x v="2"/>
    <x v="22"/>
    <n v="12.6"/>
    <m/>
    <n v="12.6"/>
  </r>
  <r>
    <s v="03/12/2025"/>
    <x v="1"/>
    <x v="4"/>
    <x v="3"/>
    <x v="2"/>
    <x v="20"/>
    <n v="28.78"/>
    <m/>
    <n v="28.78"/>
  </r>
  <r>
    <s v="03/12/2025"/>
    <x v="1"/>
    <x v="4"/>
    <x v="3"/>
    <x v="2"/>
    <x v="24"/>
    <n v="21.01"/>
    <m/>
    <n v="21.01"/>
  </r>
  <r>
    <s v="03/14/2025"/>
    <x v="1"/>
    <x v="4"/>
    <x v="3"/>
    <x v="2"/>
    <x v="25"/>
    <n v="56.57"/>
    <m/>
    <n v="56.57"/>
  </r>
  <r>
    <s v="03/15/2025"/>
    <x v="1"/>
    <x v="4"/>
    <x v="3"/>
    <x v="2"/>
    <x v="22"/>
    <n v="12.7"/>
    <m/>
    <n v="12.7"/>
  </r>
  <r>
    <s v="03/17/2025"/>
    <x v="1"/>
    <x v="4"/>
    <x v="3"/>
    <x v="2"/>
    <x v="26"/>
    <n v="25.98"/>
    <m/>
    <n v="25.98"/>
  </r>
  <r>
    <s v="03/18/2025"/>
    <x v="1"/>
    <x v="4"/>
    <x v="3"/>
    <x v="2"/>
    <x v="21"/>
    <n v="159.6"/>
    <m/>
    <n v="159.6"/>
  </r>
  <r>
    <s v="03/29/2025"/>
    <x v="1"/>
    <x v="4"/>
    <x v="3"/>
    <x v="2"/>
    <x v="23"/>
    <n v="12.78"/>
    <m/>
    <n v="12.78"/>
  </r>
  <r>
    <s v="04/02/2025"/>
    <x v="2"/>
    <x v="4"/>
    <x v="3"/>
    <x v="2"/>
    <x v="19"/>
    <n v="13.8"/>
    <m/>
    <n v="13.8"/>
  </r>
  <r>
    <s v="04/04/2025"/>
    <x v="2"/>
    <x v="4"/>
    <x v="3"/>
    <x v="2"/>
    <x v="27"/>
    <n v="52.77"/>
    <m/>
    <n v="52.77"/>
  </r>
  <r>
    <s v="04/08/2025"/>
    <x v="2"/>
    <x v="4"/>
    <x v="3"/>
    <x v="2"/>
    <x v="21"/>
    <n v="21.28"/>
    <m/>
    <n v="21.28"/>
  </r>
  <r>
    <s v="04/11/2025"/>
    <x v="2"/>
    <x v="4"/>
    <x v="3"/>
    <x v="2"/>
    <x v="22"/>
    <n v="12.6"/>
    <m/>
    <n v="12.6"/>
  </r>
  <r>
    <s v="04/12/2025"/>
    <x v="2"/>
    <x v="4"/>
    <x v="3"/>
    <x v="2"/>
    <x v="24"/>
    <n v="21.01"/>
    <m/>
    <n v="21.01"/>
  </r>
  <r>
    <s v="04/15/2025"/>
    <x v="2"/>
    <x v="4"/>
    <x v="3"/>
    <x v="2"/>
    <x v="22"/>
    <n v="12.7"/>
    <m/>
    <n v="12.7"/>
  </r>
  <r>
    <s v="04/18/2025"/>
    <x v="2"/>
    <x v="4"/>
    <x v="3"/>
    <x v="2"/>
    <x v="21"/>
    <n v="159.6"/>
    <m/>
    <n v="159.6"/>
  </r>
  <r>
    <s v="04/22/2025"/>
    <x v="2"/>
    <x v="4"/>
    <x v="3"/>
    <x v="2"/>
    <x v="27"/>
    <n v="3.2"/>
    <m/>
    <n v="3.2"/>
  </r>
  <r>
    <s v="04/29/2025"/>
    <x v="2"/>
    <x v="4"/>
    <x v="3"/>
    <x v="2"/>
    <x v="23"/>
    <n v="12.78"/>
    <m/>
    <n v="12.78"/>
  </r>
  <r>
    <s v="05/01/2025"/>
    <x v="3"/>
    <x v="4"/>
    <x v="3"/>
    <x v="2"/>
    <x v="28"/>
    <n v="379.79"/>
    <m/>
    <n v="379.79"/>
  </r>
  <r>
    <s v="05/01/2025"/>
    <x v="3"/>
    <x v="4"/>
    <x v="3"/>
    <x v="2"/>
    <x v="28"/>
    <n v="434.61"/>
    <m/>
    <n v="434.61"/>
  </r>
  <r>
    <s v="05/02/2025"/>
    <x v="3"/>
    <x v="4"/>
    <x v="3"/>
    <x v="2"/>
    <x v="19"/>
    <n v="13.8"/>
    <m/>
    <n v="13.8"/>
  </r>
  <r>
    <s v="05/04/2025"/>
    <x v="3"/>
    <x v="4"/>
    <x v="3"/>
    <x v="2"/>
    <x v="27"/>
    <n v="60.77"/>
    <m/>
    <n v="60.77"/>
  </r>
  <r>
    <s v="05/04/2025"/>
    <x v="3"/>
    <x v="4"/>
    <x v="3"/>
    <x v="2"/>
    <x v="29"/>
    <n v="26.65"/>
    <m/>
    <n v="26.65"/>
  </r>
  <r>
    <s v="05/08/2025"/>
    <x v="3"/>
    <x v="4"/>
    <x v="3"/>
    <x v="2"/>
    <x v="21"/>
    <n v="21.28"/>
    <m/>
    <n v="21.28"/>
  </r>
  <r>
    <s v="05/11/2025"/>
    <x v="3"/>
    <x v="4"/>
    <x v="3"/>
    <x v="2"/>
    <x v="22"/>
    <n v="12.6"/>
    <m/>
    <n v="12.6"/>
  </r>
  <r>
    <s v="05/12/2025"/>
    <x v="3"/>
    <x v="4"/>
    <x v="3"/>
    <x v="2"/>
    <x v="24"/>
    <n v="21.01"/>
    <m/>
    <n v="21.01"/>
  </r>
  <r>
    <s v="05/15/2025"/>
    <x v="3"/>
    <x v="4"/>
    <x v="3"/>
    <x v="2"/>
    <x v="22"/>
    <n v="12.7"/>
    <m/>
    <n v="12.7"/>
  </r>
  <r>
    <s v="05/18/2025"/>
    <x v="3"/>
    <x v="4"/>
    <x v="3"/>
    <x v="2"/>
    <x v="21"/>
    <n v="159.6"/>
    <m/>
    <n v="159.6"/>
  </r>
  <r>
    <s v="05/29/2025"/>
    <x v="3"/>
    <x v="4"/>
    <x v="3"/>
    <x v="2"/>
    <x v="23"/>
    <n v="12.78"/>
    <m/>
    <n v="12.78"/>
  </r>
  <r>
    <s v="06/02/2025"/>
    <x v="4"/>
    <x v="4"/>
    <x v="3"/>
    <x v="2"/>
    <x v="19"/>
    <n v="13.8"/>
    <m/>
    <n v="13.8"/>
  </r>
  <r>
    <s v="06/04/2025"/>
    <x v="4"/>
    <x v="4"/>
    <x v="3"/>
    <x v="2"/>
    <x v="27"/>
    <n v="60.77"/>
    <m/>
    <n v="60.77"/>
  </r>
  <r>
    <s v="06/08/2025"/>
    <x v="4"/>
    <x v="4"/>
    <x v="3"/>
    <x v="2"/>
    <x v="21"/>
    <n v="21.28"/>
    <m/>
    <n v="21.28"/>
  </r>
  <r>
    <s v="06/11/2025"/>
    <x v="4"/>
    <x v="4"/>
    <x v="3"/>
    <x v="2"/>
    <x v="22"/>
    <n v="12.6"/>
    <m/>
    <n v="12.6"/>
  </r>
  <r>
    <s v="06/12/2025"/>
    <x v="4"/>
    <x v="4"/>
    <x v="3"/>
    <x v="2"/>
    <x v="24"/>
    <n v="21.01"/>
    <m/>
    <n v="21.01"/>
  </r>
  <r>
    <s v="06/12/2025"/>
    <x v="4"/>
    <x v="4"/>
    <x v="3"/>
    <x v="2"/>
    <x v="26"/>
    <n v="133.02000000000001"/>
    <m/>
    <n v="133.02000000000001"/>
  </r>
  <r>
    <s v="06/15/2025"/>
    <x v="4"/>
    <x v="4"/>
    <x v="3"/>
    <x v="2"/>
    <x v="22"/>
    <n v="12.7"/>
    <m/>
    <n v="12.7"/>
  </r>
  <r>
    <s v="06/18/2025"/>
    <x v="4"/>
    <x v="4"/>
    <x v="3"/>
    <x v="2"/>
    <x v="21"/>
    <n v="159.6"/>
    <m/>
    <n v="159.6"/>
  </r>
  <r>
    <s v="06/29/2025"/>
    <x v="4"/>
    <x v="4"/>
    <x v="3"/>
    <x v="2"/>
    <x v="23"/>
    <n v="12.78"/>
    <m/>
    <n v="12.78"/>
  </r>
  <r>
    <s v="07/02/2025"/>
    <x v="5"/>
    <x v="4"/>
    <x v="3"/>
    <x v="2"/>
    <x v="19"/>
    <n v="13.8"/>
    <m/>
    <n v="13.8"/>
  </r>
  <r>
    <s v="07/04/2025"/>
    <x v="5"/>
    <x v="4"/>
    <x v="3"/>
    <x v="2"/>
    <x v="27"/>
    <n v="116.88"/>
    <m/>
    <n v="116.88"/>
  </r>
  <r>
    <s v="07/08/2025"/>
    <x v="5"/>
    <x v="4"/>
    <x v="3"/>
    <x v="2"/>
    <x v="21"/>
    <n v="21.28"/>
    <m/>
    <n v="21.28"/>
  </r>
  <r>
    <s v="07/11/2025"/>
    <x v="5"/>
    <x v="4"/>
    <x v="3"/>
    <x v="2"/>
    <x v="22"/>
    <n v="12.6"/>
    <m/>
    <n v="12.6"/>
  </r>
  <r>
    <s v="07/12/2025"/>
    <x v="5"/>
    <x v="4"/>
    <x v="3"/>
    <x v="2"/>
    <x v="24"/>
    <n v="21.01"/>
    <m/>
    <n v="21.01"/>
  </r>
  <r>
    <s v="07/15/2025"/>
    <x v="5"/>
    <x v="4"/>
    <x v="3"/>
    <x v="2"/>
    <x v="22"/>
    <n v="12.7"/>
    <m/>
    <n v="12.7"/>
  </r>
  <r>
    <s v="07/18/2025"/>
    <x v="5"/>
    <x v="4"/>
    <x v="3"/>
    <x v="2"/>
    <x v="21"/>
    <n v="159.6"/>
    <m/>
    <n v="159.6"/>
  </r>
  <r>
    <s v="07/19/2025"/>
    <x v="5"/>
    <x v="4"/>
    <x v="3"/>
    <x v="2"/>
    <x v="21"/>
    <n v="5.32"/>
    <m/>
    <n v="5.32"/>
  </r>
  <r>
    <s v="07/29/2025"/>
    <x v="5"/>
    <x v="4"/>
    <x v="3"/>
    <x v="2"/>
    <x v="23"/>
    <n v="12.78"/>
    <m/>
    <n v="12.78"/>
  </r>
  <r>
    <s v="08/02/2025"/>
    <x v="6"/>
    <x v="4"/>
    <x v="3"/>
    <x v="2"/>
    <x v="19"/>
    <n v="13.8"/>
    <m/>
    <n v="13.8"/>
  </r>
  <r>
    <s v="08/02/2025"/>
    <x v="6"/>
    <x v="4"/>
    <x v="3"/>
    <x v="2"/>
    <x v="30"/>
    <n v="137.79"/>
    <m/>
    <n v="137.79"/>
  </r>
  <r>
    <s v="08/04/2025"/>
    <x v="6"/>
    <x v="4"/>
    <x v="3"/>
    <x v="2"/>
    <x v="27"/>
    <n v="121.52"/>
    <m/>
    <n v="121.52"/>
  </r>
  <r>
    <s v="08/11/2025"/>
    <x v="6"/>
    <x v="4"/>
    <x v="3"/>
    <x v="2"/>
    <x v="22"/>
    <n v="12.77"/>
    <m/>
    <n v="12.77"/>
  </r>
  <r>
    <s v="08/12/2025"/>
    <x v="6"/>
    <x v="4"/>
    <x v="3"/>
    <x v="2"/>
    <x v="24"/>
    <n v="21.01"/>
    <m/>
    <n v="21.01"/>
  </r>
  <r>
    <s v="08/15/2025"/>
    <x v="6"/>
    <x v="4"/>
    <x v="3"/>
    <x v="2"/>
    <x v="22"/>
    <n v="12.77"/>
    <m/>
    <n v="12.77"/>
  </r>
  <r>
    <s v="08/18/2025"/>
    <x v="6"/>
    <x v="4"/>
    <x v="3"/>
    <x v="2"/>
    <x v="21"/>
    <n v="159.6"/>
    <m/>
    <n v="159.6"/>
  </r>
  <r>
    <s v="08/29/2025"/>
    <x v="6"/>
    <x v="4"/>
    <x v="3"/>
    <x v="2"/>
    <x v="23"/>
    <n v="12.78"/>
    <m/>
    <n v="12.78"/>
  </r>
  <r>
    <s v="09/02/2025"/>
    <x v="7"/>
    <x v="4"/>
    <x v="3"/>
    <x v="2"/>
    <x v="19"/>
    <n v="13.8"/>
    <m/>
    <n v="13.8"/>
  </r>
  <r>
    <s v="09/04/2025"/>
    <x v="7"/>
    <x v="4"/>
    <x v="3"/>
    <x v="2"/>
    <x v="27"/>
    <n v="121.52"/>
    <m/>
    <n v="121.52"/>
  </r>
  <r>
    <s v="09/11/2025"/>
    <x v="7"/>
    <x v="4"/>
    <x v="3"/>
    <x v="2"/>
    <x v="22"/>
    <n v="12.77"/>
    <m/>
    <n v="12.77"/>
  </r>
  <r>
    <s v="09/11/2025"/>
    <x v="7"/>
    <x v="4"/>
    <x v="3"/>
    <x v="2"/>
    <x v="26"/>
    <n v="44.38"/>
    <m/>
    <n v="44.38"/>
  </r>
  <r>
    <s v="09/12/2025"/>
    <x v="7"/>
    <x v="4"/>
    <x v="3"/>
    <x v="2"/>
    <x v="24"/>
    <n v="21.01"/>
    <m/>
    <n v="21.01"/>
  </r>
  <r>
    <s v="09/15/2025"/>
    <x v="7"/>
    <x v="4"/>
    <x v="3"/>
    <x v="2"/>
    <x v="22"/>
    <n v="12.77"/>
    <m/>
    <n v="12.77"/>
  </r>
  <r>
    <s v="09/18/2025"/>
    <x v="7"/>
    <x v="4"/>
    <x v="3"/>
    <x v="2"/>
    <x v="21"/>
    <n v="159.6"/>
    <m/>
    <n v="159.6"/>
  </r>
  <r>
    <s v="09/27/2025"/>
    <x v="7"/>
    <x v="4"/>
    <x v="3"/>
    <x v="2"/>
    <x v="31"/>
    <n v="212.26"/>
    <m/>
    <n v="212.26"/>
  </r>
  <r>
    <s v="09/29/2025"/>
    <x v="7"/>
    <x v="4"/>
    <x v="3"/>
    <x v="2"/>
    <x v="23"/>
    <n v="12.78"/>
    <m/>
    <n v="12.78"/>
  </r>
  <r>
    <s v="10/02/2025"/>
    <x v="8"/>
    <x v="4"/>
    <x v="3"/>
    <x v="2"/>
    <x v="19"/>
    <n v="13.8"/>
    <m/>
    <n v="13.8"/>
  </r>
  <r>
    <s v="10/04/2025"/>
    <x v="8"/>
    <x v="4"/>
    <x v="3"/>
    <x v="2"/>
    <x v="27"/>
    <n v="138.58000000000001"/>
    <m/>
    <n v="138.58000000000001"/>
  </r>
  <r>
    <s v="10/11/2025"/>
    <x v="8"/>
    <x v="4"/>
    <x v="3"/>
    <x v="2"/>
    <x v="22"/>
    <n v="12.77"/>
    <m/>
    <n v="12.77"/>
  </r>
  <r>
    <s v="10/12/2025"/>
    <x v="8"/>
    <x v="4"/>
    <x v="3"/>
    <x v="2"/>
    <x v="24"/>
    <n v="21.01"/>
    <m/>
    <n v="21.01"/>
  </r>
  <r>
    <s v="10/15/2025"/>
    <x v="8"/>
    <x v="4"/>
    <x v="3"/>
    <x v="2"/>
    <x v="22"/>
    <n v="12.77"/>
    <m/>
    <n v="12.77"/>
  </r>
  <r>
    <s v="10/18/2025"/>
    <x v="8"/>
    <x v="4"/>
    <x v="3"/>
    <x v="2"/>
    <x v="21"/>
    <n v="203.77"/>
    <m/>
    <n v="203.77"/>
  </r>
  <r>
    <s v="10/21/2025"/>
    <x v="8"/>
    <x v="4"/>
    <x v="3"/>
    <x v="2"/>
    <x v="32"/>
    <n v="49.99"/>
    <m/>
    <n v="49.99"/>
  </r>
  <r>
    <s v="10/22/2025"/>
    <x v="8"/>
    <x v="4"/>
    <x v="3"/>
    <x v="2"/>
    <x v="33"/>
    <n v="39"/>
    <m/>
    <n v="39"/>
  </r>
  <r>
    <s v="10/24/2025"/>
    <x v="8"/>
    <x v="4"/>
    <x v="3"/>
    <x v="2"/>
    <x v="33"/>
    <n v="-10"/>
    <m/>
    <n v="-10"/>
  </r>
  <r>
    <s v="10/29/2025"/>
    <x v="8"/>
    <x v="4"/>
    <x v="3"/>
    <x v="2"/>
    <x v="23"/>
    <n v="12.78"/>
    <m/>
    <n v="12.78"/>
  </r>
  <r>
    <s v="11/02/2025"/>
    <x v="9"/>
    <x v="4"/>
    <x v="3"/>
    <x v="2"/>
    <x v="19"/>
    <n v="13.8"/>
    <m/>
    <n v="13.8"/>
  </r>
  <r>
    <s v="11/04/2025"/>
    <x v="9"/>
    <x v="4"/>
    <x v="3"/>
    <x v="2"/>
    <x v="27"/>
    <n v="138.58000000000001"/>
    <m/>
    <n v="138.58000000000001"/>
  </r>
  <r>
    <s v="11/07/2025"/>
    <x v="9"/>
    <x v="4"/>
    <x v="3"/>
    <x v="2"/>
    <x v="34"/>
    <n v="23.66"/>
    <m/>
    <n v="23.66"/>
  </r>
  <r>
    <s v="11/11/2025"/>
    <x v="9"/>
    <x v="4"/>
    <x v="3"/>
    <x v="2"/>
    <x v="22"/>
    <n v="12.77"/>
    <m/>
    <n v="12.77"/>
  </r>
  <r>
    <s v="11/12/2025"/>
    <x v="9"/>
    <x v="4"/>
    <x v="3"/>
    <x v="2"/>
    <x v="24"/>
    <n v="21.01"/>
    <m/>
    <n v="21.01"/>
  </r>
  <r>
    <s v="11/15/2025"/>
    <x v="9"/>
    <x v="4"/>
    <x v="3"/>
    <x v="2"/>
    <x v="22"/>
    <n v="12.77"/>
    <m/>
    <n v="12.77"/>
  </r>
  <r>
    <s v="11/18/2025"/>
    <x v="9"/>
    <x v="4"/>
    <x v="3"/>
    <x v="2"/>
    <x v="21"/>
    <n v="191.52"/>
    <m/>
    <n v="191.52"/>
  </r>
  <r>
    <s v="11/29/2025"/>
    <x v="9"/>
    <x v="4"/>
    <x v="3"/>
    <x v="2"/>
    <x v="23"/>
    <n v="12.78"/>
    <m/>
    <n v="12.78"/>
  </r>
  <r>
    <s v="12/02/2025"/>
    <x v="10"/>
    <x v="4"/>
    <x v="3"/>
    <x v="2"/>
    <x v="19"/>
    <n v="13.8"/>
    <m/>
    <n v="13.8"/>
  </r>
  <r>
    <s v="12/04/2025"/>
    <x v="10"/>
    <x v="4"/>
    <x v="3"/>
    <x v="2"/>
    <x v="27"/>
    <n v="138.58000000000001"/>
    <m/>
    <n v="138.58000000000001"/>
  </r>
  <r>
    <s v="12/11/2025"/>
    <x v="10"/>
    <x v="4"/>
    <x v="3"/>
    <x v="2"/>
    <x v="22"/>
    <n v="12.77"/>
    <m/>
    <n v="12.77"/>
  </r>
  <r>
    <s v="12/12/2025"/>
    <x v="10"/>
    <x v="4"/>
    <x v="3"/>
    <x v="2"/>
    <x v="24"/>
    <n v="21.01"/>
    <m/>
    <n v="21.01"/>
  </r>
  <r>
    <s v="12/15/2025"/>
    <x v="10"/>
    <x v="4"/>
    <x v="3"/>
    <x v="2"/>
    <x v="22"/>
    <n v="12.77"/>
    <m/>
    <n v="12.77"/>
  </r>
  <r>
    <s v="12/18/2025"/>
    <x v="10"/>
    <x v="4"/>
    <x v="3"/>
    <x v="2"/>
    <x v="21"/>
    <n v="191.52"/>
    <m/>
    <n v="191.52"/>
  </r>
  <r>
    <s v="12/29/2025"/>
    <x v="10"/>
    <x v="4"/>
    <x v="3"/>
    <x v="2"/>
    <x v="23"/>
    <n v="12.78"/>
    <m/>
    <n v="12.78"/>
  </r>
  <r>
    <s v="01/30/2025"/>
    <x v="11"/>
    <x v="5"/>
    <x v="1"/>
    <x v="1"/>
    <x v="35"/>
    <n v="36.61"/>
    <m/>
    <n v="36.61"/>
  </r>
  <r>
    <s v="02/16/2025"/>
    <x v="0"/>
    <x v="5"/>
    <x v="1"/>
    <x v="1"/>
    <x v="35"/>
    <n v="37.700000000000003"/>
    <m/>
    <n v="37.700000000000003"/>
  </r>
  <r>
    <s v="02/20/2025"/>
    <x v="0"/>
    <x v="5"/>
    <x v="1"/>
    <x v="1"/>
    <x v="36"/>
    <n v="28.87"/>
    <m/>
    <n v="28.87"/>
  </r>
  <r>
    <s v="03/06/2025"/>
    <x v="1"/>
    <x v="5"/>
    <x v="1"/>
    <x v="1"/>
    <x v="37"/>
    <n v="40.82"/>
    <m/>
    <n v="40.82"/>
  </r>
  <r>
    <s v="03/14/2025"/>
    <x v="1"/>
    <x v="5"/>
    <x v="1"/>
    <x v="1"/>
    <x v="38"/>
    <n v="28.97"/>
    <m/>
    <n v="28.97"/>
  </r>
  <r>
    <s v="03/16/2025"/>
    <x v="1"/>
    <x v="5"/>
    <x v="1"/>
    <x v="1"/>
    <x v="35"/>
    <n v="48.1"/>
    <m/>
    <n v="48.1"/>
  </r>
  <r>
    <s v="03/16/2025"/>
    <x v="1"/>
    <x v="5"/>
    <x v="1"/>
    <x v="1"/>
    <x v="39"/>
    <n v="10.119999999999999"/>
    <m/>
    <n v="10.119999999999999"/>
  </r>
  <r>
    <s v="03/16/2025"/>
    <x v="1"/>
    <x v="5"/>
    <x v="1"/>
    <x v="1"/>
    <x v="40"/>
    <n v="18.36"/>
    <m/>
    <n v="18.36"/>
  </r>
  <r>
    <s v="03/19/2025"/>
    <x v="1"/>
    <x v="5"/>
    <x v="1"/>
    <x v="1"/>
    <x v="36"/>
    <n v="52.95"/>
    <m/>
    <n v="52.95"/>
  </r>
  <r>
    <s v="03/19/2025"/>
    <x v="1"/>
    <x v="5"/>
    <x v="1"/>
    <x v="1"/>
    <x v="36"/>
    <n v="11.82"/>
    <m/>
    <n v="11.82"/>
  </r>
  <r>
    <s v="03/20/2025"/>
    <x v="1"/>
    <x v="5"/>
    <x v="1"/>
    <x v="1"/>
    <x v="35"/>
    <n v="20"/>
    <m/>
    <n v="20"/>
  </r>
  <r>
    <s v="03/23/2025"/>
    <x v="1"/>
    <x v="5"/>
    <x v="1"/>
    <x v="1"/>
    <x v="35"/>
    <n v="-0.2"/>
    <m/>
    <n v="-0.2"/>
  </r>
  <r>
    <s v="03/26/2025"/>
    <x v="1"/>
    <x v="5"/>
    <x v="1"/>
    <x v="1"/>
    <x v="35"/>
    <n v="43.15"/>
    <m/>
    <n v="43.15"/>
  </r>
  <r>
    <s v="04/18/2025"/>
    <x v="2"/>
    <x v="5"/>
    <x v="1"/>
    <x v="1"/>
    <x v="41"/>
    <n v="53.04"/>
    <m/>
    <n v="53.04"/>
  </r>
  <r>
    <s v="04/18/2025"/>
    <x v="2"/>
    <x v="5"/>
    <x v="1"/>
    <x v="1"/>
    <x v="41"/>
    <n v="62.23"/>
    <m/>
    <n v="62.23"/>
  </r>
  <r>
    <s v="04/20/2025"/>
    <x v="2"/>
    <x v="5"/>
    <x v="1"/>
    <x v="1"/>
    <x v="35"/>
    <n v="35.04"/>
    <m/>
    <n v="35.04"/>
  </r>
  <r>
    <s v="04/20/2025"/>
    <x v="2"/>
    <x v="5"/>
    <x v="1"/>
    <x v="1"/>
    <x v="35"/>
    <n v="13.5"/>
    <m/>
    <n v="13.5"/>
  </r>
  <r>
    <s v="05/22/2025"/>
    <x v="3"/>
    <x v="5"/>
    <x v="1"/>
    <x v="1"/>
    <x v="35"/>
    <n v="21.71"/>
    <m/>
    <n v="21.71"/>
  </r>
  <r>
    <s v="07/25/2025"/>
    <x v="5"/>
    <x v="5"/>
    <x v="1"/>
    <x v="1"/>
    <x v="35"/>
    <n v="53.98"/>
    <m/>
    <n v="53.98"/>
  </r>
  <r>
    <s v="08/03/2025"/>
    <x v="6"/>
    <x v="5"/>
    <x v="1"/>
    <x v="1"/>
    <x v="36"/>
    <n v="43.51"/>
    <m/>
    <n v="43.51"/>
  </r>
  <r>
    <s v="08/16/2025"/>
    <x v="6"/>
    <x v="5"/>
    <x v="1"/>
    <x v="1"/>
    <x v="36"/>
    <n v="46.67"/>
    <m/>
    <n v="46.67"/>
  </r>
  <r>
    <s v="08/18/2025"/>
    <x v="6"/>
    <x v="5"/>
    <x v="1"/>
    <x v="1"/>
    <x v="42"/>
    <n v="49.7"/>
    <m/>
    <n v="49.7"/>
  </r>
  <r>
    <s v="08/21/2025"/>
    <x v="6"/>
    <x v="5"/>
    <x v="1"/>
    <x v="1"/>
    <x v="40"/>
    <n v="40"/>
    <m/>
    <n v="40"/>
  </r>
  <r>
    <s v="09/03/2025"/>
    <x v="7"/>
    <x v="5"/>
    <x v="1"/>
    <x v="1"/>
    <x v="35"/>
    <n v="61.85"/>
    <m/>
    <n v="61.85"/>
  </r>
  <r>
    <s v="09/05/2025"/>
    <x v="7"/>
    <x v="5"/>
    <x v="1"/>
    <x v="1"/>
    <x v="43"/>
    <n v="43.27"/>
    <m/>
    <n v="43.27"/>
  </r>
  <r>
    <s v="09/23/2025"/>
    <x v="7"/>
    <x v="5"/>
    <x v="1"/>
    <x v="1"/>
    <x v="35"/>
    <n v="46.97"/>
    <m/>
    <n v="46.97"/>
  </r>
  <r>
    <s v="09/26/2025"/>
    <x v="7"/>
    <x v="5"/>
    <x v="1"/>
    <x v="1"/>
    <x v="35"/>
    <n v="13.04"/>
    <m/>
    <n v="13.04"/>
  </r>
  <r>
    <s v="09/26/2025"/>
    <x v="7"/>
    <x v="5"/>
    <x v="1"/>
    <x v="1"/>
    <x v="35"/>
    <n v="61.35"/>
    <m/>
    <n v="61.35"/>
  </r>
  <r>
    <s v="10/25/2025"/>
    <x v="8"/>
    <x v="5"/>
    <x v="1"/>
    <x v="1"/>
    <x v="36"/>
    <n v="107.95"/>
    <m/>
    <n v="107.95"/>
  </r>
  <r>
    <s v="10/30/2025"/>
    <x v="8"/>
    <x v="5"/>
    <x v="1"/>
    <x v="1"/>
    <x v="36"/>
    <n v="41.49"/>
    <m/>
    <n v="41.49"/>
  </r>
  <r>
    <s v="11/08/2025"/>
    <x v="9"/>
    <x v="5"/>
    <x v="1"/>
    <x v="1"/>
    <x v="35"/>
    <n v="50.02"/>
    <m/>
    <n v="50.02"/>
  </r>
  <r>
    <s v="11/18/2025"/>
    <x v="9"/>
    <x v="5"/>
    <x v="1"/>
    <x v="1"/>
    <x v="35"/>
    <n v="31.05"/>
    <m/>
    <n v="31.05"/>
  </r>
  <r>
    <s v="11/23/2025"/>
    <x v="9"/>
    <x v="5"/>
    <x v="1"/>
    <x v="1"/>
    <x v="35"/>
    <n v="9.2200000000000006"/>
    <m/>
    <n v="9.2200000000000006"/>
  </r>
  <r>
    <s v="11/24/2025"/>
    <x v="9"/>
    <x v="5"/>
    <x v="1"/>
    <x v="1"/>
    <x v="35"/>
    <n v="36.86"/>
    <m/>
    <n v="36.86"/>
  </r>
  <r>
    <s v="11/26/2025"/>
    <x v="9"/>
    <x v="5"/>
    <x v="1"/>
    <x v="1"/>
    <x v="35"/>
    <n v="31.97"/>
    <m/>
    <n v="31.97"/>
  </r>
  <r>
    <s v="11/27/2025"/>
    <x v="9"/>
    <x v="5"/>
    <x v="1"/>
    <x v="1"/>
    <x v="35"/>
    <n v="40.03"/>
    <m/>
    <n v="40.03"/>
  </r>
  <r>
    <s v="12/06/2025"/>
    <x v="10"/>
    <x v="5"/>
    <x v="1"/>
    <x v="1"/>
    <x v="36"/>
    <n v="35.409999999999997"/>
    <m/>
    <n v="35.409999999999997"/>
  </r>
  <r>
    <s v="01/06/2025"/>
    <x v="11"/>
    <x v="6"/>
    <x v="1"/>
    <x v="1"/>
    <x v="44"/>
    <n v="1408.65"/>
    <m/>
    <n v="1408.65"/>
  </r>
  <r>
    <s v="01/08/2025"/>
    <x v="11"/>
    <x v="6"/>
    <x v="1"/>
    <x v="1"/>
    <x v="45"/>
    <n v="51"/>
    <m/>
    <n v="51"/>
  </r>
  <r>
    <s v="01/08/2025"/>
    <x v="11"/>
    <x v="6"/>
    <x v="1"/>
    <x v="1"/>
    <x v="45"/>
    <n v="101.63"/>
    <m/>
    <n v="101.63"/>
  </r>
  <r>
    <s v="01/10/2025"/>
    <x v="11"/>
    <x v="6"/>
    <x v="1"/>
    <x v="1"/>
    <x v="45"/>
    <n v="101.38"/>
    <m/>
    <n v="101.38"/>
  </r>
  <r>
    <s v="01/10/2025"/>
    <x v="11"/>
    <x v="6"/>
    <x v="1"/>
    <x v="1"/>
    <x v="45"/>
    <n v="550"/>
    <m/>
    <n v="550"/>
  </r>
  <r>
    <s v="01/16/2025"/>
    <x v="11"/>
    <x v="6"/>
    <x v="1"/>
    <x v="1"/>
    <x v="46"/>
    <n v="553.47"/>
    <m/>
    <n v="553.47"/>
  </r>
  <r>
    <s v="01/28/2025"/>
    <x v="11"/>
    <x v="6"/>
    <x v="1"/>
    <x v="1"/>
    <x v="44"/>
    <n v="-954.25"/>
    <m/>
    <n v="-954.25"/>
  </r>
  <r>
    <s v="02/13/2025"/>
    <x v="0"/>
    <x v="6"/>
    <x v="1"/>
    <x v="1"/>
    <x v="45"/>
    <n v="101.38"/>
    <m/>
    <n v="101.38"/>
  </r>
  <r>
    <s v="02/13/2025"/>
    <x v="0"/>
    <x v="6"/>
    <x v="1"/>
    <x v="1"/>
    <x v="45"/>
    <n v="550"/>
    <m/>
    <n v="550"/>
  </r>
  <r>
    <s v="02/13/2025"/>
    <x v="0"/>
    <x v="6"/>
    <x v="1"/>
    <x v="1"/>
    <x v="45"/>
    <n v="51"/>
    <m/>
    <n v="51"/>
  </r>
  <r>
    <s v="02/13/2025"/>
    <x v="0"/>
    <x v="6"/>
    <x v="1"/>
    <x v="1"/>
    <x v="45"/>
    <n v="101.63"/>
    <m/>
    <n v="101.63"/>
  </r>
  <r>
    <s v="02/13/2025"/>
    <x v="0"/>
    <x v="6"/>
    <x v="1"/>
    <x v="1"/>
    <x v="46"/>
    <n v="518.47"/>
    <m/>
    <n v="518.47"/>
  </r>
  <r>
    <s v="03/12/2025"/>
    <x v="1"/>
    <x v="6"/>
    <x v="1"/>
    <x v="1"/>
    <x v="46"/>
    <n v="518.47"/>
    <m/>
    <n v="518.47"/>
  </r>
  <r>
    <s v="03/13/2025"/>
    <x v="1"/>
    <x v="6"/>
    <x v="1"/>
    <x v="1"/>
    <x v="45"/>
    <n v="101.63"/>
    <m/>
    <n v="101.63"/>
  </r>
  <r>
    <s v="03/13/2025"/>
    <x v="1"/>
    <x v="6"/>
    <x v="1"/>
    <x v="1"/>
    <x v="45"/>
    <n v="51"/>
    <m/>
    <n v="51"/>
  </r>
  <r>
    <s v="03/13/2025"/>
    <x v="1"/>
    <x v="6"/>
    <x v="1"/>
    <x v="1"/>
    <x v="45"/>
    <n v="550"/>
    <m/>
    <n v="550"/>
  </r>
  <r>
    <s v="03/13/2025"/>
    <x v="1"/>
    <x v="6"/>
    <x v="1"/>
    <x v="1"/>
    <x v="45"/>
    <n v="101.38"/>
    <m/>
    <n v="101.38"/>
  </r>
  <r>
    <s v="03/25/2025"/>
    <x v="1"/>
    <x v="6"/>
    <x v="1"/>
    <x v="1"/>
    <x v="47"/>
    <n v="6931.2"/>
    <m/>
    <n v="6931.2"/>
  </r>
  <r>
    <s v="04/14/2025"/>
    <x v="2"/>
    <x v="6"/>
    <x v="1"/>
    <x v="1"/>
    <x v="46"/>
    <n v="518.47"/>
    <m/>
    <n v="518.47"/>
  </r>
  <r>
    <s v="04/15/2025"/>
    <x v="2"/>
    <x v="6"/>
    <x v="1"/>
    <x v="1"/>
    <x v="45"/>
    <n v="101.38"/>
    <m/>
    <n v="101.38"/>
  </r>
  <r>
    <s v="04/15/2025"/>
    <x v="2"/>
    <x v="6"/>
    <x v="1"/>
    <x v="1"/>
    <x v="45"/>
    <n v="550"/>
    <m/>
    <n v="550"/>
  </r>
  <r>
    <s v="04/15/2025"/>
    <x v="2"/>
    <x v="6"/>
    <x v="1"/>
    <x v="1"/>
    <x v="45"/>
    <n v="51"/>
    <m/>
    <n v="51"/>
  </r>
  <r>
    <s v="04/15/2025"/>
    <x v="2"/>
    <x v="6"/>
    <x v="1"/>
    <x v="1"/>
    <x v="45"/>
    <n v="101.63"/>
    <m/>
    <n v="101.63"/>
  </r>
  <r>
    <s v="05/07/2025"/>
    <x v="3"/>
    <x v="6"/>
    <x v="1"/>
    <x v="1"/>
    <x v="47"/>
    <n v="2805.56"/>
    <m/>
    <n v="2805.56"/>
  </r>
  <r>
    <s v="05/14/2025"/>
    <x v="3"/>
    <x v="6"/>
    <x v="1"/>
    <x v="1"/>
    <x v="45"/>
    <n v="101.38"/>
    <m/>
    <n v="101.38"/>
  </r>
  <r>
    <s v="05/14/2025"/>
    <x v="3"/>
    <x v="6"/>
    <x v="1"/>
    <x v="1"/>
    <x v="45"/>
    <n v="101.63"/>
    <m/>
    <n v="101.63"/>
  </r>
  <r>
    <s v="05/14/2025"/>
    <x v="3"/>
    <x v="6"/>
    <x v="1"/>
    <x v="1"/>
    <x v="46"/>
    <n v="518.47"/>
    <m/>
    <n v="518.47"/>
  </r>
  <r>
    <s v="05/14/2025"/>
    <x v="3"/>
    <x v="6"/>
    <x v="1"/>
    <x v="1"/>
    <x v="45"/>
    <n v="550"/>
    <m/>
    <n v="550"/>
  </r>
  <r>
    <s v="05/14/2025"/>
    <x v="3"/>
    <x v="6"/>
    <x v="1"/>
    <x v="1"/>
    <x v="45"/>
    <n v="51"/>
    <m/>
    <n v="51"/>
  </r>
  <r>
    <s v="05/20/2025"/>
    <x v="3"/>
    <x v="6"/>
    <x v="1"/>
    <x v="1"/>
    <x v="47"/>
    <n v="2657.68"/>
    <m/>
    <n v="2657.68"/>
  </r>
  <r>
    <s v="06/12/2025"/>
    <x v="4"/>
    <x v="6"/>
    <x v="1"/>
    <x v="1"/>
    <x v="46"/>
    <n v="518.47"/>
    <m/>
    <n v="518.47"/>
  </r>
  <r>
    <s v="06/13/2025"/>
    <x v="4"/>
    <x v="6"/>
    <x v="1"/>
    <x v="1"/>
    <x v="45"/>
    <n v="550"/>
    <m/>
    <n v="550"/>
  </r>
  <r>
    <s v="06/13/2025"/>
    <x v="4"/>
    <x v="6"/>
    <x v="1"/>
    <x v="1"/>
    <x v="45"/>
    <n v="51"/>
    <m/>
    <n v="51"/>
  </r>
  <r>
    <s v="06/13/2025"/>
    <x v="4"/>
    <x v="6"/>
    <x v="1"/>
    <x v="1"/>
    <x v="45"/>
    <n v="101.63"/>
    <m/>
    <n v="101.63"/>
  </r>
  <r>
    <s v="06/13/2025"/>
    <x v="4"/>
    <x v="6"/>
    <x v="1"/>
    <x v="1"/>
    <x v="45"/>
    <n v="101.38"/>
    <m/>
    <n v="101.38"/>
  </r>
  <r>
    <s v="06/20/2025"/>
    <x v="4"/>
    <x v="6"/>
    <x v="1"/>
    <x v="1"/>
    <x v="47"/>
    <n v="2657.68"/>
    <m/>
    <n v="2657.68"/>
  </r>
  <r>
    <s v="07/14/2025"/>
    <x v="5"/>
    <x v="6"/>
    <x v="1"/>
    <x v="1"/>
    <x v="46"/>
    <n v="518.47"/>
    <m/>
    <n v="518.47"/>
  </r>
  <r>
    <s v="07/15/2025"/>
    <x v="5"/>
    <x v="6"/>
    <x v="1"/>
    <x v="1"/>
    <x v="45"/>
    <n v="101.38"/>
    <m/>
    <n v="101.38"/>
  </r>
  <r>
    <s v="07/15/2025"/>
    <x v="5"/>
    <x v="6"/>
    <x v="1"/>
    <x v="1"/>
    <x v="45"/>
    <n v="51"/>
    <m/>
    <n v="51"/>
  </r>
  <r>
    <s v="07/15/2025"/>
    <x v="5"/>
    <x v="6"/>
    <x v="1"/>
    <x v="1"/>
    <x v="45"/>
    <n v="550"/>
    <m/>
    <n v="550"/>
  </r>
  <r>
    <s v="07/15/2025"/>
    <x v="5"/>
    <x v="6"/>
    <x v="1"/>
    <x v="1"/>
    <x v="45"/>
    <n v="101.63"/>
    <m/>
    <n v="101.63"/>
  </r>
  <r>
    <s v="07/21/2025"/>
    <x v="5"/>
    <x v="6"/>
    <x v="1"/>
    <x v="1"/>
    <x v="47"/>
    <n v="2445.7800000000002"/>
    <m/>
    <n v="2445.7800000000002"/>
  </r>
  <r>
    <s v="08/01/2025"/>
    <x v="6"/>
    <x v="6"/>
    <x v="1"/>
    <x v="1"/>
    <x v="48"/>
    <n v="600"/>
    <m/>
    <n v="600"/>
  </r>
  <r>
    <s v="08/04/2025"/>
    <x v="6"/>
    <x v="6"/>
    <x v="1"/>
    <x v="1"/>
    <x v="46"/>
    <n v="-234.15"/>
    <m/>
    <n v="-234.15"/>
  </r>
  <r>
    <s v="08/11/2025"/>
    <x v="6"/>
    <x v="6"/>
    <x v="1"/>
    <x v="1"/>
    <x v="49"/>
    <n v="1326.01"/>
    <m/>
    <n v="1326.01"/>
  </r>
  <r>
    <s v="08/19/2025"/>
    <x v="6"/>
    <x v="6"/>
    <x v="1"/>
    <x v="1"/>
    <x v="47"/>
    <n v="2445.7800000000002"/>
    <m/>
    <n v="2445.7800000000002"/>
  </r>
  <r>
    <s v="08/22/2025"/>
    <x v="6"/>
    <x v="6"/>
    <x v="1"/>
    <x v="1"/>
    <x v="49"/>
    <n v="1705.89"/>
    <m/>
    <n v="1705.89"/>
  </r>
  <r>
    <s v="09/05/2025"/>
    <x v="7"/>
    <x v="6"/>
    <x v="1"/>
    <x v="1"/>
    <x v="49"/>
    <n v="1705.89"/>
    <m/>
    <n v="1705.89"/>
  </r>
  <r>
    <s v="09/10/2025"/>
    <x v="7"/>
    <x v="6"/>
    <x v="1"/>
    <x v="1"/>
    <x v="47"/>
    <n v="423.8"/>
    <m/>
    <n v="423.8"/>
  </r>
  <r>
    <s v="09/17/2025"/>
    <x v="7"/>
    <x v="6"/>
    <x v="1"/>
    <x v="1"/>
    <x v="49"/>
    <n v="1326.01"/>
    <m/>
    <n v="1326.01"/>
  </r>
  <r>
    <s v="09/19/2025"/>
    <x v="7"/>
    <x v="6"/>
    <x v="1"/>
    <x v="1"/>
    <x v="47"/>
    <n v="2678.87"/>
    <m/>
    <n v="2678.87"/>
  </r>
  <r>
    <s v="09/19/2025"/>
    <x v="7"/>
    <x v="6"/>
    <x v="1"/>
    <x v="1"/>
    <x v="50"/>
    <n v="375"/>
    <m/>
    <n v="375"/>
  </r>
  <r>
    <s v="10/03/2025"/>
    <x v="8"/>
    <x v="6"/>
    <x v="1"/>
    <x v="1"/>
    <x v="50"/>
    <n v="375"/>
    <m/>
    <n v="375"/>
  </r>
  <r>
    <s v="10/15/2025"/>
    <x v="8"/>
    <x v="6"/>
    <x v="1"/>
    <x v="1"/>
    <x v="49"/>
    <n v="1326.01"/>
    <m/>
    <n v="1326.01"/>
  </r>
  <r>
    <s v="10/17/2025"/>
    <x v="8"/>
    <x v="6"/>
    <x v="1"/>
    <x v="1"/>
    <x v="50"/>
    <n v="375"/>
    <m/>
    <n v="375"/>
  </r>
  <r>
    <s v="10/17/2025"/>
    <x v="8"/>
    <x v="6"/>
    <x v="1"/>
    <x v="1"/>
    <x v="49"/>
    <n v="1705.89"/>
    <m/>
    <n v="1705.89"/>
  </r>
  <r>
    <s v="10/21/2025"/>
    <x v="8"/>
    <x v="6"/>
    <x v="1"/>
    <x v="1"/>
    <x v="47"/>
    <n v="2657.68"/>
    <m/>
    <n v="2657.68"/>
  </r>
  <r>
    <s v="10/31/2025"/>
    <x v="8"/>
    <x v="6"/>
    <x v="1"/>
    <x v="1"/>
    <x v="50"/>
    <n v="375"/>
    <m/>
    <n v="375"/>
  </r>
  <r>
    <s v="11/13/2025"/>
    <x v="9"/>
    <x v="6"/>
    <x v="1"/>
    <x v="1"/>
    <x v="49"/>
    <n v="1326.01"/>
    <m/>
    <n v="1326.01"/>
  </r>
  <r>
    <s v="11/14/2025"/>
    <x v="9"/>
    <x v="6"/>
    <x v="1"/>
    <x v="1"/>
    <x v="49"/>
    <n v="1705.89"/>
    <m/>
    <n v="1705.89"/>
  </r>
  <r>
    <s v="11/14/2025"/>
    <x v="9"/>
    <x v="6"/>
    <x v="1"/>
    <x v="1"/>
    <x v="50"/>
    <n v="375"/>
    <m/>
    <n v="375"/>
  </r>
  <r>
    <s v="11/15/2025"/>
    <x v="9"/>
    <x v="6"/>
    <x v="1"/>
    <x v="1"/>
    <x v="50"/>
    <n v="47.5"/>
    <m/>
    <n v="47.5"/>
  </r>
  <r>
    <s v="11/19/2025"/>
    <x v="9"/>
    <x v="6"/>
    <x v="1"/>
    <x v="1"/>
    <x v="47"/>
    <n v="2657.68"/>
    <m/>
    <n v="2657.68"/>
  </r>
  <r>
    <s v="11/28/2025"/>
    <x v="9"/>
    <x v="6"/>
    <x v="1"/>
    <x v="1"/>
    <x v="50"/>
    <n v="375"/>
    <m/>
    <n v="375"/>
  </r>
  <r>
    <s v="12/09/2025"/>
    <x v="10"/>
    <x v="6"/>
    <x v="1"/>
    <x v="1"/>
    <x v="49"/>
    <n v="1705.89"/>
    <m/>
    <n v="1705.89"/>
  </r>
  <r>
    <s v="12/12/2025"/>
    <x v="10"/>
    <x v="6"/>
    <x v="1"/>
    <x v="1"/>
    <x v="50"/>
    <n v="375"/>
    <m/>
    <n v="375"/>
  </r>
  <r>
    <s v="12/15/2025"/>
    <x v="10"/>
    <x v="6"/>
    <x v="1"/>
    <x v="1"/>
    <x v="49"/>
    <n v="1326.01"/>
    <m/>
    <n v="1326.01"/>
  </r>
  <r>
    <s v="12/15/2025"/>
    <x v="10"/>
    <x v="6"/>
    <x v="1"/>
    <x v="1"/>
    <x v="50"/>
    <n v="47.5"/>
    <m/>
    <n v="47.5"/>
  </r>
  <r>
    <s v="12/19/2025"/>
    <x v="10"/>
    <x v="6"/>
    <x v="1"/>
    <x v="1"/>
    <x v="47"/>
    <n v="2657.68"/>
    <m/>
    <n v="2657.68"/>
  </r>
  <r>
    <s v="12/26/2025"/>
    <x v="10"/>
    <x v="6"/>
    <x v="1"/>
    <x v="1"/>
    <x v="50"/>
    <n v="375"/>
    <m/>
    <n v="375"/>
  </r>
  <r>
    <s v="09/02/2025"/>
    <x v="7"/>
    <x v="7"/>
    <x v="0"/>
    <x v="0"/>
    <x v="2"/>
    <n v="2360.4"/>
    <m/>
    <n v="2360.4"/>
  </r>
  <r>
    <s v="10/01/2025"/>
    <x v="8"/>
    <x v="7"/>
    <x v="0"/>
    <x v="0"/>
    <x v="2"/>
    <n v="2360.4"/>
    <m/>
    <n v="2360.4"/>
  </r>
  <r>
    <s v="11/03/2025"/>
    <x v="9"/>
    <x v="7"/>
    <x v="0"/>
    <x v="0"/>
    <x v="2"/>
    <n v="2360.4"/>
    <m/>
    <n v="2360.4"/>
  </r>
  <r>
    <s v="12/01/2025"/>
    <x v="10"/>
    <x v="7"/>
    <x v="0"/>
    <x v="0"/>
    <x v="2"/>
    <n v="2360.4"/>
    <m/>
    <n v="2360.4"/>
  </r>
  <r>
    <s v="12/31/2025"/>
    <x v="10"/>
    <x v="7"/>
    <x v="0"/>
    <x v="0"/>
    <x v="2"/>
    <n v="2360.4"/>
    <m/>
    <n v="2360.4"/>
  </r>
  <r>
    <s v="01/19/2025"/>
    <x v="11"/>
    <x v="8"/>
    <x v="3"/>
    <x v="2"/>
    <x v="51"/>
    <n v="31.92"/>
    <m/>
    <n v="31.92"/>
  </r>
  <r>
    <s v="02/19/2025"/>
    <x v="0"/>
    <x v="8"/>
    <x v="3"/>
    <x v="2"/>
    <x v="51"/>
    <n v="31.92"/>
    <m/>
    <n v="31.92"/>
  </r>
  <r>
    <s v="04/09/2025"/>
    <x v="2"/>
    <x v="8"/>
    <x v="3"/>
    <x v="2"/>
    <x v="52"/>
    <n v="227.68"/>
    <m/>
    <n v="227.68"/>
  </r>
  <r>
    <s v="05/13/2025"/>
    <x v="3"/>
    <x v="8"/>
    <x v="3"/>
    <x v="2"/>
    <x v="52"/>
    <n v="274.94"/>
    <m/>
    <n v="274.94"/>
  </r>
  <r>
    <s v="06/11/2025"/>
    <x v="4"/>
    <x v="8"/>
    <x v="3"/>
    <x v="2"/>
    <x v="52"/>
    <n v="275.52999999999997"/>
    <m/>
    <n v="275.52999999999997"/>
  </r>
  <r>
    <s v="06/19/2025"/>
    <x v="4"/>
    <x v="8"/>
    <x v="3"/>
    <x v="2"/>
    <x v="53"/>
    <n v="149.19"/>
    <m/>
    <n v="149.19"/>
  </r>
  <r>
    <s v="06/23/2025"/>
    <x v="4"/>
    <x v="8"/>
    <x v="3"/>
    <x v="2"/>
    <x v="51"/>
    <n v="85.12"/>
    <m/>
    <n v="85.12"/>
  </r>
  <r>
    <s v="07/03/2025"/>
    <x v="5"/>
    <x v="8"/>
    <x v="3"/>
    <x v="2"/>
    <x v="54"/>
    <n v="1188"/>
    <m/>
    <n v="1188"/>
  </r>
  <r>
    <s v="07/11/2025"/>
    <x v="5"/>
    <x v="8"/>
    <x v="3"/>
    <x v="2"/>
    <x v="52"/>
    <n v="303.7"/>
    <m/>
    <n v="303.7"/>
  </r>
  <r>
    <s v="07/19/2025"/>
    <x v="5"/>
    <x v="8"/>
    <x v="3"/>
    <x v="2"/>
    <x v="53"/>
    <n v="149.19"/>
    <m/>
    <n v="149.19"/>
  </r>
  <r>
    <s v="07/23/2025"/>
    <x v="5"/>
    <x v="8"/>
    <x v="3"/>
    <x v="2"/>
    <x v="51"/>
    <n v="85.12"/>
    <m/>
    <n v="85.12"/>
  </r>
  <r>
    <s v="08/08/2025"/>
    <x v="6"/>
    <x v="8"/>
    <x v="3"/>
    <x v="2"/>
    <x v="52"/>
    <n v="277.3"/>
    <m/>
    <n v="277.3"/>
  </r>
  <r>
    <s v="08/19/2025"/>
    <x v="6"/>
    <x v="8"/>
    <x v="3"/>
    <x v="2"/>
    <x v="53"/>
    <n v="149.19"/>
    <m/>
    <n v="149.19"/>
  </r>
  <r>
    <s v="08/23/2025"/>
    <x v="6"/>
    <x v="8"/>
    <x v="3"/>
    <x v="2"/>
    <x v="51"/>
    <n v="85.12"/>
    <m/>
    <n v="85.12"/>
  </r>
  <r>
    <s v="09/13/2025"/>
    <x v="7"/>
    <x v="8"/>
    <x v="3"/>
    <x v="2"/>
    <x v="52"/>
    <n v="283.79000000000002"/>
    <m/>
    <n v="283.79000000000002"/>
  </r>
  <r>
    <s v="09/17/2025"/>
    <x v="7"/>
    <x v="8"/>
    <x v="3"/>
    <x v="2"/>
    <x v="53"/>
    <n v="4.49"/>
    <m/>
    <n v="4.49"/>
  </r>
  <r>
    <s v="09/19/2025"/>
    <x v="7"/>
    <x v="8"/>
    <x v="3"/>
    <x v="2"/>
    <x v="53"/>
    <n v="213.15"/>
    <m/>
    <n v="213.15"/>
  </r>
  <r>
    <s v="09/23/2025"/>
    <x v="7"/>
    <x v="8"/>
    <x v="3"/>
    <x v="2"/>
    <x v="51"/>
    <n v="85.12"/>
    <m/>
    <n v="85.12"/>
  </r>
  <r>
    <s v="10/08/2025"/>
    <x v="8"/>
    <x v="8"/>
    <x v="3"/>
    <x v="2"/>
    <x v="52"/>
    <n v="284.38"/>
    <m/>
    <n v="284.38"/>
  </r>
  <r>
    <s v="10/19/2025"/>
    <x v="8"/>
    <x v="8"/>
    <x v="3"/>
    <x v="2"/>
    <x v="53"/>
    <n v="213.15"/>
    <m/>
    <n v="213.15"/>
  </r>
  <r>
    <s v="10/23/2025"/>
    <x v="8"/>
    <x v="8"/>
    <x v="3"/>
    <x v="2"/>
    <x v="51"/>
    <n v="85.12"/>
    <m/>
    <n v="85.12"/>
  </r>
  <r>
    <s v="11/07/2025"/>
    <x v="9"/>
    <x v="8"/>
    <x v="3"/>
    <x v="2"/>
    <x v="52"/>
    <n v="284.97000000000003"/>
    <m/>
    <n v="284.97000000000003"/>
  </r>
  <r>
    <s v="11/19/2025"/>
    <x v="9"/>
    <x v="8"/>
    <x v="3"/>
    <x v="2"/>
    <x v="53"/>
    <n v="213.15"/>
    <m/>
    <n v="213.15"/>
  </r>
  <r>
    <s v="11/23/2025"/>
    <x v="9"/>
    <x v="8"/>
    <x v="3"/>
    <x v="2"/>
    <x v="51"/>
    <n v="42.56"/>
    <m/>
    <n v="42.56"/>
  </r>
  <r>
    <s v="12/19/2025"/>
    <x v="10"/>
    <x v="8"/>
    <x v="3"/>
    <x v="2"/>
    <x v="53"/>
    <n v="213.15"/>
    <m/>
    <n v="213.15"/>
  </r>
  <r>
    <s v="12/23/2025"/>
    <x v="10"/>
    <x v="8"/>
    <x v="3"/>
    <x v="2"/>
    <x v="51"/>
    <n v="42.56"/>
    <m/>
    <n v="42.56"/>
  </r>
  <r>
    <s v="01/13/2025"/>
    <x v="11"/>
    <x v="9"/>
    <x v="1"/>
    <x v="1"/>
    <x v="55"/>
    <n v="100"/>
    <m/>
    <n v="100"/>
  </r>
  <r>
    <s v="03/12/2025"/>
    <x v="1"/>
    <x v="9"/>
    <x v="1"/>
    <x v="1"/>
    <x v="55"/>
    <n v="1000"/>
    <m/>
    <n v="1000"/>
  </r>
  <r>
    <s v="04/09/2025"/>
    <x v="2"/>
    <x v="9"/>
    <x v="1"/>
    <x v="1"/>
    <x v="56"/>
    <n v="222"/>
    <m/>
    <n v="222"/>
  </r>
  <r>
    <s v="04/10/2025"/>
    <x v="2"/>
    <x v="9"/>
    <x v="1"/>
    <x v="1"/>
    <x v="55"/>
    <n v="225"/>
    <m/>
    <n v="225"/>
  </r>
  <r>
    <s v="06/05/2025"/>
    <x v="4"/>
    <x v="9"/>
    <x v="1"/>
    <x v="1"/>
    <x v="55"/>
    <n v="2000"/>
    <m/>
    <n v="2000"/>
  </r>
  <r>
    <s v="06/05/2025"/>
    <x v="4"/>
    <x v="3"/>
    <x v="1"/>
    <x v="1"/>
    <x v="15"/>
    <n v="2000"/>
    <m/>
    <n v="2000"/>
  </r>
  <r>
    <s v="06/24/2025"/>
    <x v="4"/>
    <x v="9"/>
    <x v="1"/>
    <x v="1"/>
    <x v="57"/>
    <n v="3590.66"/>
    <m/>
    <n v="3590.66"/>
  </r>
  <r>
    <s v="06/25/2025"/>
    <x v="4"/>
    <x v="9"/>
    <x v="1"/>
    <x v="1"/>
    <x v="55"/>
    <n v="2000"/>
    <m/>
    <n v="2000"/>
  </r>
  <r>
    <s v="07/15/2025"/>
    <x v="5"/>
    <x v="9"/>
    <x v="1"/>
    <x v="1"/>
    <x v="57"/>
    <n v="3588.69"/>
    <m/>
    <n v="3588.69"/>
  </r>
  <r>
    <s v="07/25/2025"/>
    <x v="5"/>
    <x v="9"/>
    <x v="1"/>
    <x v="1"/>
    <x v="58"/>
    <n v="1069.5899999999999"/>
    <m/>
    <n v="1069.5899999999999"/>
  </r>
  <r>
    <s v="08/11/2025"/>
    <x v="6"/>
    <x v="9"/>
    <x v="1"/>
    <x v="1"/>
    <x v="57"/>
    <n v="7036.47"/>
    <m/>
    <n v="7036.47"/>
  </r>
  <r>
    <s v="08/11/2025"/>
    <x v="6"/>
    <x v="9"/>
    <x v="1"/>
    <x v="1"/>
    <x v="58"/>
    <n v="474.96"/>
    <m/>
    <n v="474.96"/>
  </r>
  <r>
    <s v="09/02/2025"/>
    <x v="7"/>
    <x v="9"/>
    <x v="1"/>
    <x v="1"/>
    <x v="59"/>
    <n v="2250"/>
    <m/>
    <n v="2250"/>
  </r>
  <r>
    <s v="09/16/2025"/>
    <x v="7"/>
    <x v="9"/>
    <x v="1"/>
    <x v="1"/>
    <x v="57"/>
    <n v="7009.26"/>
    <m/>
    <n v="7009.26"/>
  </r>
  <r>
    <s v="09/16/2025"/>
    <x v="7"/>
    <x v="9"/>
    <x v="1"/>
    <x v="1"/>
    <x v="59"/>
    <n v="5250"/>
    <m/>
    <n v="5250"/>
  </r>
  <r>
    <s v="09/25/2025"/>
    <x v="7"/>
    <x v="9"/>
    <x v="1"/>
    <x v="1"/>
    <x v="58"/>
    <n v="752.74"/>
    <m/>
    <n v="752.74"/>
  </r>
  <r>
    <s v="10/16/2025"/>
    <x v="8"/>
    <x v="9"/>
    <x v="1"/>
    <x v="1"/>
    <x v="57"/>
    <n v="7026.75"/>
    <m/>
    <n v="7026.75"/>
  </r>
  <r>
    <s v="11/14/2025"/>
    <x v="9"/>
    <x v="9"/>
    <x v="1"/>
    <x v="1"/>
    <x v="57"/>
    <n v="7765.68"/>
    <m/>
    <n v="7765.68"/>
  </r>
  <r>
    <s v="12/01/2025"/>
    <x v="10"/>
    <x v="9"/>
    <x v="1"/>
    <x v="1"/>
    <x v="58"/>
    <n v="1061.8599999999999"/>
    <m/>
    <n v="1061.8599999999999"/>
  </r>
  <r>
    <s v="12/24/2025"/>
    <x v="10"/>
    <x v="9"/>
    <x v="1"/>
    <x v="1"/>
    <x v="57"/>
    <n v="8032.22"/>
    <m/>
    <n v="8032.22"/>
  </r>
  <r>
    <s v="10/08/2025"/>
    <x v="8"/>
    <x v="10"/>
    <x v="4"/>
    <x v="1"/>
    <x v="60"/>
    <n v="19.440000000000001"/>
    <m/>
    <n v="19.440000000000001"/>
  </r>
  <r>
    <s v="10/09/2025"/>
    <x v="8"/>
    <x v="10"/>
    <x v="4"/>
    <x v="1"/>
    <x v="61"/>
    <n v="406.28"/>
    <m/>
    <n v="406.28"/>
  </r>
  <r>
    <s v="10/09/2025"/>
    <x v="8"/>
    <x v="10"/>
    <x v="4"/>
    <x v="1"/>
    <x v="61"/>
    <n v="406.28"/>
    <m/>
    <n v="406.28"/>
  </r>
  <r>
    <s v="01/10/2025"/>
    <x v="11"/>
    <x v="11"/>
    <x v="5"/>
    <x v="1"/>
    <x v="62"/>
    <n v="9616.0400000000009"/>
    <m/>
    <n v="9616.0400000000009"/>
  </r>
  <r>
    <s v="01/14/2025"/>
    <x v="11"/>
    <x v="11"/>
    <x v="5"/>
    <x v="1"/>
    <x v="62"/>
    <n v="840"/>
    <m/>
    <n v="840"/>
  </r>
  <r>
    <s v="01/24/2025"/>
    <x v="11"/>
    <x v="11"/>
    <x v="5"/>
    <x v="1"/>
    <x v="62"/>
    <n v="9616.0499999999993"/>
    <m/>
    <n v="9616.0499999999993"/>
  </r>
  <r>
    <s v="01/28/2025"/>
    <x v="11"/>
    <x v="11"/>
    <x v="5"/>
    <x v="1"/>
    <x v="62"/>
    <n v="840"/>
    <m/>
    <n v="840"/>
  </r>
  <r>
    <s v="02/07/2025"/>
    <x v="0"/>
    <x v="11"/>
    <x v="5"/>
    <x v="1"/>
    <x v="62"/>
    <n v="14116.36"/>
    <m/>
    <n v="14116.36"/>
  </r>
  <r>
    <s v="02/11/2025"/>
    <x v="0"/>
    <x v="11"/>
    <x v="5"/>
    <x v="1"/>
    <x v="62"/>
    <n v="840"/>
    <m/>
    <n v="840"/>
  </r>
  <r>
    <s v="02/21/2025"/>
    <x v="0"/>
    <x v="11"/>
    <x v="5"/>
    <x v="1"/>
    <x v="62"/>
    <n v="14116.37"/>
    <m/>
    <n v="14116.37"/>
  </r>
  <r>
    <s v="02/25/2025"/>
    <x v="0"/>
    <x v="11"/>
    <x v="5"/>
    <x v="1"/>
    <x v="62"/>
    <n v="840"/>
    <m/>
    <n v="840"/>
  </r>
  <r>
    <s v="03/10/2025"/>
    <x v="1"/>
    <x v="11"/>
    <x v="5"/>
    <x v="1"/>
    <x v="62"/>
    <n v="10366.36"/>
    <m/>
    <n v="10366.36"/>
  </r>
  <r>
    <s v="03/11/2025"/>
    <x v="1"/>
    <x v="11"/>
    <x v="5"/>
    <x v="1"/>
    <x v="62"/>
    <n v="840"/>
    <m/>
    <n v="840"/>
  </r>
  <r>
    <s v="03/21/2025"/>
    <x v="1"/>
    <x v="11"/>
    <x v="5"/>
    <x v="1"/>
    <x v="62"/>
    <n v="10366.370000000001"/>
    <m/>
    <n v="10366.370000000001"/>
  </r>
  <r>
    <s v="03/25/2025"/>
    <x v="1"/>
    <x v="11"/>
    <x v="5"/>
    <x v="1"/>
    <x v="62"/>
    <n v="840"/>
    <m/>
    <n v="840"/>
  </r>
  <r>
    <s v="04/04/2025"/>
    <x v="2"/>
    <x v="11"/>
    <x v="5"/>
    <x v="1"/>
    <x v="62"/>
    <n v="10366.36"/>
    <m/>
    <n v="10366.36"/>
  </r>
  <r>
    <s v="04/08/2025"/>
    <x v="2"/>
    <x v="11"/>
    <x v="5"/>
    <x v="1"/>
    <x v="62"/>
    <n v="840"/>
    <m/>
    <n v="840"/>
  </r>
  <r>
    <s v="04/18/2025"/>
    <x v="2"/>
    <x v="11"/>
    <x v="5"/>
    <x v="1"/>
    <x v="62"/>
    <n v="10366.370000000001"/>
    <m/>
    <n v="10366.370000000001"/>
  </r>
  <r>
    <s v="04/23/2025"/>
    <x v="2"/>
    <x v="11"/>
    <x v="5"/>
    <x v="1"/>
    <x v="62"/>
    <n v="840"/>
    <m/>
    <n v="840"/>
  </r>
  <r>
    <s v="05/02/2025"/>
    <x v="3"/>
    <x v="11"/>
    <x v="5"/>
    <x v="1"/>
    <x v="62"/>
    <n v="10366.36"/>
    <m/>
    <n v="10366.36"/>
  </r>
  <r>
    <s v="05/06/2025"/>
    <x v="3"/>
    <x v="11"/>
    <x v="5"/>
    <x v="1"/>
    <x v="62"/>
    <n v="840"/>
    <m/>
    <n v="840"/>
  </r>
  <r>
    <s v="05/16/2025"/>
    <x v="3"/>
    <x v="11"/>
    <x v="5"/>
    <x v="1"/>
    <x v="62"/>
    <n v="10366.370000000001"/>
    <m/>
    <n v="10366.370000000001"/>
  </r>
  <r>
    <s v="05/20/2025"/>
    <x v="3"/>
    <x v="11"/>
    <x v="5"/>
    <x v="1"/>
    <x v="62"/>
    <n v="840"/>
    <m/>
    <n v="840"/>
  </r>
  <r>
    <s v="06/02/2025"/>
    <x v="4"/>
    <x v="11"/>
    <x v="5"/>
    <x v="1"/>
    <x v="62"/>
    <n v="16190.36"/>
    <m/>
    <n v="16190.36"/>
  </r>
  <r>
    <s v="06/04/2025"/>
    <x v="4"/>
    <x v="11"/>
    <x v="5"/>
    <x v="1"/>
    <x v="62"/>
    <n v="840"/>
    <m/>
    <n v="840"/>
  </r>
  <r>
    <s v="06/13/2025"/>
    <x v="4"/>
    <x v="11"/>
    <x v="5"/>
    <x v="1"/>
    <x v="62"/>
    <n v="12494.37"/>
    <m/>
    <n v="12494.37"/>
  </r>
  <r>
    <s v="06/17/2025"/>
    <x v="4"/>
    <x v="11"/>
    <x v="5"/>
    <x v="1"/>
    <x v="62"/>
    <n v="840"/>
    <m/>
    <n v="840"/>
  </r>
  <r>
    <s v="06/27/2025"/>
    <x v="4"/>
    <x v="11"/>
    <x v="5"/>
    <x v="1"/>
    <x v="62"/>
    <n v="12606.36"/>
    <m/>
    <n v="12606.36"/>
  </r>
  <r>
    <s v="07/01/2025"/>
    <x v="5"/>
    <x v="11"/>
    <x v="5"/>
    <x v="1"/>
    <x v="62"/>
    <n v="840"/>
    <m/>
    <n v="840"/>
  </r>
  <r>
    <s v="07/11/2025"/>
    <x v="5"/>
    <x v="11"/>
    <x v="5"/>
    <x v="1"/>
    <x v="62"/>
    <n v="14270.58"/>
    <m/>
    <n v="14270.58"/>
  </r>
  <r>
    <s v="07/15/2025"/>
    <x v="5"/>
    <x v="11"/>
    <x v="5"/>
    <x v="1"/>
    <x v="62"/>
    <n v="840"/>
    <m/>
    <n v="840"/>
  </r>
  <r>
    <s v="07/25/2025"/>
    <x v="5"/>
    <x v="11"/>
    <x v="5"/>
    <x v="1"/>
    <x v="62"/>
    <n v="17872.88"/>
    <m/>
    <n v="17872.88"/>
  </r>
  <r>
    <s v="07/29/2025"/>
    <x v="5"/>
    <x v="11"/>
    <x v="5"/>
    <x v="1"/>
    <x v="62"/>
    <n v="840"/>
    <m/>
    <n v="840"/>
  </r>
  <r>
    <s v="08/11/2025"/>
    <x v="6"/>
    <x v="11"/>
    <x v="5"/>
    <x v="1"/>
    <x v="62"/>
    <n v="15689.92"/>
    <m/>
    <n v="15689.92"/>
  </r>
  <r>
    <s v="08/12/2025"/>
    <x v="6"/>
    <x v="11"/>
    <x v="5"/>
    <x v="1"/>
    <x v="62"/>
    <n v="3091.75"/>
    <m/>
    <n v="3091.75"/>
  </r>
  <r>
    <s v="08/22/2025"/>
    <x v="6"/>
    <x v="11"/>
    <x v="5"/>
    <x v="1"/>
    <x v="62"/>
    <n v="15939.91"/>
    <m/>
    <n v="15939.91"/>
  </r>
  <r>
    <s v="08/26/2025"/>
    <x v="6"/>
    <x v="11"/>
    <x v="5"/>
    <x v="1"/>
    <x v="62"/>
    <n v="3091.75"/>
    <m/>
    <n v="3091.75"/>
  </r>
  <r>
    <s v="09/05/2025"/>
    <x v="7"/>
    <x v="11"/>
    <x v="5"/>
    <x v="1"/>
    <x v="62"/>
    <n v="15892.9"/>
    <m/>
    <n v="15892.9"/>
  </r>
  <r>
    <s v="09/09/2025"/>
    <x v="7"/>
    <x v="11"/>
    <x v="5"/>
    <x v="1"/>
    <x v="62"/>
    <n v="3154.25"/>
    <m/>
    <n v="3154.25"/>
  </r>
  <r>
    <s v="09/19/2025"/>
    <x v="7"/>
    <x v="11"/>
    <x v="5"/>
    <x v="1"/>
    <x v="62"/>
    <n v="15629.08"/>
    <m/>
    <n v="15629.08"/>
  </r>
  <r>
    <s v="09/23/2025"/>
    <x v="7"/>
    <x v="11"/>
    <x v="5"/>
    <x v="1"/>
    <x v="62"/>
    <n v="3154.25"/>
    <m/>
    <n v="3154.25"/>
  </r>
  <r>
    <s v="10/03/2025"/>
    <x v="8"/>
    <x v="11"/>
    <x v="5"/>
    <x v="1"/>
    <x v="62"/>
    <n v="16943.82"/>
    <m/>
    <n v="16943.82"/>
  </r>
  <r>
    <s v="10/07/2025"/>
    <x v="8"/>
    <x v="11"/>
    <x v="5"/>
    <x v="1"/>
    <x v="62"/>
    <n v="3479.25"/>
    <m/>
    <n v="3479.25"/>
  </r>
  <r>
    <s v="10/17/2025"/>
    <x v="8"/>
    <x v="11"/>
    <x v="5"/>
    <x v="1"/>
    <x v="62"/>
    <n v="16398.68"/>
    <m/>
    <n v="16398.68"/>
  </r>
  <r>
    <s v="10/21/2025"/>
    <x v="8"/>
    <x v="11"/>
    <x v="5"/>
    <x v="1"/>
    <x v="62"/>
    <n v="3479.25"/>
    <m/>
    <n v="3479.25"/>
  </r>
  <r>
    <s v="10/30/2025"/>
    <x v="8"/>
    <x v="11"/>
    <x v="5"/>
    <x v="1"/>
    <x v="62"/>
    <n v="16884.77"/>
    <m/>
    <n v="16884.77"/>
  </r>
  <r>
    <s v="11/04/2025"/>
    <x v="9"/>
    <x v="11"/>
    <x v="5"/>
    <x v="1"/>
    <x v="62"/>
    <n v="3154.25"/>
    <m/>
    <n v="3154.25"/>
  </r>
  <r>
    <s v="11/05/2025"/>
    <x v="9"/>
    <x v="11"/>
    <x v="5"/>
    <x v="1"/>
    <x v="62"/>
    <n v="-650"/>
    <m/>
    <n v="-650"/>
  </r>
  <r>
    <s v="11/13/2025"/>
    <x v="9"/>
    <x v="11"/>
    <x v="5"/>
    <x v="1"/>
    <x v="62"/>
    <n v="17385.39"/>
    <m/>
    <n v="17385.39"/>
  </r>
  <r>
    <s v="11/18/2025"/>
    <x v="9"/>
    <x v="11"/>
    <x v="5"/>
    <x v="1"/>
    <x v="62"/>
    <n v="2473.25"/>
    <m/>
    <n v="2473.25"/>
  </r>
  <r>
    <s v="11/28/2025"/>
    <x v="9"/>
    <x v="11"/>
    <x v="5"/>
    <x v="1"/>
    <x v="62"/>
    <n v="17592.77"/>
    <m/>
    <n v="17592.77"/>
  </r>
  <r>
    <s v="12/03/2025"/>
    <x v="10"/>
    <x v="11"/>
    <x v="5"/>
    <x v="1"/>
    <x v="62"/>
    <n v="2473.25"/>
    <m/>
    <n v="2473.25"/>
  </r>
  <r>
    <s v="12/11/2025"/>
    <x v="10"/>
    <x v="11"/>
    <x v="5"/>
    <x v="1"/>
    <x v="62"/>
    <n v="18176.73"/>
    <m/>
    <n v="18176.73"/>
  </r>
  <r>
    <s v="12/16/2025"/>
    <x v="10"/>
    <x v="11"/>
    <x v="5"/>
    <x v="1"/>
    <x v="62"/>
    <n v="2521.25"/>
    <m/>
    <n v="2521.25"/>
  </r>
  <r>
    <s v="12/24/2025"/>
    <x v="10"/>
    <x v="11"/>
    <x v="5"/>
    <x v="1"/>
    <x v="62"/>
    <n v="17275.759999999998"/>
    <m/>
    <n v="17275.759999999998"/>
  </r>
  <r>
    <s v="12/30/2025"/>
    <x v="10"/>
    <x v="11"/>
    <x v="5"/>
    <x v="1"/>
    <x v="62"/>
    <n v="1473.25"/>
    <m/>
    <n v="1473.25"/>
  </r>
  <r>
    <s v="01/22/2025"/>
    <x v="11"/>
    <x v="12"/>
    <x v="1"/>
    <x v="1"/>
    <x v="63"/>
    <n v="58.3"/>
    <m/>
    <n v="58.3"/>
  </r>
  <r>
    <s v="01/23/2025"/>
    <x v="11"/>
    <x v="12"/>
    <x v="1"/>
    <x v="1"/>
    <x v="64"/>
    <n v="23.02"/>
    <m/>
    <n v="23.02"/>
  </r>
  <r>
    <s v="01/23/2025"/>
    <x v="11"/>
    <x v="12"/>
    <x v="1"/>
    <x v="1"/>
    <x v="65"/>
    <n v="34.520000000000003"/>
    <m/>
    <n v="34.520000000000003"/>
  </r>
  <r>
    <s v="01/24/2025"/>
    <x v="11"/>
    <x v="12"/>
    <x v="1"/>
    <x v="1"/>
    <x v="66"/>
    <n v="15"/>
    <m/>
    <n v="15"/>
  </r>
  <r>
    <s v="01/24/2025"/>
    <x v="11"/>
    <x v="12"/>
    <x v="1"/>
    <x v="1"/>
    <x v="66"/>
    <n v="15"/>
    <m/>
    <n v="15"/>
  </r>
  <r>
    <s v="02/02/2025"/>
    <x v="0"/>
    <x v="12"/>
    <x v="1"/>
    <x v="1"/>
    <x v="66"/>
    <n v="47.72"/>
    <m/>
    <n v="47.72"/>
  </r>
  <r>
    <s v="02/08/2025"/>
    <x v="0"/>
    <x v="12"/>
    <x v="1"/>
    <x v="1"/>
    <x v="66"/>
    <n v="68.959999999999994"/>
    <m/>
    <n v="68.959999999999994"/>
  </r>
  <r>
    <s v="02/09/2025"/>
    <x v="0"/>
    <x v="12"/>
    <x v="1"/>
    <x v="1"/>
    <x v="67"/>
    <n v="52.3"/>
    <m/>
    <n v="52.3"/>
  </r>
  <r>
    <s v="02/14/2025"/>
    <x v="0"/>
    <x v="12"/>
    <x v="1"/>
    <x v="1"/>
    <x v="68"/>
    <n v="90.21"/>
    <m/>
    <n v="90.21"/>
  </r>
  <r>
    <s v="02/14/2025"/>
    <x v="0"/>
    <x v="12"/>
    <x v="1"/>
    <x v="1"/>
    <x v="69"/>
    <n v="26.6"/>
    <m/>
    <n v="26.6"/>
  </r>
  <r>
    <s v="02/14/2025"/>
    <x v="0"/>
    <x v="12"/>
    <x v="1"/>
    <x v="1"/>
    <x v="70"/>
    <n v="110.36"/>
    <m/>
    <n v="110.36"/>
  </r>
  <r>
    <s v="02/15/2025"/>
    <x v="0"/>
    <x v="12"/>
    <x v="1"/>
    <x v="1"/>
    <x v="71"/>
    <n v="51.85"/>
    <m/>
    <n v="51.85"/>
  </r>
  <r>
    <s v="02/18/2025"/>
    <x v="0"/>
    <x v="12"/>
    <x v="1"/>
    <x v="1"/>
    <x v="72"/>
    <n v="33.56"/>
    <m/>
    <n v="33.56"/>
  </r>
  <r>
    <s v="02/21/2025"/>
    <x v="0"/>
    <x v="12"/>
    <x v="1"/>
    <x v="1"/>
    <x v="73"/>
    <n v="456.61"/>
    <m/>
    <n v="456.61"/>
  </r>
  <r>
    <s v="02/26/2025"/>
    <x v="0"/>
    <x v="12"/>
    <x v="1"/>
    <x v="1"/>
    <x v="74"/>
    <n v="52.86"/>
    <m/>
    <n v="52.86"/>
  </r>
  <r>
    <s v="02/27/2025"/>
    <x v="0"/>
    <x v="12"/>
    <x v="1"/>
    <x v="1"/>
    <x v="75"/>
    <n v="16.78"/>
    <m/>
    <n v="16.78"/>
  </r>
  <r>
    <s v="02/28/2025"/>
    <x v="0"/>
    <x v="12"/>
    <x v="1"/>
    <x v="1"/>
    <x v="76"/>
    <n v="101.64"/>
    <m/>
    <n v="101.64"/>
  </r>
  <r>
    <s v="03/05/2025"/>
    <x v="1"/>
    <x v="12"/>
    <x v="1"/>
    <x v="1"/>
    <x v="77"/>
    <n v="40.090000000000003"/>
    <m/>
    <n v="40.090000000000003"/>
  </r>
  <r>
    <s v="03/07/2025"/>
    <x v="1"/>
    <x v="12"/>
    <x v="1"/>
    <x v="1"/>
    <x v="78"/>
    <n v="56.76"/>
    <m/>
    <n v="56.76"/>
  </r>
  <r>
    <s v="03/10/2025"/>
    <x v="1"/>
    <x v="12"/>
    <x v="1"/>
    <x v="1"/>
    <x v="77"/>
    <n v="64.69"/>
    <m/>
    <n v="64.69"/>
  </r>
  <r>
    <s v="03/10/2025"/>
    <x v="1"/>
    <x v="12"/>
    <x v="1"/>
    <x v="1"/>
    <x v="79"/>
    <n v="59.39"/>
    <m/>
    <n v="59.39"/>
  </r>
  <r>
    <s v="03/11/2025"/>
    <x v="1"/>
    <x v="12"/>
    <x v="1"/>
    <x v="1"/>
    <x v="69"/>
    <n v="14.91"/>
    <m/>
    <n v="14.91"/>
  </r>
  <r>
    <s v="03/11/2025"/>
    <x v="1"/>
    <x v="12"/>
    <x v="1"/>
    <x v="1"/>
    <x v="80"/>
    <n v="48.8"/>
    <m/>
    <n v="48.8"/>
  </r>
  <r>
    <s v="03/11/2025"/>
    <x v="1"/>
    <x v="12"/>
    <x v="1"/>
    <x v="1"/>
    <x v="81"/>
    <n v="4.05"/>
    <m/>
    <n v="4.05"/>
  </r>
  <r>
    <s v="03/11/2025"/>
    <x v="1"/>
    <x v="12"/>
    <x v="1"/>
    <x v="1"/>
    <x v="82"/>
    <n v="48"/>
    <m/>
    <n v="48"/>
  </r>
  <r>
    <s v="03/11/2025"/>
    <x v="1"/>
    <x v="12"/>
    <x v="1"/>
    <x v="1"/>
    <x v="83"/>
    <n v="23.14"/>
    <m/>
    <n v="23.14"/>
  </r>
  <r>
    <s v="03/11/2025"/>
    <x v="1"/>
    <x v="12"/>
    <x v="1"/>
    <x v="1"/>
    <x v="80"/>
    <n v="47.4"/>
    <m/>
    <n v="47.4"/>
  </r>
  <r>
    <s v="03/13/2025"/>
    <x v="1"/>
    <x v="12"/>
    <x v="1"/>
    <x v="1"/>
    <x v="84"/>
    <n v="30.49"/>
    <m/>
    <n v="30.49"/>
  </r>
  <r>
    <s v="03/13/2025"/>
    <x v="1"/>
    <x v="12"/>
    <x v="1"/>
    <x v="1"/>
    <x v="85"/>
    <n v="60.43"/>
    <m/>
    <n v="60.43"/>
  </r>
  <r>
    <s v="03/13/2025"/>
    <x v="1"/>
    <x v="12"/>
    <x v="1"/>
    <x v="1"/>
    <x v="82"/>
    <n v="55.75"/>
    <m/>
    <n v="55.75"/>
  </r>
  <r>
    <s v="03/13/2025"/>
    <x v="1"/>
    <x v="12"/>
    <x v="1"/>
    <x v="1"/>
    <x v="85"/>
    <n v="51.21"/>
    <m/>
    <n v="51.21"/>
  </r>
  <r>
    <s v="03/13/2025"/>
    <x v="1"/>
    <x v="12"/>
    <x v="1"/>
    <x v="1"/>
    <x v="86"/>
    <n v="101.92"/>
    <m/>
    <n v="101.92"/>
  </r>
  <r>
    <s v="03/14/2025"/>
    <x v="1"/>
    <x v="12"/>
    <x v="1"/>
    <x v="1"/>
    <x v="69"/>
    <n v="46.69"/>
    <m/>
    <n v="46.69"/>
  </r>
  <r>
    <s v="03/14/2025"/>
    <x v="1"/>
    <x v="12"/>
    <x v="1"/>
    <x v="1"/>
    <x v="69"/>
    <n v="7.89"/>
    <m/>
    <n v="7.89"/>
  </r>
  <r>
    <s v="03/14/2025"/>
    <x v="1"/>
    <x v="12"/>
    <x v="1"/>
    <x v="1"/>
    <x v="87"/>
    <n v="3.49"/>
    <m/>
    <n v="3.49"/>
  </r>
  <r>
    <s v="03/14/2025"/>
    <x v="1"/>
    <x v="12"/>
    <x v="1"/>
    <x v="1"/>
    <x v="87"/>
    <n v="60.28"/>
    <m/>
    <n v="60.28"/>
  </r>
  <r>
    <s v="03/14/2025"/>
    <x v="1"/>
    <x v="12"/>
    <x v="1"/>
    <x v="1"/>
    <x v="82"/>
    <n v="48"/>
    <m/>
    <n v="48"/>
  </r>
  <r>
    <s v="03/14/2025"/>
    <x v="1"/>
    <x v="12"/>
    <x v="1"/>
    <x v="1"/>
    <x v="25"/>
    <n v="56.44"/>
    <m/>
    <n v="56.44"/>
  </r>
  <r>
    <s v="03/15/2025"/>
    <x v="1"/>
    <x v="12"/>
    <x v="1"/>
    <x v="1"/>
    <x v="88"/>
    <n v="60"/>
    <m/>
    <n v="60"/>
  </r>
  <r>
    <s v="03/15/2025"/>
    <x v="1"/>
    <x v="12"/>
    <x v="1"/>
    <x v="1"/>
    <x v="89"/>
    <n v="27.43"/>
    <m/>
    <n v="27.43"/>
  </r>
  <r>
    <s v="03/15/2025"/>
    <x v="1"/>
    <x v="12"/>
    <x v="1"/>
    <x v="1"/>
    <x v="88"/>
    <n v="60"/>
    <m/>
    <n v="60"/>
  </r>
  <r>
    <s v="03/16/2025"/>
    <x v="1"/>
    <x v="12"/>
    <x v="1"/>
    <x v="1"/>
    <x v="65"/>
    <n v="19.45"/>
    <m/>
    <n v="19.45"/>
  </r>
  <r>
    <s v="03/16/2025"/>
    <x v="1"/>
    <x v="12"/>
    <x v="1"/>
    <x v="1"/>
    <x v="90"/>
    <n v="11.84"/>
    <m/>
    <n v="11.84"/>
  </r>
  <r>
    <s v="03/16/2025"/>
    <x v="1"/>
    <x v="12"/>
    <x v="1"/>
    <x v="1"/>
    <x v="83"/>
    <n v="46.82"/>
    <m/>
    <n v="46.82"/>
  </r>
  <r>
    <s v="03/17/2025"/>
    <x v="1"/>
    <x v="12"/>
    <x v="1"/>
    <x v="1"/>
    <x v="91"/>
    <n v="15.64"/>
    <m/>
    <n v="15.64"/>
  </r>
  <r>
    <s v="03/17/2025"/>
    <x v="1"/>
    <x v="12"/>
    <x v="1"/>
    <x v="1"/>
    <x v="92"/>
    <n v="724.36"/>
    <m/>
    <n v="724.36"/>
  </r>
  <r>
    <s v="03/17/2025"/>
    <x v="1"/>
    <x v="12"/>
    <x v="1"/>
    <x v="1"/>
    <x v="93"/>
    <n v="80.28"/>
    <m/>
    <n v="80.28"/>
  </r>
  <r>
    <s v="03/19/2025"/>
    <x v="1"/>
    <x v="12"/>
    <x v="1"/>
    <x v="1"/>
    <x v="93"/>
    <n v="29.32"/>
    <m/>
    <n v="29.32"/>
  </r>
  <r>
    <s v="03/21/2025"/>
    <x v="1"/>
    <x v="12"/>
    <x v="1"/>
    <x v="1"/>
    <x v="84"/>
    <n v="44.2"/>
    <m/>
    <n v="44.2"/>
  </r>
  <r>
    <s v="03/21/2025"/>
    <x v="1"/>
    <x v="12"/>
    <x v="1"/>
    <x v="1"/>
    <x v="94"/>
    <n v="64.34"/>
    <m/>
    <n v="64.34"/>
  </r>
  <r>
    <s v="03/23/2025"/>
    <x v="1"/>
    <x v="12"/>
    <x v="1"/>
    <x v="1"/>
    <x v="95"/>
    <n v="28.51"/>
    <m/>
    <n v="28.51"/>
  </r>
  <r>
    <s v="03/23/2025"/>
    <x v="1"/>
    <x v="12"/>
    <x v="1"/>
    <x v="1"/>
    <x v="96"/>
    <n v="35.58"/>
    <m/>
    <n v="35.58"/>
  </r>
  <r>
    <s v="03/24/2025"/>
    <x v="1"/>
    <x v="12"/>
    <x v="1"/>
    <x v="1"/>
    <x v="97"/>
    <n v="78.42"/>
    <m/>
    <n v="78.42"/>
  </r>
  <r>
    <s v="03/25/2025"/>
    <x v="1"/>
    <x v="12"/>
    <x v="1"/>
    <x v="1"/>
    <x v="98"/>
    <n v="521.24"/>
    <m/>
    <n v="521.24"/>
  </r>
  <r>
    <s v="03/26/2025"/>
    <x v="1"/>
    <x v="12"/>
    <x v="1"/>
    <x v="1"/>
    <x v="83"/>
    <n v="9.92"/>
    <m/>
    <n v="9.92"/>
  </r>
  <r>
    <s v="03/27/2025"/>
    <x v="1"/>
    <x v="12"/>
    <x v="1"/>
    <x v="1"/>
    <x v="84"/>
    <n v="27.11"/>
    <m/>
    <n v="27.11"/>
  </r>
  <r>
    <s v="03/28/2025"/>
    <x v="1"/>
    <x v="12"/>
    <x v="1"/>
    <x v="1"/>
    <x v="84"/>
    <n v="53.02"/>
    <m/>
    <n v="53.02"/>
  </r>
  <r>
    <s v="03/31/2025"/>
    <x v="1"/>
    <x v="12"/>
    <x v="1"/>
    <x v="1"/>
    <x v="73"/>
    <n v="593.85"/>
    <m/>
    <n v="593.85"/>
  </r>
  <r>
    <s v="04/04/2025"/>
    <x v="2"/>
    <x v="12"/>
    <x v="1"/>
    <x v="1"/>
    <x v="75"/>
    <n v="36.72"/>
    <m/>
    <n v="36.72"/>
  </r>
  <r>
    <s v="04/08/2025"/>
    <x v="2"/>
    <x v="12"/>
    <x v="1"/>
    <x v="1"/>
    <x v="99"/>
    <n v="39.26"/>
    <m/>
    <n v="39.26"/>
  </r>
  <r>
    <s v="04/11/2025"/>
    <x v="2"/>
    <x v="12"/>
    <x v="1"/>
    <x v="1"/>
    <x v="100"/>
    <n v="83.91"/>
    <m/>
    <n v="83.91"/>
  </r>
  <r>
    <s v="04/20/2025"/>
    <x v="2"/>
    <x v="12"/>
    <x v="1"/>
    <x v="1"/>
    <x v="101"/>
    <n v="70.7"/>
    <m/>
    <n v="70.7"/>
  </r>
  <r>
    <s v="04/27/2025"/>
    <x v="2"/>
    <x v="12"/>
    <x v="1"/>
    <x v="1"/>
    <x v="102"/>
    <n v="110"/>
    <m/>
    <n v="110"/>
  </r>
  <r>
    <s v="04/28/2025"/>
    <x v="2"/>
    <x v="12"/>
    <x v="1"/>
    <x v="1"/>
    <x v="103"/>
    <n v="14.16"/>
    <m/>
    <n v="14.16"/>
  </r>
  <r>
    <s v="04/28/2025"/>
    <x v="2"/>
    <x v="12"/>
    <x v="1"/>
    <x v="1"/>
    <x v="103"/>
    <n v="8.17"/>
    <m/>
    <n v="8.17"/>
  </r>
  <r>
    <s v="05/04/2025"/>
    <x v="3"/>
    <x v="12"/>
    <x v="1"/>
    <x v="1"/>
    <x v="73"/>
    <n v="123.17"/>
    <m/>
    <n v="123.17"/>
  </r>
  <r>
    <s v="05/05/2025"/>
    <x v="3"/>
    <x v="12"/>
    <x v="1"/>
    <x v="1"/>
    <x v="73"/>
    <n v="397.58"/>
    <m/>
    <n v="397.58"/>
  </r>
  <r>
    <s v="07/20/2025"/>
    <x v="5"/>
    <x v="12"/>
    <x v="1"/>
    <x v="1"/>
    <x v="104"/>
    <n v="34.04"/>
    <m/>
    <n v="34.04"/>
  </r>
  <r>
    <s v="07/31/2025"/>
    <x v="5"/>
    <x v="12"/>
    <x v="1"/>
    <x v="1"/>
    <x v="105"/>
    <n v="44.02"/>
    <m/>
    <n v="44.02"/>
  </r>
  <r>
    <s v="07/31/2025"/>
    <x v="5"/>
    <x v="12"/>
    <x v="1"/>
    <x v="1"/>
    <x v="106"/>
    <n v="36.43"/>
    <m/>
    <n v="36.43"/>
  </r>
  <r>
    <s v="08/02/2025"/>
    <x v="6"/>
    <x v="12"/>
    <x v="1"/>
    <x v="1"/>
    <x v="107"/>
    <n v="71.42"/>
    <m/>
    <n v="71.42"/>
  </r>
  <r>
    <s v="08/04/2025"/>
    <x v="6"/>
    <x v="12"/>
    <x v="1"/>
    <x v="1"/>
    <x v="108"/>
    <n v="53"/>
    <m/>
    <n v="53"/>
  </r>
  <r>
    <s v="08/06/2025"/>
    <x v="6"/>
    <x v="12"/>
    <x v="1"/>
    <x v="1"/>
    <x v="109"/>
    <n v="14.99"/>
    <m/>
    <n v="14.99"/>
  </r>
  <r>
    <s v="08/06/2025"/>
    <x v="6"/>
    <x v="12"/>
    <x v="1"/>
    <x v="1"/>
    <x v="110"/>
    <n v="96.47"/>
    <m/>
    <n v="96.47"/>
  </r>
  <r>
    <s v="08/06/2025"/>
    <x v="6"/>
    <x v="12"/>
    <x v="1"/>
    <x v="1"/>
    <x v="111"/>
    <n v="61.05"/>
    <m/>
    <n v="61.05"/>
  </r>
  <r>
    <s v="08/09/2025"/>
    <x v="6"/>
    <x v="12"/>
    <x v="1"/>
    <x v="1"/>
    <x v="112"/>
    <n v="35"/>
    <m/>
    <n v="35"/>
  </r>
  <r>
    <s v="08/09/2025"/>
    <x v="6"/>
    <x v="12"/>
    <x v="1"/>
    <x v="1"/>
    <x v="71"/>
    <n v="48.74"/>
    <m/>
    <n v="48.74"/>
  </r>
  <r>
    <s v="08/09/2025"/>
    <x v="6"/>
    <x v="12"/>
    <x v="1"/>
    <x v="1"/>
    <x v="113"/>
    <n v="43.3"/>
    <m/>
    <n v="43.3"/>
  </r>
  <r>
    <s v="08/10/2025"/>
    <x v="6"/>
    <x v="12"/>
    <x v="1"/>
    <x v="1"/>
    <x v="114"/>
    <n v="60"/>
    <m/>
    <n v="60"/>
  </r>
  <r>
    <s v="08/14/2025"/>
    <x v="6"/>
    <x v="12"/>
    <x v="1"/>
    <x v="1"/>
    <x v="43"/>
    <n v="12.32"/>
    <m/>
    <n v="12.32"/>
  </r>
  <r>
    <s v="08/17/2025"/>
    <x v="6"/>
    <x v="12"/>
    <x v="1"/>
    <x v="1"/>
    <x v="115"/>
    <n v="37.79"/>
    <m/>
    <n v="37.79"/>
  </r>
  <r>
    <s v="08/18/2025"/>
    <x v="6"/>
    <x v="12"/>
    <x v="1"/>
    <x v="1"/>
    <x v="116"/>
    <n v="26.14"/>
    <m/>
    <n v="26.14"/>
  </r>
  <r>
    <s v="08/18/2025"/>
    <x v="6"/>
    <x v="12"/>
    <x v="1"/>
    <x v="1"/>
    <x v="117"/>
    <n v="9.5"/>
    <m/>
    <n v="9.5"/>
  </r>
  <r>
    <s v="08/18/2025"/>
    <x v="6"/>
    <x v="12"/>
    <x v="1"/>
    <x v="1"/>
    <x v="118"/>
    <n v="259.8"/>
    <m/>
    <n v="259.8"/>
  </r>
  <r>
    <s v="08/19/2025"/>
    <x v="6"/>
    <x v="12"/>
    <x v="1"/>
    <x v="1"/>
    <x v="119"/>
    <n v="146.34"/>
    <m/>
    <n v="146.34"/>
  </r>
  <r>
    <s v="08/20/2025"/>
    <x v="6"/>
    <x v="12"/>
    <x v="1"/>
    <x v="1"/>
    <x v="91"/>
    <n v="10.17"/>
    <m/>
    <n v="10.17"/>
  </r>
  <r>
    <s v="08/20/2025"/>
    <x v="6"/>
    <x v="12"/>
    <x v="1"/>
    <x v="1"/>
    <x v="120"/>
    <n v="172"/>
    <m/>
    <n v="172"/>
  </r>
  <r>
    <s v="08/20/2025"/>
    <x v="6"/>
    <x v="12"/>
    <x v="1"/>
    <x v="1"/>
    <x v="120"/>
    <n v="7.42"/>
    <m/>
    <n v="7.42"/>
  </r>
  <r>
    <s v="08/21/2025"/>
    <x v="6"/>
    <x v="12"/>
    <x v="1"/>
    <x v="1"/>
    <x v="121"/>
    <n v="9.44"/>
    <m/>
    <n v="9.44"/>
  </r>
  <r>
    <s v="08/21/2025"/>
    <x v="6"/>
    <x v="12"/>
    <x v="1"/>
    <x v="1"/>
    <x v="122"/>
    <n v="7.31"/>
    <m/>
    <n v="7.31"/>
  </r>
  <r>
    <s v="08/21/2025"/>
    <x v="6"/>
    <x v="12"/>
    <x v="1"/>
    <x v="1"/>
    <x v="122"/>
    <n v="5.62"/>
    <m/>
    <n v="5.62"/>
  </r>
  <r>
    <s v="08/21/2025"/>
    <x v="6"/>
    <x v="12"/>
    <x v="1"/>
    <x v="1"/>
    <x v="122"/>
    <n v="27.83"/>
    <m/>
    <n v="27.83"/>
  </r>
  <r>
    <s v="08/23/2025"/>
    <x v="6"/>
    <x v="12"/>
    <x v="1"/>
    <x v="1"/>
    <x v="123"/>
    <n v="79.58"/>
    <m/>
    <n v="79.58"/>
  </r>
  <r>
    <s v="08/25/2025"/>
    <x v="6"/>
    <x v="12"/>
    <x v="1"/>
    <x v="1"/>
    <x v="124"/>
    <n v="24.9"/>
    <m/>
    <n v="24.9"/>
  </r>
  <r>
    <s v="08/31/2025"/>
    <x v="6"/>
    <x v="12"/>
    <x v="1"/>
    <x v="1"/>
    <x v="108"/>
    <n v="53.52"/>
    <m/>
    <n v="53.52"/>
  </r>
  <r>
    <s v="09/04/2025"/>
    <x v="7"/>
    <x v="12"/>
    <x v="1"/>
    <x v="1"/>
    <x v="65"/>
    <n v="25.94"/>
    <m/>
    <n v="25.94"/>
  </r>
  <r>
    <s v="09/05/2025"/>
    <x v="7"/>
    <x v="12"/>
    <x v="1"/>
    <x v="1"/>
    <x v="125"/>
    <n v="49.27"/>
    <m/>
    <n v="49.27"/>
  </r>
  <r>
    <s v="09/06/2025"/>
    <x v="7"/>
    <x v="12"/>
    <x v="1"/>
    <x v="1"/>
    <x v="126"/>
    <n v="14.7"/>
    <m/>
    <n v="14.7"/>
  </r>
  <r>
    <s v="09/09/2025"/>
    <x v="7"/>
    <x v="12"/>
    <x v="1"/>
    <x v="1"/>
    <x v="127"/>
    <n v="4.49"/>
    <m/>
    <n v="4.49"/>
  </r>
  <r>
    <s v="09/10/2025"/>
    <x v="7"/>
    <x v="12"/>
    <x v="1"/>
    <x v="1"/>
    <x v="128"/>
    <n v="16.170000000000002"/>
    <m/>
    <n v="16.170000000000002"/>
  </r>
  <r>
    <s v="09/14/2025"/>
    <x v="7"/>
    <x v="12"/>
    <x v="1"/>
    <x v="1"/>
    <x v="129"/>
    <n v="60.73"/>
    <m/>
    <n v="60.73"/>
  </r>
  <r>
    <s v="09/16/2025"/>
    <x v="7"/>
    <x v="12"/>
    <x v="1"/>
    <x v="1"/>
    <x v="50"/>
    <n v="180"/>
    <m/>
    <n v="180"/>
  </r>
  <r>
    <s v="09/17/2025"/>
    <x v="7"/>
    <x v="12"/>
    <x v="1"/>
    <x v="1"/>
    <x v="106"/>
    <n v="46.58"/>
    <m/>
    <n v="46.58"/>
  </r>
  <r>
    <s v="09/21/2025"/>
    <x v="7"/>
    <x v="12"/>
    <x v="1"/>
    <x v="1"/>
    <x v="130"/>
    <n v="62.72"/>
    <m/>
    <n v="62.72"/>
  </r>
  <r>
    <s v="09/28/2025"/>
    <x v="7"/>
    <x v="12"/>
    <x v="1"/>
    <x v="1"/>
    <x v="106"/>
    <n v="48.52"/>
    <m/>
    <n v="48.52"/>
  </r>
  <r>
    <s v="09/29/2025"/>
    <x v="7"/>
    <x v="12"/>
    <x v="1"/>
    <x v="1"/>
    <x v="131"/>
    <n v="39.25"/>
    <m/>
    <n v="39.25"/>
  </r>
  <r>
    <s v="10/06/2025"/>
    <x v="8"/>
    <x v="12"/>
    <x v="1"/>
    <x v="1"/>
    <x v="132"/>
    <n v="27.3"/>
    <m/>
    <n v="27.3"/>
  </r>
  <r>
    <s v="10/06/2025"/>
    <x v="8"/>
    <x v="12"/>
    <x v="1"/>
    <x v="1"/>
    <x v="132"/>
    <n v="12.95"/>
    <m/>
    <n v="12.95"/>
  </r>
  <r>
    <s v="10/06/2025"/>
    <x v="8"/>
    <x v="12"/>
    <x v="1"/>
    <x v="1"/>
    <x v="133"/>
    <n v="54"/>
    <m/>
    <n v="54"/>
  </r>
  <r>
    <s v="10/06/2025"/>
    <x v="8"/>
    <x v="12"/>
    <x v="1"/>
    <x v="1"/>
    <x v="134"/>
    <n v="61.63"/>
    <m/>
    <n v="61.63"/>
  </r>
  <r>
    <s v="10/10/2025"/>
    <x v="8"/>
    <x v="12"/>
    <x v="1"/>
    <x v="1"/>
    <x v="91"/>
    <n v="8.17"/>
    <m/>
    <n v="8.17"/>
  </r>
  <r>
    <s v="10/10/2025"/>
    <x v="8"/>
    <x v="12"/>
    <x v="1"/>
    <x v="1"/>
    <x v="135"/>
    <n v="33.14"/>
    <m/>
    <n v="33.14"/>
  </r>
  <r>
    <s v="10/11/2025"/>
    <x v="8"/>
    <x v="12"/>
    <x v="1"/>
    <x v="1"/>
    <x v="71"/>
    <n v="36.85"/>
    <m/>
    <n v="36.85"/>
  </r>
  <r>
    <s v="10/11/2025"/>
    <x v="8"/>
    <x v="12"/>
    <x v="1"/>
    <x v="1"/>
    <x v="136"/>
    <n v="32.01"/>
    <m/>
    <n v="32.01"/>
  </r>
  <r>
    <s v="10/15/2025"/>
    <x v="8"/>
    <x v="12"/>
    <x v="1"/>
    <x v="1"/>
    <x v="50"/>
    <n v="45"/>
    <m/>
    <n v="45"/>
  </r>
  <r>
    <s v="11/02/2025"/>
    <x v="9"/>
    <x v="12"/>
    <x v="1"/>
    <x v="1"/>
    <x v="124"/>
    <n v="32.229999999999997"/>
    <m/>
    <n v="32.229999999999997"/>
  </r>
  <r>
    <s v="11/02/2025"/>
    <x v="9"/>
    <x v="12"/>
    <x v="1"/>
    <x v="1"/>
    <x v="137"/>
    <n v="12.02"/>
    <m/>
    <n v="12.02"/>
  </r>
  <r>
    <s v="11/05/2025"/>
    <x v="9"/>
    <x v="12"/>
    <x v="1"/>
    <x v="1"/>
    <x v="91"/>
    <n v="8.1999999999999993"/>
    <m/>
    <n v="8.1999999999999993"/>
  </r>
  <r>
    <s v="11/06/2025"/>
    <x v="9"/>
    <x v="12"/>
    <x v="1"/>
    <x v="1"/>
    <x v="91"/>
    <n v="7.14"/>
    <m/>
    <n v="7.14"/>
  </r>
  <r>
    <s v="11/06/2025"/>
    <x v="9"/>
    <x v="12"/>
    <x v="1"/>
    <x v="1"/>
    <x v="138"/>
    <n v="65"/>
    <m/>
    <n v="65"/>
  </r>
  <r>
    <s v="11/08/2025"/>
    <x v="9"/>
    <x v="12"/>
    <x v="1"/>
    <x v="1"/>
    <x v="107"/>
    <n v="30.79"/>
    <m/>
    <n v="30.79"/>
  </r>
  <r>
    <s v="11/11/2025"/>
    <x v="9"/>
    <x v="12"/>
    <x v="1"/>
    <x v="1"/>
    <x v="139"/>
    <n v="5.23"/>
    <m/>
    <n v="5.23"/>
  </r>
  <r>
    <s v="11/11/2025"/>
    <x v="9"/>
    <x v="12"/>
    <x v="1"/>
    <x v="1"/>
    <x v="140"/>
    <n v="19.63"/>
    <m/>
    <n v="19.63"/>
  </r>
  <r>
    <s v="11/11/2025"/>
    <x v="9"/>
    <x v="12"/>
    <x v="1"/>
    <x v="1"/>
    <x v="141"/>
    <n v="9.65"/>
    <m/>
    <n v="9.65"/>
  </r>
  <r>
    <s v="11/11/2025"/>
    <x v="9"/>
    <x v="12"/>
    <x v="1"/>
    <x v="1"/>
    <x v="142"/>
    <n v="21.11"/>
    <m/>
    <n v="21.11"/>
  </r>
  <r>
    <s v="11/11/2025"/>
    <x v="9"/>
    <x v="12"/>
    <x v="1"/>
    <x v="1"/>
    <x v="143"/>
    <n v="31.23"/>
    <m/>
    <n v="31.23"/>
  </r>
  <r>
    <s v="11/15/2025"/>
    <x v="9"/>
    <x v="12"/>
    <x v="1"/>
    <x v="1"/>
    <x v="144"/>
    <n v="10"/>
    <m/>
    <n v="10"/>
  </r>
  <r>
    <s v="11/21/2025"/>
    <x v="9"/>
    <x v="12"/>
    <x v="1"/>
    <x v="1"/>
    <x v="145"/>
    <n v="82.36"/>
    <m/>
    <n v="82.36"/>
  </r>
  <r>
    <s v="11/21/2025"/>
    <x v="9"/>
    <x v="12"/>
    <x v="1"/>
    <x v="1"/>
    <x v="69"/>
    <n v="49.25"/>
    <m/>
    <n v="49.25"/>
  </r>
  <r>
    <s v="11/22/2025"/>
    <x v="9"/>
    <x v="12"/>
    <x v="1"/>
    <x v="1"/>
    <x v="146"/>
    <n v="82.79"/>
    <m/>
    <n v="82.79"/>
  </r>
  <r>
    <s v="11/25/2025"/>
    <x v="9"/>
    <x v="12"/>
    <x v="1"/>
    <x v="1"/>
    <x v="147"/>
    <n v="92.41"/>
    <m/>
    <n v="92.41"/>
  </r>
  <r>
    <s v="11/27/2025"/>
    <x v="9"/>
    <x v="12"/>
    <x v="1"/>
    <x v="1"/>
    <x v="65"/>
    <n v="45.42"/>
    <m/>
    <n v="45.42"/>
  </r>
  <r>
    <s v="11/28/2025"/>
    <x v="9"/>
    <x v="12"/>
    <x v="1"/>
    <x v="1"/>
    <x v="148"/>
    <n v="82.92"/>
    <m/>
    <n v="82.92"/>
  </r>
  <r>
    <s v="12/03/2025"/>
    <x v="10"/>
    <x v="12"/>
    <x v="1"/>
    <x v="1"/>
    <x v="149"/>
    <n v="79.2"/>
    <m/>
    <n v="79.2"/>
  </r>
  <r>
    <s v="12/03/2025"/>
    <x v="10"/>
    <x v="12"/>
    <x v="1"/>
    <x v="1"/>
    <x v="91"/>
    <n v="17.11"/>
    <m/>
    <n v="17.11"/>
  </r>
  <r>
    <s v="12/03/2025"/>
    <x v="10"/>
    <x v="12"/>
    <x v="1"/>
    <x v="1"/>
    <x v="115"/>
    <n v="169.44"/>
    <m/>
    <n v="169.44"/>
  </r>
  <r>
    <s v="12/04/2025"/>
    <x v="10"/>
    <x v="12"/>
    <x v="1"/>
    <x v="1"/>
    <x v="150"/>
    <n v="11.66"/>
    <m/>
    <n v="11.66"/>
  </r>
  <r>
    <s v="12/18/2025"/>
    <x v="10"/>
    <x v="12"/>
    <x v="1"/>
    <x v="1"/>
    <x v="69"/>
    <n v="28.2"/>
    <m/>
    <n v="28.2"/>
  </r>
  <r>
    <s v="12/19/2025"/>
    <x v="10"/>
    <x v="12"/>
    <x v="1"/>
    <x v="1"/>
    <x v="151"/>
    <n v="49.02"/>
    <m/>
    <n v="49.02"/>
  </r>
  <r>
    <s v="07/02/2025"/>
    <x v="5"/>
    <x v="13"/>
    <x v="1"/>
    <x v="1"/>
    <x v="152"/>
    <n v="1326.79"/>
    <m/>
    <n v="1326.79"/>
  </r>
  <r>
    <s v="07/24/2025"/>
    <x v="5"/>
    <x v="13"/>
    <x v="1"/>
    <x v="1"/>
    <x v="153"/>
    <n v="16.16"/>
    <m/>
    <n v="16.16"/>
  </r>
  <r>
    <s v="08/04/2025"/>
    <x v="6"/>
    <x v="13"/>
    <x v="1"/>
    <x v="1"/>
    <x v="153"/>
    <n v="20.079999999999998"/>
    <m/>
    <n v="20.079999999999998"/>
  </r>
  <r>
    <s v="08/04/2025"/>
    <x v="6"/>
    <x v="13"/>
    <x v="1"/>
    <x v="1"/>
    <x v="64"/>
    <n v="20.09"/>
    <m/>
    <n v="20.09"/>
  </r>
  <r>
    <s v="08/05/2025"/>
    <x v="6"/>
    <x v="13"/>
    <x v="1"/>
    <x v="1"/>
    <x v="154"/>
    <n v="50"/>
    <m/>
    <n v="50"/>
  </r>
  <r>
    <s v="08/17/2025"/>
    <x v="6"/>
    <x v="13"/>
    <x v="1"/>
    <x v="1"/>
    <x v="155"/>
    <n v="2327"/>
    <m/>
    <n v="2327"/>
  </r>
  <r>
    <s v="08/27/2025"/>
    <x v="6"/>
    <x v="13"/>
    <x v="1"/>
    <x v="1"/>
    <x v="156"/>
    <n v="50"/>
    <m/>
    <n v="50"/>
  </r>
  <r>
    <s v="09/01/2025"/>
    <x v="7"/>
    <x v="13"/>
    <x v="1"/>
    <x v="1"/>
    <x v="77"/>
    <n v="88.28"/>
    <m/>
    <n v="88.28"/>
  </r>
  <r>
    <s v="09/08/2025"/>
    <x v="7"/>
    <x v="13"/>
    <x v="1"/>
    <x v="1"/>
    <x v="79"/>
    <n v="95.02"/>
    <m/>
    <n v="95.02"/>
  </r>
  <r>
    <s v="09/16/2025"/>
    <x v="7"/>
    <x v="13"/>
    <x v="1"/>
    <x v="1"/>
    <x v="157"/>
    <n v="89.76"/>
    <m/>
    <n v="89.76"/>
  </r>
  <r>
    <s v="09/22/2025"/>
    <x v="7"/>
    <x v="13"/>
    <x v="1"/>
    <x v="1"/>
    <x v="77"/>
    <n v="62.41"/>
    <m/>
    <n v="62.41"/>
  </r>
  <r>
    <s v="10/08/2025"/>
    <x v="8"/>
    <x v="13"/>
    <x v="1"/>
    <x v="1"/>
    <x v="64"/>
    <n v="197.37"/>
    <m/>
    <n v="197.37"/>
  </r>
  <r>
    <s v="10/24/2025"/>
    <x v="8"/>
    <x v="13"/>
    <x v="1"/>
    <x v="1"/>
    <x v="64"/>
    <n v="6.2"/>
    <m/>
    <n v="6.2"/>
  </r>
  <r>
    <s v="10/24/2025"/>
    <x v="8"/>
    <x v="13"/>
    <x v="1"/>
    <x v="1"/>
    <x v="153"/>
    <n v="27.16"/>
    <m/>
    <n v="27.16"/>
  </r>
  <r>
    <s v="10/28/2025"/>
    <x v="8"/>
    <x v="13"/>
    <x v="1"/>
    <x v="1"/>
    <x v="64"/>
    <n v="150.78"/>
    <m/>
    <n v="150.78"/>
  </r>
  <r>
    <s v="11/04/2025"/>
    <x v="9"/>
    <x v="13"/>
    <x v="1"/>
    <x v="1"/>
    <x v="157"/>
    <n v="60.13"/>
    <m/>
    <n v="60.13"/>
  </r>
  <r>
    <s v="11/29/2025"/>
    <x v="9"/>
    <x v="13"/>
    <x v="1"/>
    <x v="1"/>
    <x v="158"/>
    <n v="-28.95"/>
    <m/>
    <n v="-28.95"/>
  </r>
  <r>
    <s v="11/30/2025"/>
    <x v="9"/>
    <x v="13"/>
    <x v="1"/>
    <x v="1"/>
    <x v="158"/>
    <n v="28.95"/>
    <m/>
    <n v="28.95"/>
  </r>
  <r>
    <s v="12/15/2025"/>
    <x v="10"/>
    <x v="13"/>
    <x v="1"/>
    <x v="1"/>
    <x v="157"/>
    <n v="71.819999999999993"/>
    <m/>
    <n v="71.819999999999993"/>
  </r>
  <r>
    <s v="03/16/2025"/>
    <x v="1"/>
    <x v="14"/>
    <x v="1"/>
    <x v="1"/>
    <x v="159"/>
    <n v="78.02"/>
    <m/>
    <n v="78.02"/>
  </r>
  <r>
    <s v="03/26/2025"/>
    <x v="1"/>
    <x v="14"/>
    <x v="1"/>
    <x v="1"/>
    <x v="159"/>
    <n v="40.020000000000003"/>
    <m/>
    <n v="40.020000000000003"/>
  </r>
  <r>
    <s v="08/14/2025"/>
    <x v="6"/>
    <x v="14"/>
    <x v="1"/>
    <x v="1"/>
    <x v="43"/>
    <n v="53.88"/>
    <m/>
    <n v="53.88"/>
  </r>
  <r>
    <s v="08/17/2025"/>
    <x v="6"/>
    <x v="14"/>
    <x v="1"/>
    <x v="1"/>
    <x v="160"/>
    <n v="45.09"/>
    <m/>
    <n v="45.09"/>
  </r>
  <r>
    <s v="08/19/2025"/>
    <x v="6"/>
    <x v="14"/>
    <x v="1"/>
    <x v="1"/>
    <x v="161"/>
    <n v="8.9499999999999993"/>
    <m/>
    <n v="8.9499999999999993"/>
  </r>
  <r>
    <s v="08/21/2025"/>
    <x v="6"/>
    <x v="14"/>
    <x v="1"/>
    <x v="1"/>
    <x v="160"/>
    <n v="41.27"/>
    <m/>
    <n v="41.27"/>
  </r>
  <r>
    <s v="09/19/2025"/>
    <x v="7"/>
    <x v="14"/>
    <x v="1"/>
    <x v="1"/>
    <x v="43"/>
    <n v="49.99"/>
    <m/>
    <n v="49.99"/>
  </r>
  <r>
    <s v="10/07/2025"/>
    <x v="8"/>
    <x v="14"/>
    <x v="1"/>
    <x v="1"/>
    <x v="160"/>
    <n v="33.979999999999997"/>
    <m/>
    <n v="33.979999999999997"/>
  </r>
  <r>
    <s v="10/09/2025"/>
    <x v="8"/>
    <x v="14"/>
    <x v="1"/>
    <x v="1"/>
    <x v="162"/>
    <n v="45.15"/>
    <m/>
    <n v="45.15"/>
  </r>
  <r>
    <s v="12/03/2025"/>
    <x v="10"/>
    <x v="14"/>
    <x v="1"/>
    <x v="1"/>
    <x v="160"/>
    <n v="29.79"/>
    <m/>
    <n v="29.79"/>
  </r>
  <r>
    <s v="01/03/2025"/>
    <x v="11"/>
    <x v="15"/>
    <x v="1"/>
    <x v="1"/>
    <x v="62"/>
    <n v="76.75"/>
    <m/>
    <n v="76.75"/>
  </r>
  <r>
    <s v="01/03/2025"/>
    <x v="11"/>
    <x v="15"/>
    <x v="1"/>
    <x v="1"/>
    <x v="62"/>
    <n v="30"/>
    <m/>
    <n v="30"/>
  </r>
  <r>
    <s v="01/10/2025"/>
    <x v="11"/>
    <x v="15"/>
    <x v="1"/>
    <x v="1"/>
    <x v="62"/>
    <n v="17.850000000000001"/>
    <m/>
    <n v="17.850000000000001"/>
  </r>
  <r>
    <s v="01/17/2025"/>
    <x v="11"/>
    <x v="15"/>
    <x v="1"/>
    <x v="1"/>
    <x v="62"/>
    <n v="76.75"/>
    <m/>
    <n v="76.75"/>
  </r>
  <r>
    <s v="01/24/2025"/>
    <x v="11"/>
    <x v="15"/>
    <x v="1"/>
    <x v="1"/>
    <x v="62"/>
    <n v="17.850000000000001"/>
    <m/>
    <n v="17.850000000000001"/>
  </r>
  <r>
    <s v="01/24/2025"/>
    <x v="11"/>
    <x v="15"/>
    <x v="1"/>
    <x v="1"/>
    <x v="62"/>
    <n v="8.9499999999999993"/>
    <m/>
    <n v="8.9499999999999993"/>
  </r>
  <r>
    <s v="01/29/2025"/>
    <x v="11"/>
    <x v="15"/>
    <x v="1"/>
    <x v="1"/>
    <x v="62"/>
    <n v="93.75"/>
    <m/>
    <n v="93.75"/>
  </r>
  <r>
    <s v="01/31/2025"/>
    <x v="11"/>
    <x v="15"/>
    <x v="1"/>
    <x v="1"/>
    <x v="62"/>
    <n v="295"/>
    <m/>
    <n v="295"/>
  </r>
  <r>
    <s v="01/31/2025"/>
    <x v="11"/>
    <x v="15"/>
    <x v="1"/>
    <x v="1"/>
    <x v="62"/>
    <n v="76.75"/>
    <m/>
    <n v="76.75"/>
  </r>
  <r>
    <s v="02/07/2025"/>
    <x v="0"/>
    <x v="15"/>
    <x v="1"/>
    <x v="1"/>
    <x v="62"/>
    <n v="17.850000000000001"/>
    <m/>
    <n v="17.850000000000001"/>
  </r>
  <r>
    <s v="02/14/2025"/>
    <x v="0"/>
    <x v="15"/>
    <x v="1"/>
    <x v="1"/>
    <x v="62"/>
    <n v="76.75"/>
    <m/>
    <n v="76.75"/>
  </r>
  <r>
    <s v="02/21/2025"/>
    <x v="0"/>
    <x v="15"/>
    <x v="1"/>
    <x v="1"/>
    <x v="62"/>
    <n v="8.9499999999999993"/>
    <m/>
    <n v="8.9499999999999993"/>
  </r>
  <r>
    <s v="02/21/2025"/>
    <x v="0"/>
    <x v="15"/>
    <x v="1"/>
    <x v="1"/>
    <x v="62"/>
    <n v="17.850000000000001"/>
    <m/>
    <n v="17.850000000000001"/>
  </r>
  <r>
    <s v="02/28/2025"/>
    <x v="0"/>
    <x v="15"/>
    <x v="1"/>
    <x v="1"/>
    <x v="62"/>
    <n v="76.75"/>
    <m/>
    <n v="76.75"/>
  </r>
  <r>
    <s v="03/07/2025"/>
    <x v="1"/>
    <x v="15"/>
    <x v="1"/>
    <x v="1"/>
    <x v="62"/>
    <n v="295"/>
    <m/>
    <n v="295"/>
  </r>
  <r>
    <s v="03/10/2025"/>
    <x v="1"/>
    <x v="15"/>
    <x v="1"/>
    <x v="1"/>
    <x v="62"/>
    <n v="17.850000000000001"/>
    <m/>
    <n v="17.850000000000001"/>
  </r>
  <r>
    <s v="03/21/2025"/>
    <x v="1"/>
    <x v="15"/>
    <x v="1"/>
    <x v="1"/>
    <x v="62"/>
    <n v="76.75"/>
    <m/>
    <n v="76.75"/>
  </r>
  <r>
    <s v="03/21/2025"/>
    <x v="1"/>
    <x v="15"/>
    <x v="1"/>
    <x v="1"/>
    <x v="62"/>
    <n v="17.850000000000001"/>
    <m/>
    <n v="17.850000000000001"/>
  </r>
  <r>
    <s v="03/28/2025"/>
    <x v="1"/>
    <x v="15"/>
    <x v="1"/>
    <x v="1"/>
    <x v="62"/>
    <n v="85.7"/>
    <m/>
    <n v="85.7"/>
  </r>
  <r>
    <s v="04/04/2025"/>
    <x v="2"/>
    <x v="15"/>
    <x v="1"/>
    <x v="1"/>
    <x v="62"/>
    <n v="295"/>
    <m/>
    <n v="295"/>
  </r>
  <r>
    <s v="04/04/2025"/>
    <x v="2"/>
    <x v="15"/>
    <x v="1"/>
    <x v="1"/>
    <x v="62"/>
    <n v="17.850000000000001"/>
    <m/>
    <n v="17.850000000000001"/>
  </r>
  <r>
    <s v="04/11/2025"/>
    <x v="2"/>
    <x v="15"/>
    <x v="1"/>
    <x v="1"/>
    <x v="62"/>
    <n v="76.75"/>
    <m/>
    <n v="76.75"/>
  </r>
  <r>
    <s v="04/18/2025"/>
    <x v="2"/>
    <x v="15"/>
    <x v="1"/>
    <x v="1"/>
    <x v="62"/>
    <n v="17.850000000000001"/>
    <m/>
    <n v="17.850000000000001"/>
  </r>
  <r>
    <s v="04/25/2025"/>
    <x v="2"/>
    <x v="15"/>
    <x v="1"/>
    <x v="1"/>
    <x v="62"/>
    <n v="85.7"/>
    <m/>
    <n v="85.7"/>
  </r>
  <r>
    <s v="05/02/2025"/>
    <x v="3"/>
    <x v="15"/>
    <x v="1"/>
    <x v="1"/>
    <x v="62"/>
    <n v="295"/>
    <m/>
    <n v="295"/>
  </r>
  <r>
    <s v="05/02/2025"/>
    <x v="3"/>
    <x v="15"/>
    <x v="1"/>
    <x v="1"/>
    <x v="62"/>
    <n v="17.850000000000001"/>
    <m/>
    <n v="17.850000000000001"/>
  </r>
  <r>
    <s v="05/09/2025"/>
    <x v="3"/>
    <x v="15"/>
    <x v="1"/>
    <x v="1"/>
    <x v="62"/>
    <n v="76.75"/>
    <m/>
    <n v="76.75"/>
  </r>
  <r>
    <s v="05/16/2025"/>
    <x v="3"/>
    <x v="15"/>
    <x v="1"/>
    <x v="1"/>
    <x v="62"/>
    <n v="17.850000000000001"/>
    <m/>
    <n v="17.850000000000001"/>
  </r>
  <r>
    <s v="05/23/2025"/>
    <x v="3"/>
    <x v="15"/>
    <x v="1"/>
    <x v="1"/>
    <x v="62"/>
    <n v="85.7"/>
    <m/>
    <n v="85.7"/>
  </r>
  <r>
    <s v="06/02/2025"/>
    <x v="4"/>
    <x v="15"/>
    <x v="1"/>
    <x v="1"/>
    <x v="62"/>
    <n v="26.7"/>
    <m/>
    <n v="26.7"/>
  </r>
  <r>
    <s v="06/06/2025"/>
    <x v="4"/>
    <x v="15"/>
    <x v="1"/>
    <x v="1"/>
    <x v="62"/>
    <n v="295"/>
    <m/>
    <n v="295"/>
  </r>
  <r>
    <s v="06/13/2025"/>
    <x v="4"/>
    <x v="15"/>
    <x v="1"/>
    <x v="1"/>
    <x v="62"/>
    <n v="81.66"/>
    <m/>
    <n v="81.66"/>
  </r>
  <r>
    <s v="06/13/2025"/>
    <x v="4"/>
    <x v="15"/>
    <x v="1"/>
    <x v="1"/>
    <x v="62"/>
    <n v="9"/>
    <m/>
    <n v="9"/>
  </r>
  <r>
    <s v="06/20/2025"/>
    <x v="4"/>
    <x v="15"/>
    <x v="1"/>
    <x v="1"/>
    <x v="62"/>
    <n v="81.66"/>
    <m/>
    <n v="81.66"/>
  </r>
  <r>
    <s v="06/27/2025"/>
    <x v="4"/>
    <x v="15"/>
    <x v="1"/>
    <x v="1"/>
    <x v="62"/>
    <n v="8.9499999999999993"/>
    <m/>
    <n v="8.9499999999999993"/>
  </r>
  <r>
    <s v="06/30/2025"/>
    <x v="4"/>
    <x v="15"/>
    <x v="1"/>
    <x v="1"/>
    <x v="62"/>
    <n v="17.850000000000001"/>
    <m/>
    <n v="17.850000000000001"/>
  </r>
  <r>
    <s v="07/07/2025"/>
    <x v="5"/>
    <x v="15"/>
    <x v="1"/>
    <x v="1"/>
    <x v="62"/>
    <n v="295"/>
    <m/>
    <n v="295"/>
  </r>
  <r>
    <s v="07/11/2025"/>
    <x v="5"/>
    <x v="15"/>
    <x v="1"/>
    <x v="1"/>
    <x v="62"/>
    <n v="17.75"/>
    <m/>
    <n v="17.75"/>
  </r>
  <r>
    <s v="07/11/2025"/>
    <x v="5"/>
    <x v="15"/>
    <x v="1"/>
    <x v="1"/>
    <x v="62"/>
    <n v="84.95"/>
    <m/>
    <n v="84.95"/>
  </r>
  <r>
    <s v="07/18/2025"/>
    <x v="5"/>
    <x v="15"/>
    <x v="1"/>
    <x v="1"/>
    <x v="62"/>
    <n v="87.53"/>
    <m/>
    <n v="87.53"/>
  </r>
  <r>
    <s v="07/25/2025"/>
    <x v="5"/>
    <x v="15"/>
    <x v="1"/>
    <x v="1"/>
    <x v="62"/>
    <n v="8.9499999999999993"/>
    <m/>
    <n v="8.9499999999999993"/>
  </r>
  <r>
    <s v="07/25/2025"/>
    <x v="5"/>
    <x v="15"/>
    <x v="1"/>
    <x v="1"/>
    <x v="62"/>
    <n v="17.850000000000001"/>
    <m/>
    <n v="17.850000000000001"/>
  </r>
  <r>
    <s v="08/01/2025"/>
    <x v="6"/>
    <x v="15"/>
    <x v="1"/>
    <x v="1"/>
    <x v="62"/>
    <n v="87.53"/>
    <m/>
    <n v="87.53"/>
  </r>
  <r>
    <s v="08/01/2025"/>
    <x v="6"/>
    <x v="15"/>
    <x v="1"/>
    <x v="1"/>
    <x v="62"/>
    <n v="295"/>
    <m/>
    <n v="295"/>
  </r>
  <r>
    <s v="08/11/2025"/>
    <x v="6"/>
    <x v="15"/>
    <x v="1"/>
    <x v="1"/>
    <x v="62"/>
    <n v="17.850000000000001"/>
    <m/>
    <n v="17.850000000000001"/>
  </r>
  <r>
    <s v="08/22/2025"/>
    <x v="6"/>
    <x v="15"/>
    <x v="1"/>
    <x v="1"/>
    <x v="62"/>
    <n v="105.43"/>
    <m/>
    <n v="105.43"/>
  </r>
  <r>
    <s v="08/22/2025"/>
    <x v="6"/>
    <x v="15"/>
    <x v="1"/>
    <x v="1"/>
    <x v="62"/>
    <n v="17.850000000000001"/>
    <m/>
    <n v="17.850000000000001"/>
  </r>
  <r>
    <s v="08/29/2025"/>
    <x v="6"/>
    <x v="15"/>
    <x v="1"/>
    <x v="1"/>
    <x v="62"/>
    <n v="87.53"/>
    <m/>
    <n v="87.53"/>
  </r>
  <r>
    <s v="09/05/2025"/>
    <x v="7"/>
    <x v="15"/>
    <x v="1"/>
    <x v="1"/>
    <x v="62"/>
    <n v="303.85000000000002"/>
    <m/>
    <n v="303.85000000000002"/>
  </r>
  <r>
    <s v="09/05/2025"/>
    <x v="7"/>
    <x v="15"/>
    <x v="1"/>
    <x v="1"/>
    <x v="62"/>
    <n v="17.850000000000001"/>
    <m/>
    <n v="17.850000000000001"/>
  </r>
  <r>
    <s v="09/12/2025"/>
    <x v="7"/>
    <x v="15"/>
    <x v="1"/>
    <x v="1"/>
    <x v="62"/>
    <n v="87.53"/>
    <m/>
    <n v="87.53"/>
  </r>
  <r>
    <s v="09/19/2025"/>
    <x v="7"/>
    <x v="15"/>
    <x v="1"/>
    <x v="1"/>
    <x v="62"/>
    <n v="17.850000000000001"/>
    <m/>
    <n v="17.850000000000001"/>
  </r>
  <r>
    <s v="09/26/2025"/>
    <x v="7"/>
    <x v="15"/>
    <x v="1"/>
    <x v="1"/>
    <x v="62"/>
    <n v="208.43"/>
    <m/>
    <n v="208.43"/>
  </r>
  <r>
    <s v="10/03/2025"/>
    <x v="8"/>
    <x v="15"/>
    <x v="1"/>
    <x v="1"/>
    <x v="62"/>
    <n v="272.02999999999997"/>
    <m/>
    <n v="272.02999999999997"/>
  </r>
  <r>
    <s v="10/03/2025"/>
    <x v="8"/>
    <x v="15"/>
    <x v="1"/>
    <x v="1"/>
    <x v="62"/>
    <n v="295.89999999999998"/>
    <m/>
    <n v="295.89999999999998"/>
  </r>
  <r>
    <s v="10/10/2025"/>
    <x v="8"/>
    <x v="15"/>
    <x v="1"/>
    <x v="1"/>
    <x v="62"/>
    <n v="96.07"/>
    <m/>
    <n v="96.07"/>
  </r>
  <r>
    <s v="10/17/2025"/>
    <x v="8"/>
    <x v="15"/>
    <x v="1"/>
    <x v="1"/>
    <x v="62"/>
    <n v="54.62"/>
    <m/>
    <n v="54.62"/>
  </r>
  <r>
    <s v="10/24/2025"/>
    <x v="8"/>
    <x v="15"/>
    <x v="1"/>
    <x v="1"/>
    <x v="62"/>
    <n v="115.16"/>
    <m/>
    <n v="115.16"/>
  </r>
  <r>
    <s v="10/31/2025"/>
    <x v="8"/>
    <x v="15"/>
    <x v="1"/>
    <x v="1"/>
    <x v="62"/>
    <n v="54.62"/>
    <m/>
    <n v="54.62"/>
  </r>
  <r>
    <s v="10/31/2025"/>
    <x v="8"/>
    <x v="15"/>
    <x v="1"/>
    <x v="1"/>
    <x v="62"/>
    <n v="314.14999999999998"/>
    <m/>
    <n v="314.14999999999998"/>
  </r>
  <r>
    <s v="11/07/2025"/>
    <x v="9"/>
    <x v="15"/>
    <x v="1"/>
    <x v="1"/>
    <x v="62"/>
    <n v="96.07"/>
    <m/>
    <n v="96.07"/>
  </r>
  <r>
    <s v="11/14/2025"/>
    <x v="9"/>
    <x v="15"/>
    <x v="1"/>
    <x v="1"/>
    <x v="62"/>
    <n v="50.94"/>
    <m/>
    <n v="50.94"/>
  </r>
  <r>
    <s v="11/21/2025"/>
    <x v="9"/>
    <x v="15"/>
    <x v="1"/>
    <x v="1"/>
    <x v="62"/>
    <n v="115.16"/>
    <m/>
    <n v="115.16"/>
  </r>
  <r>
    <s v="12/01/2025"/>
    <x v="10"/>
    <x v="15"/>
    <x v="1"/>
    <x v="1"/>
    <x v="62"/>
    <n v="85.68"/>
    <m/>
    <n v="85.68"/>
  </r>
  <r>
    <s v="12/05/2025"/>
    <x v="10"/>
    <x v="15"/>
    <x v="1"/>
    <x v="1"/>
    <x v="62"/>
    <n v="306.2"/>
    <m/>
    <n v="306.2"/>
  </r>
  <r>
    <s v="12/05/2025"/>
    <x v="10"/>
    <x v="15"/>
    <x v="1"/>
    <x v="1"/>
    <x v="62"/>
    <n v="98.82"/>
    <m/>
    <n v="98.82"/>
  </r>
  <r>
    <s v="12/12/2025"/>
    <x v="10"/>
    <x v="15"/>
    <x v="1"/>
    <x v="1"/>
    <x v="62"/>
    <n v="96.86"/>
    <m/>
    <n v="96.86"/>
  </r>
  <r>
    <s v="12/19/2025"/>
    <x v="10"/>
    <x v="15"/>
    <x v="1"/>
    <x v="1"/>
    <x v="62"/>
    <n v="98.82"/>
    <m/>
    <n v="98.82"/>
  </r>
  <r>
    <s v="12/26/2025"/>
    <x v="10"/>
    <x v="15"/>
    <x v="1"/>
    <x v="1"/>
    <x v="62"/>
    <n v="17.850000000000001"/>
    <m/>
    <n v="17.850000000000001"/>
  </r>
  <r>
    <s v="12/26/2025"/>
    <x v="10"/>
    <x v="15"/>
    <x v="1"/>
    <x v="1"/>
    <x v="62"/>
    <n v="19.09"/>
    <m/>
    <n v="19.09"/>
  </r>
  <r>
    <s v="01/10/2025"/>
    <x v="11"/>
    <x v="16"/>
    <x v="5"/>
    <x v="1"/>
    <x v="62"/>
    <n v="4326.4399999999996"/>
    <m/>
    <n v="4326.4399999999996"/>
  </r>
  <r>
    <s v="01/27/2025"/>
    <x v="11"/>
    <x v="16"/>
    <x v="5"/>
    <x v="1"/>
    <x v="62"/>
    <n v="4146.43"/>
    <m/>
    <n v="4146.43"/>
  </r>
  <r>
    <s v="02/07/2025"/>
    <x v="0"/>
    <x v="16"/>
    <x v="5"/>
    <x v="1"/>
    <x v="62"/>
    <n v="3974.87"/>
    <m/>
    <n v="3974.87"/>
  </r>
  <r>
    <s v="02/21/2025"/>
    <x v="0"/>
    <x v="16"/>
    <x v="5"/>
    <x v="1"/>
    <x v="62"/>
    <n v="3973.66"/>
    <m/>
    <n v="3973.66"/>
  </r>
  <r>
    <s v="03/10/2025"/>
    <x v="1"/>
    <x v="16"/>
    <x v="5"/>
    <x v="1"/>
    <x v="62"/>
    <n v="3964.07"/>
    <m/>
    <n v="3964.07"/>
  </r>
  <r>
    <s v="03/21/2025"/>
    <x v="1"/>
    <x v="16"/>
    <x v="5"/>
    <x v="1"/>
    <x v="62"/>
    <n v="3915.46"/>
    <m/>
    <n v="3915.46"/>
  </r>
  <r>
    <s v="04/04/2025"/>
    <x v="2"/>
    <x v="16"/>
    <x v="5"/>
    <x v="1"/>
    <x v="62"/>
    <n v="3915.47"/>
    <m/>
    <n v="3915.47"/>
  </r>
  <r>
    <s v="04/18/2025"/>
    <x v="2"/>
    <x v="16"/>
    <x v="5"/>
    <x v="1"/>
    <x v="62"/>
    <n v="3915.46"/>
    <m/>
    <n v="3915.46"/>
  </r>
  <r>
    <s v="05/02/2025"/>
    <x v="3"/>
    <x v="16"/>
    <x v="5"/>
    <x v="1"/>
    <x v="62"/>
    <n v="3915.47"/>
    <m/>
    <n v="3915.47"/>
  </r>
  <r>
    <s v="05/16/2025"/>
    <x v="3"/>
    <x v="16"/>
    <x v="5"/>
    <x v="1"/>
    <x v="62"/>
    <n v="3915.46"/>
    <m/>
    <n v="3915.46"/>
  </r>
  <r>
    <s v="06/02/2025"/>
    <x v="4"/>
    <x v="16"/>
    <x v="5"/>
    <x v="1"/>
    <x v="62"/>
    <n v="3915.47"/>
    <m/>
    <n v="3915.47"/>
  </r>
  <r>
    <s v="06/13/2025"/>
    <x v="4"/>
    <x v="16"/>
    <x v="5"/>
    <x v="1"/>
    <x v="62"/>
    <n v="3915.46"/>
    <m/>
    <n v="3915.46"/>
  </r>
  <r>
    <s v="06/30/2025"/>
    <x v="4"/>
    <x v="16"/>
    <x v="5"/>
    <x v="1"/>
    <x v="62"/>
    <n v="3915.47"/>
    <m/>
    <n v="3915.47"/>
  </r>
  <r>
    <s v="07/11/2025"/>
    <x v="5"/>
    <x v="16"/>
    <x v="5"/>
    <x v="1"/>
    <x v="62"/>
    <n v="4337.97"/>
    <m/>
    <n v="4337.97"/>
  </r>
  <r>
    <s v="07/25/2025"/>
    <x v="5"/>
    <x v="16"/>
    <x v="5"/>
    <x v="1"/>
    <x v="62"/>
    <n v="5889.65"/>
    <m/>
    <n v="5889.65"/>
  </r>
  <r>
    <s v="08/11/2025"/>
    <x v="6"/>
    <x v="16"/>
    <x v="5"/>
    <x v="1"/>
    <x v="62"/>
    <n v="5635.66"/>
    <m/>
    <n v="5635.66"/>
  </r>
  <r>
    <s v="08/22/2025"/>
    <x v="6"/>
    <x v="16"/>
    <x v="5"/>
    <x v="1"/>
    <x v="62"/>
    <n v="5635.67"/>
    <m/>
    <n v="5635.67"/>
  </r>
  <r>
    <s v="09/05/2025"/>
    <x v="7"/>
    <x v="16"/>
    <x v="5"/>
    <x v="1"/>
    <x v="62"/>
    <n v="5620.18"/>
    <m/>
    <n v="5620.18"/>
  </r>
  <r>
    <s v="09/19/2025"/>
    <x v="7"/>
    <x v="16"/>
    <x v="5"/>
    <x v="1"/>
    <x v="62"/>
    <n v="5480.31"/>
    <m/>
    <n v="5480.31"/>
  </r>
  <r>
    <s v="10/03/2025"/>
    <x v="8"/>
    <x v="16"/>
    <x v="5"/>
    <x v="1"/>
    <x v="62"/>
    <n v="5887.8"/>
    <m/>
    <n v="5887.8"/>
  </r>
  <r>
    <s v="10/17/2025"/>
    <x v="8"/>
    <x v="16"/>
    <x v="5"/>
    <x v="1"/>
    <x v="62"/>
    <n v="5507.39"/>
    <m/>
    <n v="5507.39"/>
  </r>
  <r>
    <s v="11/03/2025"/>
    <x v="9"/>
    <x v="16"/>
    <x v="5"/>
    <x v="1"/>
    <x v="62"/>
    <n v="5550.3"/>
    <m/>
    <n v="5550.3"/>
  </r>
  <r>
    <s v="11/14/2025"/>
    <x v="9"/>
    <x v="16"/>
    <x v="5"/>
    <x v="1"/>
    <x v="62"/>
    <n v="5578.85"/>
    <m/>
    <n v="5578.85"/>
  </r>
  <r>
    <s v="12/01/2025"/>
    <x v="10"/>
    <x v="16"/>
    <x v="5"/>
    <x v="1"/>
    <x v="62"/>
    <n v="5699.81"/>
    <m/>
    <n v="5699.81"/>
  </r>
  <r>
    <s v="12/12/2025"/>
    <x v="10"/>
    <x v="16"/>
    <x v="5"/>
    <x v="1"/>
    <x v="62"/>
    <n v="6033.9"/>
    <m/>
    <n v="6033.9"/>
  </r>
  <r>
    <s v="12/26/2025"/>
    <x v="10"/>
    <x v="16"/>
    <x v="5"/>
    <x v="1"/>
    <x v="62"/>
    <n v="5521.63"/>
    <m/>
    <n v="5521.63"/>
  </r>
  <r>
    <s v="01/17/2025"/>
    <x v="11"/>
    <x v="17"/>
    <x v="1"/>
    <x v="1"/>
    <x v="163"/>
    <n v="14.99"/>
    <m/>
    <n v="14.99"/>
  </r>
  <r>
    <s v="02/17/2025"/>
    <x v="0"/>
    <x v="17"/>
    <x v="1"/>
    <x v="1"/>
    <x v="163"/>
    <n v="14.99"/>
    <m/>
    <n v="14.99"/>
  </r>
  <r>
    <s v="02/19/2025"/>
    <x v="0"/>
    <x v="17"/>
    <x v="1"/>
    <x v="1"/>
    <x v="163"/>
    <n v="1.42"/>
    <m/>
    <n v="1.42"/>
  </r>
  <r>
    <s v="03/17/2025"/>
    <x v="1"/>
    <x v="17"/>
    <x v="1"/>
    <x v="1"/>
    <x v="163"/>
    <n v="14.99"/>
    <m/>
    <n v="14.99"/>
  </r>
  <r>
    <s v="03/27/2025"/>
    <x v="1"/>
    <x v="17"/>
    <x v="1"/>
    <x v="1"/>
    <x v="163"/>
    <n v="16.87"/>
    <m/>
    <n v="16.87"/>
  </r>
  <r>
    <s v="04/17/2025"/>
    <x v="2"/>
    <x v="17"/>
    <x v="1"/>
    <x v="1"/>
    <x v="163"/>
    <n v="14.99"/>
    <m/>
    <n v="14.99"/>
  </r>
  <r>
    <s v="05/03/2025"/>
    <x v="3"/>
    <x v="17"/>
    <x v="1"/>
    <x v="1"/>
    <x v="163"/>
    <n v="1.1000000000000001"/>
    <m/>
    <n v="1.1000000000000001"/>
  </r>
  <r>
    <s v="05/05/2025"/>
    <x v="3"/>
    <x v="17"/>
    <x v="1"/>
    <x v="1"/>
    <x v="163"/>
    <n v="2.25"/>
    <m/>
    <n v="2.25"/>
  </r>
  <r>
    <s v="05/17/2025"/>
    <x v="3"/>
    <x v="17"/>
    <x v="1"/>
    <x v="1"/>
    <x v="163"/>
    <n v="14.99"/>
    <m/>
    <n v="14.99"/>
  </r>
  <r>
    <s v="05/27/2025"/>
    <x v="3"/>
    <x v="17"/>
    <x v="1"/>
    <x v="1"/>
    <x v="163"/>
    <n v="3.03"/>
    <m/>
    <n v="3.03"/>
  </r>
  <r>
    <s v="06/17/2025"/>
    <x v="4"/>
    <x v="17"/>
    <x v="1"/>
    <x v="1"/>
    <x v="163"/>
    <n v="14.99"/>
    <m/>
    <n v="14.99"/>
  </r>
  <r>
    <s v="07/17/2025"/>
    <x v="5"/>
    <x v="17"/>
    <x v="1"/>
    <x v="1"/>
    <x v="163"/>
    <n v="14.99"/>
    <m/>
    <n v="14.99"/>
  </r>
  <r>
    <s v="08/17/2025"/>
    <x v="6"/>
    <x v="17"/>
    <x v="1"/>
    <x v="1"/>
    <x v="163"/>
    <n v="14.99"/>
    <m/>
    <n v="14.99"/>
  </r>
  <r>
    <s v="09/03/2025"/>
    <x v="7"/>
    <x v="17"/>
    <x v="1"/>
    <x v="1"/>
    <x v="163"/>
    <n v="2.25"/>
    <m/>
    <n v="2.25"/>
  </r>
  <r>
    <s v="09/03/2025"/>
    <x v="7"/>
    <x v="17"/>
    <x v="1"/>
    <x v="1"/>
    <x v="163"/>
    <n v="2.25"/>
    <m/>
    <n v="2.25"/>
  </r>
  <r>
    <s v="09/17/2025"/>
    <x v="7"/>
    <x v="17"/>
    <x v="1"/>
    <x v="1"/>
    <x v="163"/>
    <n v="14.99"/>
    <m/>
    <n v="14.99"/>
  </r>
  <r>
    <s v="10/17/2025"/>
    <x v="8"/>
    <x v="17"/>
    <x v="1"/>
    <x v="1"/>
    <x v="163"/>
    <n v="14.99"/>
    <m/>
    <n v="14.99"/>
  </r>
  <r>
    <s v="11/07/2025"/>
    <x v="9"/>
    <x v="17"/>
    <x v="1"/>
    <x v="1"/>
    <x v="164"/>
    <n v="185.43"/>
    <m/>
    <n v="185.43"/>
  </r>
  <r>
    <s v="11/17/2025"/>
    <x v="9"/>
    <x v="17"/>
    <x v="1"/>
    <x v="1"/>
    <x v="163"/>
    <n v="14.99"/>
    <m/>
    <n v="14.99"/>
  </r>
  <r>
    <s v="12/17/2025"/>
    <x v="10"/>
    <x v="17"/>
    <x v="1"/>
    <x v="1"/>
    <x v="163"/>
    <n v="14.99"/>
    <m/>
    <n v="14.99"/>
  </r>
  <r>
    <s v="01/22/2025"/>
    <x v="11"/>
    <x v="18"/>
    <x v="1"/>
    <x v="1"/>
    <x v="165"/>
    <n v="225"/>
    <m/>
    <n v="225"/>
  </r>
  <r>
    <s v="12/31/2025"/>
    <x v="10"/>
    <x v="18"/>
    <x v="1"/>
    <x v="1"/>
    <x v="165"/>
    <n v="7865"/>
    <m/>
    <n v="7865"/>
  </r>
  <r>
    <s v="04/01/2025"/>
    <x v="2"/>
    <x v="19"/>
    <x v="6"/>
    <x v="2"/>
    <x v="10"/>
    <n v="1050"/>
    <m/>
    <n v="1050"/>
  </r>
  <r>
    <s v="06/02/2025"/>
    <x v="4"/>
    <x v="19"/>
    <x v="6"/>
    <x v="2"/>
    <x v="10"/>
    <n v="2000"/>
    <m/>
    <n v="2000"/>
  </r>
  <r>
    <s v="09/04/2025"/>
    <x v="7"/>
    <x v="19"/>
    <x v="6"/>
    <x v="2"/>
    <x v="10"/>
    <n v="2000"/>
    <m/>
    <n v="2000"/>
  </r>
  <r>
    <s v="11/14/2025"/>
    <x v="9"/>
    <x v="19"/>
    <x v="6"/>
    <x v="2"/>
    <x v="10"/>
    <n v="2000"/>
    <m/>
    <n v="2000"/>
  </r>
  <r>
    <s v="01/06/2025"/>
    <x v="11"/>
    <x v="20"/>
    <x v="7"/>
    <x v="2"/>
    <x v="166"/>
    <n v="105.8"/>
    <m/>
    <n v="105.8"/>
  </r>
  <r>
    <s v="01/28/2025"/>
    <x v="11"/>
    <x v="21"/>
    <x v="4"/>
    <x v="1"/>
    <x v="167"/>
    <n v="105.53"/>
    <m/>
    <n v="105.53"/>
  </r>
  <r>
    <s v="01/29/2025"/>
    <x v="11"/>
    <x v="20"/>
    <x v="7"/>
    <x v="2"/>
    <x v="168"/>
    <n v="16.89"/>
    <m/>
    <n v="16.89"/>
  </r>
  <r>
    <s v="02/04/2025"/>
    <x v="0"/>
    <x v="20"/>
    <x v="7"/>
    <x v="2"/>
    <x v="166"/>
    <n v="106.6"/>
    <m/>
    <n v="106.6"/>
  </r>
  <r>
    <s v="02/26/2025"/>
    <x v="0"/>
    <x v="20"/>
    <x v="7"/>
    <x v="2"/>
    <x v="168"/>
    <n v="16.89"/>
    <m/>
    <n v="16.89"/>
  </r>
  <r>
    <s v="02/28/2025"/>
    <x v="0"/>
    <x v="21"/>
    <x v="4"/>
    <x v="1"/>
    <x v="167"/>
    <n v="105.53"/>
    <m/>
    <n v="105.53"/>
  </r>
  <r>
    <s v="03/04/2025"/>
    <x v="1"/>
    <x v="20"/>
    <x v="7"/>
    <x v="2"/>
    <x v="166"/>
    <n v="106.6"/>
    <m/>
    <n v="106.6"/>
  </r>
  <r>
    <s v="03/10/2025"/>
    <x v="1"/>
    <x v="21"/>
    <x v="4"/>
    <x v="1"/>
    <x v="169"/>
    <n v="5000"/>
    <m/>
    <n v="5000"/>
  </r>
  <r>
    <s v="03/11/2025"/>
    <x v="1"/>
    <x v="21"/>
    <x v="4"/>
    <x v="1"/>
    <x v="170"/>
    <n v="20"/>
    <m/>
    <n v="20"/>
  </r>
  <r>
    <s v="03/17/2025"/>
    <x v="1"/>
    <x v="21"/>
    <x v="4"/>
    <x v="1"/>
    <x v="171"/>
    <n v="1053.52"/>
    <m/>
    <n v="1053.52"/>
  </r>
  <r>
    <s v="03/17/2025"/>
    <x v="1"/>
    <x v="21"/>
    <x v="4"/>
    <x v="1"/>
    <x v="171"/>
    <n v="1941.62"/>
    <m/>
    <n v="1941.62"/>
  </r>
  <r>
    <s v="03/28/2025"/>
    <x v="1"/>
    <x v="21"/>
    <x v="4"/>
    <x v="1"/>
    <x v="167"/>
    <n v="105.53"/>
    <m/>
    <n v="105.53"/>
  </r>
  <r>
    <s v="03/29/2025"/>
    <x v="1"/>
    <x v="20"/>
    <x v="7"/>
    <x v="2"/>
    <x v="168"/>
    <n v="19.899999999999999"/>
    <m/>
    <n v="19.899999999999999"/>
  </r>
  <r>
    <s v="04/04/2025"/>
    <x v="2"/>
    <x v="20"/>
    <x v="7"/>
    <x v="2"/>
    <x v="166"/>
    <n v="106.6"/>
    <m/>
    <n v="106.6"/>
  </r>
  <r>
    <s v="04/18/2025"/>
    <x v="2"/>
    <x v="21"/>
    <x v="4"/>
    <x v="1"/>
    <x v="171"/>
    <n v="1053.52"/>
    <m/>
    <n v="1053.52"/>
  </r>
  <r>
    <s v="04/28/2025"/>
    <x v="2"/>
    <x v="21"/>
    <x v="4"/>
    <x v="1"/>
    <x v="167"/>
    <n v="105.53"/>
    <m/>
    <n v="105.53"/>
  </r>
  <r>
    <s v="04/28/2025"/>
    <x v="2"/>
    <x v="20"/>
    <x v="7"/>
    <x v="2"/>
    <x v="168"/>
    <n v="19.899999999999999"/>
    <m/>
    <n v="19.899999999999999"/>
  </r>
  <r>
    <s v="05/06/2025"/>
    <x v="3"/>
    <x v="20"/>
    <x v="7"/>
    <x v="2"/>
    <x v="166"/>
    <n v="111.33"/>
    <m/>
    <n v="111.33"/>
  </r>
  <r>
    <s v="05/18/2025"/>
    <x v="3"/>
    <x v="21"/>
    <x v="4"/>
    <x v="1"/>
    <x v="171"/>
    <n v="1053.52"/>
    <m/>
    <n v="1053.52"/>
  </r>
  <r>
    <s v="05/28/2025"/>
    <x v="3"/>
    <x v="21"/>
    <x v="4"/>
    <x v="1"/>
    <x v="167"/>
    <n v="105.53"/>
    <m/>
    <n v="105.53"/>
  </r>
  <r>
    <s v="05/29/2025"/>
    <x v="3"/>
    <x v="20"/>
    <x v="7"/>
    <x v="2"/>
    <x v="168"/>
    <n v="19.899999999999999"/>
    <m/>
    <n v="19.899999999999999"/>
  </r>
  <r>
    <s v="06/04/2025"/>
    <x v="4"/>
    <x v="20"/>
    <x v="7"/>
    <x v="2"/>
    <x v="166"/>
    <n v="106.6"/>
    <m/>
    <n v="106.6"/>
  </r>
  <r>
    <s v="06/18/2025"/>
    <x v="4"/>
    <x v="21"/>
    <x v="4"/>
    <x v="1"/>
    <x v="171"/>
    <n v="1053.52"/>
    <m/>
    <n v="1053.52"/>
  </r>
  <r>
    <s v="06/28/2025"/>
    <x v="4"/>
    <x v="20"/>
    <x v="7"/>
    <x v="2"/>
    <x v="168"/>
    <n v="19.899999999999999"/>
    <m/>
    <n v="19.899999999999999"/>
  </r>
  <r>
    <s v="06/28/2025"/>
    <x v="4"/>
    <x v="21"/>
    <x v="4"/>
    <x v="1"/>
    <x v="167"/>
    <n v="105.53"/>
    <m/>
    <n v="105.53"/>
  </r>
  <r>
    <s v="07/07/2025"/>
    <x v="5"/>
    <x v="20"/>
    <x v="7"/>
    <x v="2"/>
    <x v="166"/>
    <n v="107.67"/>
    <m/>
    <n v="107.67"/>
  </r>
  <r>
    <s v="07/18/2025"/>
    <x v="5"/>
    <x v="21"/>
    <x v="4"/>
    <x v="1"/>
    <x v="171"/>
    <n v="1053.52"/>
    <m/>
    <n v="1053.52"/>
  </r>
  <r>
    <s v="07/28/2025"/>
    <x v="5"/>
    <x v="21"/>
    <x v="4"/>
    <x v="1"/>
    <x v="167"/>
    <n v="105.53"/>
    <m/>
    <n v="105.53"/>
  </r>
  <r>
    <s v="07/28/2025"/>
    <x v="5"/>
    <x v="21"/>
    <x v="4"/>
    <x v="1"/>
    <x v="172"/>
    <n v="3159.62"/>
    <m/>
    <n v="3159.62"/>
  </r>
  <r>
    <s v="08/05/2025"/>
    <x v="6"/>
    <x v="20"/>
    <x v="7"/>
    <x v="2"/>
    <x v="166"/>
    <n v="106.6"/>
    <m/>
    <n v="106.6"/>
  </r>
  <r>
    <s v="08/18/2025"/>
    <x v="6"/>
    <x v="21"/>
    <x v="4"/>
    <x v="1"/>
    <x v="171"/>
    <n v="1053.52"/>
    <m/>
    <n v="1053.52"/>
  </r>
  <r>
    <s v="08/28/2025"/>
    <x v="6"/>
    <x v="21"/>
    <x v="4"/>
    <x v="1"/>
    <x v="167"/>
    <n v="105.53"/>
    <m/>
    <n v="105.53"/>
  </r>
  <r>
    <s v="08/29/2025"/>
    <x v="6"/>
    <x v="20"/>
    <x v="7"/>
    <x v="2"/>
    <x v="168"/>
    <n v="19.899999999999999"/>
    <m/>
    <n v="19.899999999999999"/>
  </r>
  <r>
    <s v="09/02/2025"/>
    <x v="7"/>
    <x v="20"/>
    <x v="7"/>
    <x v="2"/>
    <x v="166"/>
    <n v="106.6"/>
    <m/>
    <n v="106.6"/>
  </r>
  <r>
    <s v="09/18/2025"/>
    <x v="7"/>
    <x v="21"/>
    <x v="4"/>
    <x v="1"/>
    <x v="171"/>
    <n v="1053.52"/>
    <m/>
    <n v="1053.52"/>
  </r>
  <r>
    <s v="09/28/2025"/>
    <x v="7"/>
    <x v="21"/>
    <x v="4"/>
    <x v="1"/>
    <x v="167"/>
    <n v="142.84"/>
    <m/>
    <n v="142.84"/>
  </r>
  <r>
    <s v="09/28/2025"/>
    <x v="7"/>
    <x v="20"/>
    <x v="7"/>
    <x v="2"/>
    <x v="168"/>
    <n v="19.899999999999999"/>
    <m/>
    <n v="19.899999999999999"/>
  </r>
  <r>
    <s v="09/29/2025"/>
    <x v="7"/>
    <x v="21"/>
    <x v="4"/>
    <x v="1"/>
    <x v="173"/>
    <n v="185.05"/>
    <m/>
    <n v="185.05"/>
  </r>
  <r>
    <s v="09/30/2025"/>
    <x v="7"/>
    <x v="21"/>
    <x v="4"/>
    <x v="1"/>
    <x v="173"/>
    <n v="366.45"/>
    <m/>
    <n v="366.45"/>
  </r>
  <r>
    <s v="09/30/2025"/>
    <x v="7"/>
    <x v="21"/>
    <x v="4"/>
    <x v="1"/>
    <x v="173"/>
    <n v="366.45"/>
    <m/>
    <n v="366.45"/>
  </r>
  <r>
    <s v="09/30/2025"/>
    <x v="7"/>
    <x v="21"/>
    <x v="4"/>
    <x v="1"/>
    <x v="173"/>
    <n v="233.55"/>
    <m/>
    <n v="233.55"/>
  </r>
  <r>
    <s v="10/02/2025"/>
    <x v="8"/>
    <x v="20"/>
    <x v="7"/>
    <x v="2"/>
    <x v="166"/>
    <n v="127.92"/>
    <m/>
    <n v="127.92"/>
  </r>
  <r>
    <s v="10/18/2025"/>
    <x v="8"/>
    <x v="21"/>
    <x v="4"/>
    <x v="1"/>
    <x v="171"/>
    <n v="1053.52"/>
    <m/>
    <n v="1053.52"/>
  </r>
  <r>
    <s v="10/28/2025"/>
    <x v="8"/>
    <x v="21"/>
    <x v="4"/>
    <x v="1"/>
    <x v="167"/>
    <n v="105.53"/>
    <m/>
    <n v="105.53"/>
  </r>
  <r>
    <s v="10/29/2025"/>
    <x v="8"/>
    <x v="20"/>
    <x v="7"/>
    <x v="2"/>
    <x v="168"/>
    <n v="19.899999999999999"/>
    <m/>
    <n v="19.899999999999999"/>
  </r>
  <r>
    <s v="11/03/2025"/>
    <x v="9"/>
    <x v="20"/>
    <x v="7"/>
    <x v="2"/>
    <x v="166"/>
    <n v="128.56"/>
    <m/>
    <n v="128.56"/>
  </r>
  <r>
    <s v="11/11/2025"/>
    <x v="9"/>
    <x v="21"/>
    <x v="4"/>
    <x v="1"/>
    <x v="171"/>
    <n v="14.51"/>
    <m/>
    <n v="14.51"/>
  </r>
  <r>
    <s v="11/18/2025"/>
    <x v="9"/>
    <x v="21"/>
    <x v="4"/>
    <x v="1"/>
    <x v="171"/>
    <n v="1128.52"/>
    <m/>
    <n v="1128.52"/>
  </r>
  <r>
    <s v="11/28/2025"/>
    <x v="9"/>
    <x v="21"/>
    <x v="4"/>
    <x v="1"/>
    <x v="167"/>
    <n v="105.53"/>
    <m/>
    <n v="105.53"/>
  </r>
  <r>
    <s v="11/28/2025"/>
    <x v="9"/>
    <x v="20"/>
    <x v="7"/>
    <x v="2"/>
    <x v="168"/>
    <n v="19.899999999999999"/>
    <m/>
    <n v="19.899999999999999"/>
  </r>
  <r>
    <s v="12/02/2025"/>
    <x v="10"/>
    <x v="20"/>
    <x v="7"/>
    <x v="2"/>
    <x v="166"/>
    <n v="127.92"/>
    <m/>
    <n v="127.92"/>
  </r>
  <r>
    <s v="12/18/2025"/>
    <x v="10"/>
    <x v="21"/>
    <x v="4"/>
    <x v="1"/>
    <x v="171"/>
    <n v="1128.52"/>
    <m/>
    <n v="1128.52"/>
  </r>
  <r>
    <s v="12/28/2025"/>
    <x v="10"/>
    <x v="21"/>
    <x v="4"/>
    <x v="1"/>
    <x v="167"/>
    <n v="105.53"/>
    <m/>
    <n v="105.53"/>
  </r>
  <r>
    <s v="12/29/2025"/>
    <x v="10"/>
    <x v="20"/>
    <x v="7"/>
    <x v="2"/>
    <x v="168"/>
    <n v="19.899999999999999"/>
    <m/>
    <n v="19.899999999999999"/>
  </r>
  <r>
    <s v="01/01/2025"/>
    <x v="11"/>
    <x v="20"/>
    <x v="7"/>
    <x v="2"/>
    <x v="28"/>
    <n v="438.72"/>
    <m/>
    <n v="438.72"/>
  </r>
  <r>
    <s v="01/06/2025"/>
    <x v="11"/>
    <x v="20"/>
    <x v="7"/>
    <x v="2"/>
    <x v="29"/>
    <n v="31.64"/>
    <m/>
    <n v="31.64"/>
  </r>
  <r>
    <s v="01/10/2025"/>
    <x v="11"/>
    <x v="20"/>
    <x v="7"/>
    <x v="2"/>
    <x v="174"/>
    <n v="103.84"/>
    <m/>
    <n v="103.84"/>
  </r>
  <r>
    <s v="01/13/2025"/>
    <x v="11"/>
    <x v="20"/>
    <x v="7"/>
    <x v="2"/>
    <x v="175"/>
    <n v="310.67"/>
    <m/>
    <n v="310.67"/>
  </r>
  <r>
    <s v="02/01/2025"/>
    <x v="0"/>
    <x v="20"/>
    <x v="7"/>
    <x v="2"/>
    <x v="28"/>
    <n v="464.71"/>
    <m/>
    <n v="464.71"/>
  </r>
  <r>
    <s v="02/01/2025"/>
    <x v="0"/>
    <x v="20"/>
    <x v="7"/>
    <x v="2"/>
    <x v="28"/>
    <n v="22.59"/>
    <m/>
    <n v="22.59"/>
  </r>
  <r>
    <s v="02/06/2025"/>
    <x v="0"/>
    <x v="20"/>
    <x v="7"/>
    <x v="2"/>
    <x v="29"/>
    <n v="26.65"/>
    <m/>
    <n v="26.65"/>
  </r>
  <r>
    <s v="02/07/2025"/>
    <x v="0"/>
    <x v="20"/>
    <x v="7"/>
    <x v="2"/>
    <x v="175"/>
    <n v="511.68"/>
    <m/>
    <n v="511.68"/>
  </r>
  <r>
    <s v="02/09/2025"/>
    <x v="0"/>
    <x v="20"/>
    <x v="7"/>
    <x v="2"/>
    <x v="176"/>
    <n v="47.92"/>
    <m/>
    <n v="47.92"/>
  </r>
  <r>
    <s v="02/10/2025"/>
    <x v="0"/>
    <x v="20"/>
    <x v="7"/>
    <x v="2"/>
    <x v="176"/>
    <n v="48.4"/>
    <m/>
    <n v="48.4"/>
  </r>
  <r>
    <s v="02/12/2025"/>
    <x v="0"/>
    <x v="20"/>
    <x v="7"/>
    <x v="2"/>
    <x v="174"/>
    <n v="115.73"/>
    <m/>
    <n v="115.73"/>
  </r>
  <r>
    <s v="02/13/2025"/>
    <x v="0"/>
    <x v="20"/>
    <x v="7"/>
    <x v="2"/>
    <x v="177"/>
    <n v="5000"/>
    <m/>
    <n v="5000"/>
  </r>
  <r>
    <s v="02/13/2025"/>
    <x v="0"/>
    <x v="20"/>
    <x v="7"/>
    <x v="2"/>
    <x v="175"/>
    <n v="300"/>
    <m/>
    <n v="300"/>
  </r>
  <r>
    <s v="02/19/2025"/>
    <x v="0"/>
    <x v="20"/>
    <x v="7"/>
    <x v="2"/>
    <x v="175"/>
    <n v="6871.4"/>
    <m/>
    <n v="6871.4"/>
  </r>
  <r>
    <s v="02/19/2025"/>
    <x v="0"/>
    <x v="20"/>
    <x v="7"/>
    <x v="2"/>
    <x v="176"/>
    <n v="48.4"/>
    <m/>
    <n v="48.4"/>
  </r>
  <r>
    <s v="02/24/2025"/>
    <x v="0"/>
    <x v="20"/>
    <x v="7"/>
    <x v="2"/>
    <x v="175"/>
    <n v="-511.68"/>
    <m/>
    <n v="-511.68"/>
  </r>
  <r>
    <s v="03/01/2025"/>
    <x v="1"/>
    <x v="20"/>
    <x v="7"/>
    <x v="2"/>
    <x v="28"/>
    <n v="407.28"/>
    <m/>
    <n v="407.28"/>
  </r>
  <r>
    <s v="03/01/2025"/>
    <x v="1"/>
    <x v="20"/>
    <x v="7"/>
    <x v="2"/>
    <x v="28"/>
    <n v="84.45"/>
    <m/>
    <n v="84.45"/>
  </r>
  <r>
    <s v="03/05/2025"/>
    <x v="1"/>
    <x v="20"/>
    <x v="7"/>
    <x v="2"/>
    <x v="29"/>
    <n v="26.65"/>
    <m/>
    <n v="26.65"/>
  </r>
  <r>
    <s v="03/09/2025"/>
    <x v="1"/>
    <x v="20"/>
    <x v="7"/>
    <x v="2"/>
    <x v="176"/>
    <n v="47.92"/>
    <m/>
    <n v="47.92"/>
  </r>
  <r>
    <s v="03/12/2025"/>
    <x v="1"/>
    <x v="20"/>
    <x v="7"/>
    <x v="2"/>
    <x v="174"/>
    <n v="151.38"/>
    <m/>
    <n v="151.38"/>
  </r>
  <r>
    <s v="03/17/2025"/>
    <x v="1"/>
    <x v="20"/>
    <x v="7"/>
    <x v="2"/>
    <x v="177"/>
    <n v="7000"/>
    <m/>
    <n v="7000"/>
  </r>
  <r>
    <s v="03/18/2025"/>
    <x v="1"/>
    <x v="20"/>
    <x v="7"/>
    <x v="2"/>
    <x v="175"/>
    <n v="6399.9"/>
    <m/>
    <n v="6399.9"/>
  </r>
  <r>
    <s v="03/21/2025"/>
    <x v="1"/>
    <x v="20"/>
    <x v="7"/>
    <x v="2"/>
    <x v="176"/>
    <n v="95.84"/>
    <m/>
    <n v="95.84"/>
  </r>
  <r>
    <s v="04/01/2025"/>
    <x v="2"/>
    <x v="20"/>
    <x v="7"/>
    <x v="2"/>
    <x v="28"/>
    <n v="447.39"/>
    <m/>
    <n v="447.39"/>
  </r>
  <r>
    <s v="04/01/2025"/>
    <x v="2"/>
    <x v="20"/>
    <x v="7"/>
    <x v="2"/>
    <x v="28"/>
    <n v="203.2"/>
    <m/>
    <n v="203.2"/>
  </r>
  <r>
    <s v="04/05/2025"/>
    <x v="2"/>
    <x v="20"/>
    <x v="7"/>
    <x v="2"/>
    <x v="29"/>
    <n v="26.65"/>
    <m/>
    <n v="26.65"/>
  </r>
  <r>
    <s v="04/14/2025"/>
    <x v="2"/>
    <x v="20"/>
    <x v="7"/>
    <x v="2"/>
    <x v="177"/>
    <n v="5000"/>
    <m/>
    <n v="5000"/>
  </r>
  <r>
    <s v="04/17/2025"/>
    <x v="2"/>
    <x v="20"/>
    <x v="7"/>
    <x v="2"/>
    <x v="175"/>
    <n v="9071.33"/>
    <m/>
    <n v="9071.33"/>
  </r>
  <r>
    <s v="04/21/2025"/>
    <x v="2"/>
    <x v="20"/>
    <x v="7"/>
    <x v="2"/>
    <x v="178"/>
    <n v="373.92"/>
    <m/>
    <n v="373.92"/>
  </r>
  <r>
    <s v="04/30/2025"/>
    <x v="2"/>
    <x v="20"/>
    <x v="7"/>
    <x v="2"/>
    <x v="176"/>
    <n v="48.9"/>
    <m/>
    <n v="48.9"/>
  </r>
  <r>
    <s v="05/07/2025"/>
    <x v="3"/>
    <x v="20"/>
    <x v="7"/>
    <x v="2"/>
    <x v="176"/>
    <n v="48.4"/>
    <m/>
    <n v="48.4"/>
  </r>
  <r>
    <s v="05/16/2025"/>
    <x v="3"/>
    <x v="20"/>
    <x v="7"/>
    <x v="2"/>
    <x v="175"/>
    <n v="9087.09"/>
    <m/>
    <n v="9087.09"/>
  </r>
  <r>
    <s v="05/28/2025"/>
    <x v="3"/>
    <x v="20"/>
    <x v="7"/>
    <x v="2"/>
    <x v="177"/>
    <n v="8000"/>
    <m/>
    <n v="8000"/>
  </r>
  <r>
    <s v="06/01/2025"/>
    <x v="4"/>
    <x v="20"/>
    <x v="7"/>
    <x v="2"/>
    <x v="28"/>
    <n v="447.38"/>
    <m/>
    <n v="447.38"/>
  </r>
  <r>
    <s v="06/01/2025"/>
    <x v="4"/>
    <x v="20"/>
    <x v="7"/>
    <x v="2"/>
    <x v="28"/>
    <n v="447.75"/>
    <m/>
    <n v="447.75"/>
  </r>
  <r>
    <s v="06/09/2025"/>
    <x v="4"/>
    <x v="20"/>
    <x v="7"/>
    <x v="2"/>
    <x v="176"/>
    <n v="48.4"/>
    <m/>
    <n v="48.4"/>
  </r>
  <r>
    <s v="06/09/2025"/>
    <x v="4"/>
    <x v="20"/>
    <x v="7"/>
    <x v="2"/>
    <x v="29"/>
    <n v="26.65"/>
    <m/>
    <n v="26.65"/>
  </r>
  <r>
    <s v="06/17/2025"/>
    <x v="4"/>
    <x v="20"/>
    <x v="7"/>
    <x v="2"/>
    <x v="175"/>
    <n v="9063.5300000000007"/>
    <m/>
    <n v="9063.5300000000007"/>
  </r>
  <r>
    <s v="06/17/2025"/>
    <x v="4"/>
    <x v="20"/>
    <x v="7"/>
    <x v="2"/>
    <x v="177"/>
    <n v="3500"/>
    <m/>
    <n v="3500"/>
  </r>
  <r>
    <s v="06/20/2025"/>
    <x v="4"/>
    <x v="20"/>
    <x v="7"/>
    <x v="2"/>
    <x v="178"/>
    <n v="108.33"/>
    <m/>
    <n v="108.33"/>
  </r>
  <r>
    <s v="07/01/2025"/>
    <x v="5"/>
    <x v="20"/>
    <x v="7"/>
    <x v="2"/>
    <x v="28"/>
    <n v="448.23"/>
    <m/>
    <n v="448.23"/>
  </r>
  <r>
    <s v="07/01/2025"/>
    <x v="5"/>
    <x v="20"/>
    <x v="7"/>
    <x v="2"/>
    <x v="28"/>
    <n v="451.42"/>
    <m/>
    <n v="451.42"/>
  </r>
  <r>
    <s v="07/04/2025"/>
    <x v="5"/>
    <x v="20"/>
    <x v="7"/>
    <x v="2"/>
    <x v="29"/>
    <n v="26.65"/>
    <m/>
    <n v="26.65"/>
  </r>
  <r>
    <s v="07/15/2025"/>
    <x v="5"/>
    <x v="20"/>
    <x v="7"/>
    <x v="2"/>
    <x v="176"/>
    <n v="48.4"/>
    <m/>
    <n v="48.4"/>
  </r>
  <r>
    <s v="07/16/2025"/>
    <x v="5"/>
    <x v="20"/>
    <x v="7"/>
    <x v="2"/>
    <x v="175"/>
    <n v="9078.5"/>
    <m/>
    <n v="9078.5"/>
  </r>
  <r>
    <s v="07/17/2025"/>
    <x v="5"/>
    <x v="20"/>
    <x v="7"/>
    <x v="2"/>
    <x v="177"/>
    <n v="5000"/>
    <m/>
    <n v="5000"/>
  </r>
  <r>
    <s v="07/21/2025"/>
    <x v="5"/>
    <x v="20"/>
    <x v="7"/>
    <x v="2"/>
    <x v="178"/>
    <n v="2920.07"/>
    <m/>
    <n v="2920.07"/>
  </r>
  <r>
    <s v="08/01/2025"/>
    <x v="6"/>
    <x v="20"/>
    <x v="7"/>
    <x v="2"/>
    <x v="177"/>
    <n v="3500"/>
    <m/>
    <n v="3500"/>
  </r>
  <r>
    <s v="08/01/2025"/>
    <x v="6"/>
    <x v="20"/>
    <x v="7"/>
    <x v="2"/>
    <x v="28"/>
    <n v="481.05"/>
    <m/>
    <n v="481.05"/>
  </r>
  <r>
    <s v="08/01/2025"/>
    <x v="6"/>
    <x v="20"/>
    <x v="7"/>
    <x v="2"/>
    <x v="28"/>
    <n v="457.47"/>
    <m/>
    <n v="457.47"/>
  </r>
  <r>
    <s v="08/05/2025"/>
    <x v="6"/>
    <x v="20"/>
    <x v="7"/>
    <x v="2"/>
    <x v="29"/>
    <n v="26.65"/>
    <m/>
    <n v="26.65"/>
  </r>
  <r>
    <s v="08/08/2025"/>
    <x v="6"/>
    <x v="20"/>
    <x v="7"/>
    <x v="2"/>
    <x v="175"/>
    <n v="106.6"/>
    <m/>
    <n v="106.6"/>
  </r>
  <r>
    <s v="08/11/2025"/>
    <x v="6"/>
    <x v="20"/>
    <x v="7"/>
    <x v="2"/>
    <x v="179"/>
    <n v="3856.63"/>
    <m/>
    <n v="3856.63"/>
  </r>
  <r>
    <s v="08/11/2025"/>
    <x v="6"/>
    <x v="20"/>
    <x v="7"/>
    <x v="2"/>
    <x v="180"/>
    <n v="28"/>
    <m/>
    <n v="28"/>
  </r>
  <r>
    <s v="08/12/2025"/>
    <x v="6"/>
    <x v="20"/>
    <x v="7"/>
    <x v="2"/>
    <x v="177"/>
    <n v="4500"/>
    <m/>
    <n v="4500"/>
  </r>
  <r>
    <s v="08/20/2025"/>
    <x v="6"/>
    <x v="20"/>
    <x v="7"/>
    <x v="2"/>
    <x v="178"/>
    <n v="2920.07"/>
    <m/>
    <n v="2920.07"/>
  </r>
  <r>
    <s v="08/22/2025"/>
    <x v="6"/>
    <x v="20"/>
    <x v="7"/>
    <x v="2"/>
    <x v="175"/>
    <n v="21309.27"/>
    <m/>
    <n v="21309.27"/>
  </r>
  <r>
    <s v="09/01/2025"/>
    <x v="7"/>
    <x v="20"/>
    <x v="7"/>
    <x v="2"/>
    <x v="28"/>
    <n v="441.03"/>
    <m/>
    <n v="441.03"/>
  </r>
  <r>
    <s v="09/01/2025"/>
    <x v="7"/>
    <x v="20"/>
    <x v="7"/>
    <x v="2"/>
    <x v="28"/>
    <n v="464.39"/>
    <m/>
    <n v="464.39"/>
  </r>
  <r>
    <s v="09/03/2025"/>
    <x v="7"/>
    <x v="20"/>
    <x v="7"/>
    <x v="2"/>
    <x v="181"/>
    <n v="1599"/>
    <m/>
    <n v="1599"/>
  </r>
  <r>
    <s v="09/05/2025"/>
    <x v="7"/>
    <x v="20"/>
    <x v="7"/>
    <x v="2"/>
    <x v="29"/>
    <n v="28.09"/>
    <m/>
    <n v="28.09"/>
  </r>
  <r>
    <s v="09/11/2025"/>
    <x v="7"/>
    <x v="20"/>
    <x v="7"/>
    <x v="2"/>
    <x v="175"/>
    <n v="106.6"/>
    <m/>
    <n v="106.6"/>
  </r>
  <r>
    <s v="09/16/2025"/>
    <x v="7"/>
    <x v="20"/>
    <x v="7"/>
    <x v="2"/>
    <x v="177"/>
    <n v="3500"/>
    <m/>
    <n v="3500"/>
  </r>
  <r>
    <s v="09/17/2025"/>
    <x v="7"/>
    <x v="20"/>
    <x v="7"/>
    <x v="2"/>
    <x v="175"/>
    <n v="9056.42"/>
    <m/>
    <n v="9056.42"/>
  </r>
  <r>
    <s v="10/01/2025"/>
    <x v="8"/>
    <x v="20"/>
    <x v="7"/>
    <x v="2"/>
    <x v="28"/>
    <n v="452.66"/>
    <m/>
    <n v="452.66"/>
  </r>
  <r>
    <s v="10/01/2025"/>
    <x v="8"/>
    <x v="20"/>
    <x v="7"/>
    <x v="2"/>
    <x v="28"/>
    <n v="430.01"/>
    <m/>
    <n v="430.01"/>
  </r>
  <r>
    <s v="10/06/2025"/>
    <x v="8"/>
    <x v="20"/>
    <x v="7"/>
    <x v="2"/>
    <x v="181"/>
    <n v="1599"/>
    <m/>
    <n v="1599"/>
  </r>
  <r>
    <s v="10/06/2025"/>
    <x v="8"/>
    <x v="20"/>
    <x v="7"/>
    <x v="2"/>
    <x v="29"/>
    <n v="41.05"/>
    <m/>
    <n v="41.05"/>
  </r>
  <r>
    <s v="10/08/2025"/>
    <x v="8"/>
    <x v="20"/>
    <x v="7"/>
    <x v="2"/>
    <x v="175"/>
    <n v="106.6"/>
    <m/>
    <n v="106.6"/>
  </r>
  <r>
    <s v="10/17/2025"/>
    <x v="8"/>
    <x v="20"/>
    <x v="7"/>
    <x v="2"/>
    <x v="175"/>
    <n v="17435.25"/>
    <m/>
    <n v="17435.25"/>
  </r>
  <r>
    <s v="10/23/2025"/>
    <x v="8"/>
    <x v="20"/>
    <x v="7"/>
    <x v="2"/>
    <x v="182"/>
    <n v="80.89"/>
    <m/>
    <n v="80.89"/>
  </r>
  <r>
    <s v="10/23/2025"/>
    <x v="8"/>
    <x v="20"/>
    <x v="7"/>
    <x v="2"/>
    <x v="182"/>
    <n v="80.89"/>
    <m/>
    <n v="80.89"/>
  </r>
  <r>
    <s v="10/29/2025"/>
    <x v="8"/>
    <x v="20"/>
    <x v="7"/>
    <x v="2"/>
    <x v="183"/>
    <n v="42.64"/>
    <m/>
    <n v="42.64"/>
  </r>
  <r>
    <s v="11/01/2025"/>
    <x v="9"/>
    <x v="20"/>
    <x v="7"/>
    <x v="2"/>
    <x v="28"/>
    <n v="460.58"/>
    <m/>
    <n v="460.58"/>
  </r>
  <r>
    <s v="11/01/2025"/>
    <x v="9"/>
    <x v="20"/>
    <x v="7"/>
    <x v="2"/>
    <x v="28"/>
    <n v="470.27"/>
    <m/>
    <n v="470.27"/>
  </r>
  <r>
    <s v="11/07/2025"/>
    <x v="9"/>
    <x v="20"/>
    <x v="7"/>
    <x v="2"/>
    <x v="175"/>
    <n v="106.6"/>
    <m/>
    <n v="106.6"/>
  </r>
  <r>
    <s v="11/07/2025"/>
    <x v="9"/>
    <x v="20"/>
    <x v="7"/>
    <x v="2"/>
    <x v="29"/>
    <n v="70.69"/>
    <m/>
    <n v="70.69"/>
  </r>
  <r>
    <s v="11/14/2025"/>
    <x v="9"/>
    <x v="20"/>
    <x v="7"/>
    <x v="2"/>
    <x v="177"/>
    <n v="3500"/>
    <m/>
    <n v="3500"/>
  </r>
  <r>
    <s v="11/18/2025"/>
    <x v="9"/>
    <x v="20"/>
    <x v="7"/>
    <x v="2"/>
    <x v="175"/>
    <n v="13874.16"/>
    <m/>
    <n v="13874.16"/>
  </r>
  <r>
    <s v="11/19/2025"/>
    <x v="9"/>
    <x v="20"/>
    <x v="7"/>
    <x v="2"/>
    <x v="184"/>
    <n v="2168.39"/>
    <m/>
    <n v="2168.39"/>
  </r>
  <r>
    <s v="11/29/2025"/>
    <x v="9"/>
    <x v="20"/>
    <x v="7"/>
    <x v="2"/>
    <x v="183"/>
    <n v="5.38"/>
    <m/>
    <n v="5.38"/>
  </r>
  <r>
    <s v="12/01/2025"/>
    <x v="10"/>
    <x v="20"/>
    <x v="7"/>
    <x v="2"/>
    <x v="28"/>
    <n v="467.45"/>
    <m/>
    <n v="467.45"/>
  </r>
  <r>
    <s v="12/01/2025"/>
    <x v="10"/>
    <x v="20"/>
    <x v="7"/>
    <x v="2"/>
    <x v="28"/>
    <n v="446.17"/>
    <m/>
    <n v="446.17"/>
  </r>
  <r>
    <s v="12/01/2025"/>
    <x v="10"/>
    <x v="20"/>
    <x v="7"/>
    <x v="2"/>
    <x v="29"/>
    <n v="1599"/>
    <m/>
    <n v="1599"/>
  </r>
  <r>
    <s v="12/05/2025"/>
    <x v="10"/>
    <x v="20"/>
    <x v="7"/>
    <x v="2"/>
    <x v="29"/>
    <n v="69.34"/>
    <m/>
    <n v="69.34"/>
  </r>
  <r>
    <s v="12/10/2025"/>
    <x v="10"/>
    <x v="20"/>
    <x v="7"/>
    <x v="2"/>
    <x v="175"/>
    <n v="106.6"/>
    <m/>
    <n v="106.6"/>
  </r>
  <r>
    <s v="12/12/2025"/>
    <x v="10"/>
    <x v="20"/>
    <x v="7"/>
    <x v="2"/>
    <x v="174"/>
    <n v="286.14999999999998"/>
    <m/>
    <n v="286.14999999999998"/>
  </r>
  <r>
    <s v="12/17/2025"/>
    <x v="10"/>
    <x v="20"/>
    <x v="7"/>
    <x v="2"/>
    <x v="175"/>
    <n v="13159.11"/>
    <m/>
    <n v="13159.11"/>
  </r>
  <r>
    <s v="12/17/2025"/>
    <x v="10"/>
    <x v="20"/>
    <x v="7"/>
    <x v="2"/>
    <x v="184"/>
    <n v="349.76"/>
    <m/>
    <n v="349.76"/>
  </r>
  <r>
    <s v="12/29/2025"/>
    <x v="10"/>
    <x v="20"/>
    <x v="7"/>
    <x v="2"/>
    <x v="29"/>
    <n v="1066"/>
    <m/>
    <n v="1066"/>
  </r>
  <r>
    <s v="01/03/2025"/>
    <x v="11"/>
    <x v="22"/>
    <x v="3"/>
    <x v="2"/>
    <x v="185"/>
    <n v="1427.47"/>
    <m/>
    <n v="1427.47"/>
  </r>
  <r>
    <s v="01/07/2025"/>
    <x v="11"/>
    <x v="22"/>
    <x v="3"/>
    <x v="2"/>
    <x v="186"/>
    <n v="216.64"/>
    <m/>
    <n v="216.64"/>
  </r>
  <r>
    <s v="02/07/2025"/>
    <x v="0"/>
    <x v="22"/>
    <x v="3"/>
    <x v="2"/>
    <x v="186"/>
    <n v="260.23"/>
    <m/>
    <n v="260.23"/>
  </r>
  <r>
    <s v="03/07/2025"/>
    <x v="1"/>
    <x v="22"/>
    <x v="3"/>
    <x v="2"/>
    <x v="186"/>
    <n v="241.91"/>
    <m/>
    <n v="241.91"/>
  </r>
  <r>
    <s v="04/07/2025"/>
    <x v="2"/>
    <x v="22"/>
    <x v="3"/>
    <x v="2"/>
    <x v="186"/>
    <n v="387.4"/>
    <m/>
    <n v="387.4"/>
  </r>
  <r>
    <s v="05/07/2025"/>
    <x v="3"/>
    <x v="22"/>
    <x v="3"/>
    <x v="2"/>
    <x v="186"/>
    <n v="257.37"/>
    <m/>
    <n v="257.37"/>
  </r>
  <r>
    <s v="06/09/2025"/>
    <x v="4"/>
    <x v="22"/>
    <x v="3"/>
    <x v="2"/>
    <x v="186"/>
    <n v="236.52"/>
    <m/>
    <n v="236.52"/>
  </r>
  <r>
    <s v="07/07/2025"/>
    <x v="5"/>
    <x v="22"/>
    <x v="3"/>
    <x v="2"/>
    <x v="186"/>
    <n v="378.78"/>
    <m/>
    <n v="378.78"/>
  </r>
  <r>
    <s v="08/07/2025"/>
    <x v="6"/>
    <x v="22"/>
    <x v="3"/>
    <x v="2"/>
    <x v="186"/>
    <n v="376.84"/>
    <m/>
    <n v="376.84"/>
  </r>
  <r>
    <s v="09/08/2025"/>
    <x v="7"/>
    <x v="22"/>
    <x v="3"/>
    <x v="2"/>
    <x v="186"/>
    <n v="371.4"/>
    <m/>
    <n v="371.4"/>
  </r>
  <r>
    <s v="10/07/2025"/>
    <x v="8"/>
    <x v="22"/>
    <x v="3"/>
    <x v="2"/>
    <x v="186"/>
    <n v="311.52"/>
    <m/>
    <n v="311.52"/>
  </r>
  <r>
    <s v="11/07/2025"/>
    <x v="9"/>
    <x v="22"/>
    <x v="3"/>
    <x v="2"/>
    <x v="186"/>
    <n v="292.62"/>
    <m/>
    <n v="292.62"/>
  </r>
  <r>
    <s v="12/02/2025"/>
    <x v="10"/>
    <x v="22"/>
    <x v="3"/>
    <x v="2"/>
    <x v="185"/>
    <n v="32.25"/>
    <m/>
    <n v="32.25"/>
  </r>
  <r>
    <s v="12/08/2025"/>
    <x v="10"/>
    <x v="22"/>
    <x v="3"/>
    <x v="2"/>
    <x v="186"/>
    <n v="276.70999999999998"/>
    <m/>
    <n v="276.70999999999998"/>
  </r>
  <r>
    <s v="01/01/2025"/>
    <x v="11"/>
    <x v="23"/>
    <x v="1"/>
    <x v="1"/>
    <x v="187"/>
    <n v="13.2"/>
    <m/>
    <n v="13.2"/>
  </r>
  <r>
    <s v="01/28/2025"/>
    <x v="11"/>
    <x v="23"/>
    <x v="1"/>
    <x v="1"/>
    <x v="188"/>
    <n v="40"/>
    <m/>
    <n v="40"/>
  </r>
  <r>
    <s v="02/23/2025"/>
    <x v="0"/>
    <x v="23"/>
    <x v="1"/>
    <x v="1"/>
    <x v="189"/>
    <n v="26"/>
    <m/>
    <n v="26"/>
  </r>
  <r>
    <s v="04/04/2025"/>
    <x v="2"/>
    <x v="23"/>
    <x v="1"/>
    <x v="1"/>
    <x v="189"/>
    <n v="25"/>
    <m/>
    <n v="25"/>
  </r>
  <r>
    <s v="04/18/2025"/>
    <x v="2"/>
    <x v="23"/>
    <x v="1"/>
    <x v="1"/>
    <x v="189"/>
    <n v="25"/>
    <m/>
    <n v="25"/>
  </r>
  <r>
    <s v="04/20/2025"/>
    <x v="2"/>
    <x v="23"/>
    <x v="1"/>
    <x v="1"/>
    <x v="189"/>
    <n v="25"/>
    <m/>
    <n v="25"/>
  </r>
  <r>
    <s v="09/25/2025"/>
    <x v="7"/>
    <x v="23"/>
    <x v="1"/>
    <x v="1"/>
    <x v="189"/>
    <n v="25"/>
    <m/>
    <n v="25"/>
  </r>
  <r>
    <s v="10/12/2025"/>
    <x v="8"/>
    <x v="23"/>
    <x v="1"/>
    <x v="1"/>
    <x v="189"/>
    <n v="25"/>
    <m/>
    <n v="25"/>
  </r>
  <r>
    <s v="11/29/2025"/>
    <x v="9"/>
    <x v="23"/>
    <x v="1"/>
    <x v="1"/>
    <x v="189"/>
    <n v="25"/>
    <m/>
    <n v="25"/>
  </r>
  <r>
    <s v="01/08/2025"/>
    <x v="11"/>
    <x v="24"/>
    <x v="4"/>
    <x v="1"/>
    <x v="190"/>
    <n v="129"/>
    <m/>
    <n v="129"/>
  </r>
  <r>
    <s v="01/19/2025"/>
    <x v="11"/>
    <x v="24"/>
    <x v="4"/>
    <x v="1"/>
    <x v="191"/>
    <n v="24.99"/>
    <m/>
    <n v="24.99"/>
  </r>
  <r>
    <s v="02/05/2025"/>
    <x v="0"/>
    <x v="24"/>
    <x v="4"/>
    <x v="1"/>
    <x v="192"/>
    <n v="6972.55"/>
    <m/>
    <n v="6972.55"/>
  </r>
  <r>
    <s v="02/06/2025"/>
    <x v="0"/>
    <x v="24"/>
    <x v="4"/>
    <x v="1"/>
    <x v="193"/>
    <n v="2608.2199999999998"/>
    <m/>
    <n v="2608.2199999999998"/>
  </r>
  <r>
    <s v="02/08/2025"/>
    <x v="0"/>
    <x v="24"/>
    <x v="4"/>
    <x v="1"/>
    <x v="190"/>
    <n v="129"/>
    <m/>
    <n v="129"/>
  </r>
  <r>
    <s v="02/19/2025"/>
    <x v="0"/>
    <x v="24"/>
    <x v="4"/>
    <x v="1"/>
    <x v="191"/>
    <n v="24.99"/>
    <m/>
    <n v="24.99"/>
  </r>
  <r>
    <s v="02/19/2025"/>
    <x v="0"/>
    <x v="24"/>
    <x v="4"/>
    <x v="1"/>
    <x v="194"/>
    <n v="455.96"/>
    <m/>
    <n v="455.96"/>
  </r>
  <r>
    <s v="02/19/2025"/>
    <x v="0"/>
    <x v="24"/>
    <x v="4"/>
    <x v="1"/>
    <x v="194"/>
    <n v="330.96"/>
    <m/>
    <n v="330.96"/>
  </r>
  <r>
    <s v="02/20/2025"/>
    <x v="0"/>
    <x v="24"/>
    <x v="4"/>
    <x v="1"/>
    <x v="195"/>
    <n v="65"/>
    <m/>
    <n v="65"/>
  </r>
  <r>
    <s v="03/03/2025"/>
    <x v="1"/>
    <x v="24"/>
    <x v="4"/>
    <x v="1"/>
    <x v="196"/>
    <n v="532.01"/>
    <m/>
    <n v="532.01"/>
  </r>
  <r>
    <s v="03/05/2025"/>
    <x v="1"/>
    <x v="24"/>
    <x v="4"/>
    <x v="1"/>
    <x v="197"/>
    <n v="229.73"/>
    <m/>
    <n v="229.73"/>
  </r>
  <r>
    <s v="03/05/2025"/>
    <x v="1"/>
    <x v="24"/>
    <x v="4"/>
    <x v="1"/>
    <x v="197"/>
    <n v="229.73"/>
    <m/>
    <n v="229.73"/>
  </r>
  <r>
    <s v="03/08/2025"/>
    <x v="1"/>
    <x v="24"/>
    <x v="4"/>
    <x v="1"/>
    <x v="190"/>
    <n v="129"/>
    <m/>
    <n v="129"/>
  </r>
  <r>
    <s v="03/09/2025"/>
    <x v="1"/>
    <x v="24"/>
    <x v="4"/>
    <x v="1"/>
    <x v="198"/>
    <n v="78.55"/>
    <m/>
    <n v="78.55"/>
  </r>
  <r>
    <s v="03/09/2025"/>
    <x v="1"/>
    <x v="24"/>
    <x v="4"/>
    <x v="1"/>
    <x v="199"/>
    <n v="219.36"/>
    <m/>
    <n v="219.36"/>
  </r>
  <r>
    <s v="03/10/2025"/>
    <x v="1"/>
    <x v="24"/>
    <x v="4"/>
    <x v="1"/>
    <x v="198"/>
    <n v="35.369999999999997"/>
    <m/>
    <n v="35.369999999999997"/>
  </r>
  <r>
    <s v="03/10/2025"/>
    <x v="1"/>
    <x v="24"/>
    <x v="4"/>
    <x v="1"/>
    <x v="198"/>
    <n v="19.989999999999998"/>
    <m/>
    <n v="19.989999999999998"/>
  </r>
  <r>
    <s v="03/11/2025"/>
    <x v="1"/>
    <x v="24"/>
    <x v="4"/>
    <x v="1"/>
    <x v="198"/>
    <n v="34.9"/>
    <m/>
    <n v="34.9"/>
  </r>
  <r>
    <s v="03/11/2025"/>
    <x v="1"/>
    <x v="24"/>
    <x v="4"/>
    <x v="1"/>
    <x v="200"/>
    <n v="517.62"/>
    <m/>
    <n v="517.62"/>
  </r>
  <r>
    <s v="03/12/2025"/>
    <x v="1"/>
    <x v="24"/>
    <x v="4"/>
    <x v="1"/>
    <x v="198"/>
    <n v="10"/>
    <m/>
    <n v="10"/>
  </r>
  <r>
    <s v="03/17/2025"/>
    <x v="1"/>
    <x v="24"/>
    <x v="4"/>
    <x v="1"/>
    <x v="197"/>
    <n v="400.48"/>
    <m/>
    <n v="400.48"/>
  </r>
  <r>
    <s v="03/17/2025"/>
    <x v="1"/>
    <x v="24"/>
    <x v="4"/>
    <x v="1"/>
    <x v="197"/>
    <n v="400.48"/>
    <m/>
    <n v="400.48"/>
  </r>
  <r>
    <s v="03/18/2025"/>
    <x v="1"/>
    <x v="24"/>
    <x v="4"/>
    <x v="1"/>
    <x v="197"/>
    <n v="650.53"/>
    <m/>
    <n v="650.53"/>
  </r>
  <r>
    <s v="03/19/2025"/>
    <x v="1"/>
    <x v="24"/>
    <x v="4"/>
    <x v="1"/>
    <x v="191"/>
    <n v="24.99"/>
    <m/>
    <n v="24.99"/>
  </r>
  <r>
    <s v="03/19/2025"/>
    <x v="1"/>
    <x v="24"/>
    <x v="4"/>
    <x v="1"/>
    <x v="197"/>
    <n v="-650.53"/>
    <m/>
    <n v="-650.53"/>
  </r>
  <r>
    <s v="03/20/2025"/>
    <x v="1"/>
    <x v="24"/>
    <x v="4"/>
    <x v="1"/>
    <x v="201"/>
    <n v="105.33"/>
    <m/>
    <n v="105.33"/>
  </r>
  <r>
    <s v="03/21/2025"/>
    <x v="1"/>
    <x v="24"/>
    <x v="4"/>
    <x v="1"/>
    <x v="198"/>
    <n v="156.94999999999999"/>
    <m/>
    <n v="156.94999999999999"/>
  </r>
  <r>
    <s v="03/21/2025"/>
    <x v="1"/>
    <x v="24"/>
    <x v="4"/>
    <x v="1"/>
    <x v="197"/>
    <n v="601.99"/>
    <m/>
    <n v="601.99"/>
  </r>
  <r>
    <s v="03/21/2025"/>
    <x v="1"/>
    <x v="24"/>
    <x v="4"/>
    <x v="1"/>
    <x v="201"/>
    <n v="308.58"/>
    <m/>
    <n v="308.58"/>
  </r>
  <r>
    <s v="03/22/2025"/>
    <x v="1"/>
    <x v="24"/>
    <x v="4"/>
    <x v="1"/>
    <x v="198"/>
    <n v="15.97"/>
    <m/>
    <n v="15.97"/>
  </r>
  <r>
    <s v="03/22/2025"/>
    <x v="1"/>
    <x v="24"/>
    <x v="4"/>
    <x v="1"/>
    <x v="198"/>
    <n v="26.99"/>
    <m/>
    <n v="26.99"/>
  </r>
  <r>
    <s v="03/22/2025"/>
    <x v="1"/>
    <x v="24"/>
    <x v="4"/>
    <x v="1"/>
    <x v="198"/>
    <n v="7.91"/>
    <m/>
    <n v="7.91"/>
  </r>
  <r>
    <s v="03/22/2025"/>
    <x v="1"/>
    <x v="24"/>
    <x v="4"/>
    <x v="1"/>
    <x v="198"/>
    <n v="180.98"/>
    <m/>
    <n v="180.98"/>
  </r>
  <r>
    <s v="03/22/2025"/>
    <x v="1"/>
    <x v="24"/>
    <x v="4"/>
    <x v="1"/>
    <x v="198"/>
    <n v="7.91"/>
    <m/>
    <n v="7.91"/>
  </r>
  <r>
    <s v="03/22/2025"/>
    <x v="1"/>
    <x v="24"/>
    <x v="4"/>
    <x v="1"/>
    <x v="198"/>
    <n v="27.96"/>
    <m/>
    <n v="27.96"/>
  </r>
  <r>
    <s v="03/23/2025"/>
    <x v="1"/>
    <x v="24"/>
    <x v="4"/>
    <x v="1"/>
    <x v="201"/>
    <n v="699.3"/>
    <m/>
    <n v="699.3"/>
  </r>
  <r>
    <s v="03/23/2025"/>
    <x v="1"/>
    <x v="24"/>
    <x v="4"/>
    <x v="1"/>
    <x v="202"/>
    <n v="30.94"/>
    <m/>
    <n v="30.94"/>
  </r>
  <r>
    <s v="03/24/2025"/>
    <x v="1"/>
    <x v="24"/>
    <x v="4"/>
    <x v="1"/>
    <x v="198"/>
    <n v="49.16"/>
    <m/>
    <n v="49.16"/>
  </r>
  <r>
    <s v="03/24/2025"/>
    <x v="1"/>
    <x v="24"/>
    <x v="4"/>
    <x v="1"/>
    <x v="198"/>
    <n v="137.85"/>
    <m/>
    <n v="137.85"/>
  </r>
  <r>
    <s v="03/27/2025"/>
    <x v="1"/>
    <x v="24"/>
    <x v="4"/>
    <x v="1"/>
    <x v="198"/>
    <n v="7.97"/>
    <m/>
    <n v="7.97"/>
  </r>
  <r>
    <s v="03/27/2025"/>
    <x v="1"/>
    <x v="24"/>
    <x v="4"/>
    <x v="1"/>
    <x v="203"/>
    <n v="308.58"/>
    <m/>
    <n v="308.58"/>
  </r>
  <r>
    <s v="03/27/2025"/>
    <x v="1"/>
    <x v="24"/>
    <x v="4"/>
    <x v="1"/>
    <x v="203"/>
    <n v="308.58"/>
    <m/>
    <n v="308.58"/>
  </r>
  <r>
    <s v="03/29/2025"/>
    <x v="1"/>
    <x v="24"/>
    <x v="4"/>
    <x v="1"/>
    <x v="198"/>
    <n v="157.93"/>
    <m/>
    <n v="157.93"/>
  </r>
  <r>
    <s v="04/01/2025"/>
    <x v="2"/>
    <x v="24"/>
    <x v="4"/>
    <x v="1"/>
    <x v="198"/>
    <n v="101.24"/>
    <m/>
    <n v="101.24"/>
  </r>
  <r>
    <s v="04/02/2025"/>
    <x v="2"/>
    <x v="24"/>
    <x v="4"/>
    <x v="1"/>
    <x v="198"/>
    <n v="124.71"/>
    <m/>
    <n v="124.71"/>
  </r>
  <r>
    <s v="04/02/2025"/>
    <x v="2"/>
    <x v="24"/>
    <x v="4"/>
    <x v="1"/>
    <x v="198"/>
    <n v="24.94"/>
    <m/>
    <n v="24.94"/>
  </r>
  <r>
    <s v="04/04/2025"/>
    <x v="2"/>
    <x v="24"/>
    <x v="4"/>
    <x v="1"/>
    <x v="204"/>
    <n v="27.06"/>
    <m/>
    <n v="27.06"/>
  </r>
  <r>
    <s v="04/19/2025"/>
    <x v="2"/>
    <x v="24"/>
    <x v="4"/>
    <x v="1"/>
    <x v="191"/>
    <n v="24.99"/>
    <m/>
    <n v="24.99"/>
  </r>
  <r>
    <s v="04/22/2025"/>
    <x v="2"/>
    <x v="24"/>
    <x v="4"/>
    <x v="1"/>
    <x v="202"/>
    <n v="31.98"/>
    <m/>
    <n v="31.98"/>
  </r>
  <r>
    <s v="04/22/2025"/>
    <x v="2"/>
    <x v="24"/>
    <x v="4"/>
    <x v="1"/>
    <x v="192"/>
    <n v="1463.28"/>
    <m/>
    <n v="1463.28"/>
  </r>
  <r>
    <s v="04/23/2025"/>
    <x v="2"/>
    <x v="24"/>
    <x v="4"/>
    <x v="1"/>
    <x v="192"/>
    <n v="254.39"/>
    <m/>
    <n v="254.39"/>
  </r>
  <r>
    <s v="04/24/2025"/>
    <x v="2"/>
    <x v="24"/>
    <x v="4"/>
    <x v="1"/>
    <x v="197"/>
    <n v="184.48"/>
    <m/>
    <n v="184.48"/>
  </r>
  <r>
    <s v="04/24/2025"/>
    <x v="2"/>
    <x v="24"/>
    <x v="4"/>
    <x v="1"/>
    <x v="197"/>
    <n v="178.49"/>
    <m/>
    <n v="178.49"/>
  </r>
  <r>
    <s v="04/27/2025"/>
    <x v="2"/>
    <x v="24"/>
    <x v="4"/>
    <x v="1"/>
    <x v="192"/>
    <n v="898"/>
    <m/>
    <n v="898"/>
  </r>
  <r>
    <s v="04/28/2025"/>
    <x v="2"/>
    <x v="24"/>
    <x v="4"/>
    <x v="1"/>
    <x v="198"/>
    <n v="79.13"/>
    <m/>
    <n v="79.13"/>
  </r>
  <r>
    <s v="05/06/2025"/>
    <x v="3"/>
    <x v="24"/>
    <x v="4"/>
    <x v="1"/>
    <x v="205"/>
    <n v="134.6"/>
    <m/>
    <n v="134.6"/>
  </r>
  <r>
    <s v="05/07/2025"/>
    <x v="3"/>
    <x v="24"/>
    <x v="4"/>
    <x v="1"/>
    <x v="198"/>
    <n v="217.92"/>
    <m/>
    <n v="217.92"/>
  </r>
  <r>
    <s v="05/07/2025"/>
    <x v="3"/>
    <x v="24"/>
    <x v="4"/>
    <x v="1"/>
    <x v="198"/>
    <n v="173.95"/>
    <m/>
    <n v="173.95"/>
  </r>
  <r>
    <s v="05/07/2025"/>
    <x v="3"/>
    <x v="24"/>
    <x v="4"/>
    <x v="1"/>
    <x v="198"/>
    <n v="5"/>
    <m/>
    <n v="5"/>
  </r>
  <r>
    <s v="05/07/2025"/>
    <x v="3"/>
    <x v="24"/>
    <x v="4"/>
    <x v="1"/>
    <x v="198"/>
    <n v="34.950000000000003"/>
    <m/>
    <n v="34.950000000000003"/>
  </r>
  <r>
    <s v="05/08/2025"/>
    <x v="3"/>
    <x v="24"/>
    <x v="4"/>
    <x v="1"/>
    <x v="198"/>
    <n v="6.94"/>
    <m/>
    <n v="6.94"/>
  </r>
  <r>
    <s v="05/08/2025"/>
    <x v="3"/>
    <x v="24"/>
    <x v="4"/>
    <x v="1"/>
    <x v="198"/>
    <n v="6.93"/>
    <m/>
    <n v="6.93"/>
  </r>
  <r>
    <s v="05/09/2025"/>
    <x v="3"/>
    <x v="24"/>
    <x v="4"/>
    <x v="1"/>
    <x v="198"/>
    <n v="6.93"/>
    <m/>
    <n v="6.93"/>
  </r>
  <r>
    <s v="05/09/2025"/>
    <x v="3"/>
    <x v="24"/>
    <x v="4"/>
    <x v="1"/>
    <x v="198"/>
    <n v="6.95"/>
    <m/>
    <n v="6.95"/>
  </r>
  <r>
    <s v="05/10/2025"/>
    <x v="3"/>
    <x v="24"/>
    <x v="4"/>
    <x v="1"/>
    <x v="198"/>
    <n v="6.97"/>
    <m/>
    <n v="6.97"/>
  </r>
  <r>
    <s v="05/11/2025"/>
    <x v="3"/>
    <x v="24"/>
    <x v="4"/>
    <x v="1"/>
    <x v="201"/>
    <n v="361.11"/>
    <m/>
    <n v="361.11"/>
  </r>
  <r>
    <s v="05/12/2025"/>
    <x v="3"/>
    <x v="24"/>
    <x v="4"/>
    <x v="1"/>
    <x v="198"/>
    <n v="7.92"/>
    <m/>
    <n v="7.92"/>
  </r>
  <r>
    <s v="05/12/2025"/>
    <x v="3"/>
    <x v="24"/>
    <x v="4"/>
    <x v="1"/>
    <x v="198"/>
    <n v="6.96"/>
    <m/>
    <n v="6.96"/>
  </r>
  <r>
    <s v="05/13/2025"/>
    <x v="3"/>
    <x v="24"/>
    <x v="4"/>
    <x v="1"/>
    <x v="198"/>
    <n v="6.94"/>
    <m/>
    <n v="6.94"/>
  </r>
  <r>
    <s v="05/13/2025"/>
    <x v="3"/>
    <x v="24"/>
    <x v="4"/>
    <x v="1"/>
    <x v="198"/>
    <n v="7.99"/>
    <m/>
    <n v="7.99"/>
  </r>
  <r>
    <s v="05/14/2025"/>
    <x v="3"/>
    <x v="24"/>
    <x v="4"/>
    <x v="1"/>
    <x v="200"/>
    <n v="882.77"/>
    <m/>
    <n v="882.77"/>
  </r>
  <r>
    <s v="05/19/2025"/>
    <x v="3"/>
    <x v="24"/>
    <x v="4"/>
    <x v="1"/>
    <x v="191"/>
    <n v="24.99"/>
    <m/>
    <n v="24.99"/>
  </r>
  <r>
    <s v="06/17/2025"/>
    <x v="4"/>
    <x v="24"/>
    <x v="4"/>
    <x v="1"/>
    <x v="192"/>
    <n v="1691.4"/>
    <m/>
    <n v="1691.4"/>
  </r>
  <r>
    <s v="06/19/2025"/>
    <x v="4"/>
    <x v="24"/>
    <x v="4"/>
    <x v="1"/>
    <x v="191"/>
    <n v="24.99"/>
    <m/>
    <n v="24.99"/>
  </r>
  <r>
    <s v="07/19/2025"/>
    <x v="5"/>
    <x v="24"/>
    <x v="4"/>
    <x v="1"/>
    <x v="191"/>
    <n v="24.99"/>
    <m/>
    <n v="24.99"/>
  </r>
  <r>
    <s v="07/21/2025"/>
    <x v="5"/>
    <x v="24"/>
    <x v="4"/>
    <x v="1"/>
    <x v="198"/>
    <n v="92.03"/>
    <m/>
    <n v="92.03"/>
  </r>
  <r>
    <s v="08/11/2025"/>
    <x v="6"/>
    <x v="24"/>
    <x v="4"/>
    <x v="1"/>
    <x v="206"/>
    <n v="357.97"/>
    <m/>
    <n v="357.97"/>
  </r>
  <r>
    <s v="08/11/2025"/>
    <x v="6"/>
    <x v="24"/>
    <x v="4"/>
    <x v="1"/>
    <x v="197"/>
    <n v="628.97"/>
    <m/>
    <n v="628.97"/>
  </r>
  <r>
    <s v="08/11/2025"/>
    <x v="6"/>
    <x v="24"/>
    <x v="4"/>
    <x v="1"/>
    <x v="197"/>
    <n v="664.36"/>
    <m/>
    <n v="664.36"/>
  </r>
  <r>
    <s v="08/14/2025"/>
    <x v="6"/>
    <x v="24"/>
    <x v="4"/>
    <x v="1"/>
    <x v="197"/>
    <n v="303.37"/>
    <m/>
    <n v="303.37"/>
  </r>
  <r>
    <s v="08/18/2025"/>
    <x v="6"/>
    <x v="24"/>
    <x v="4"/>
    <x v="1"/>
    <x v="198"/>
    <n v="48.99"/>
    <m/>
    <n v="48.99"/>
  </r>
  <r>
    <s v="08/18/2025"/>
    <x v="6"/>
    <x v="24"/>
    <x v="4"/>
    <x v="1"/>
    <x v="197"/>
    <n v="172"/>
    <m/>
    <n v="172"/>
  </r>
  <r>
    <s v="08/19/2025"/>
    <x v="6"/>
    <x v="24"/>
    <x v="4"/>
    <x v="1"/>
    <x v="191"/>
    <n v="24.99"/>
    <m/>
    <n v="24.99"/>
  </r>
  <r>
    <s v="08/20/2025"/>
    <x v="6"/>
    <x v="24"/>
    <x v="4"/>
    <x v="1"/>
    <x v="207"/>
    <n v="45.13"/>
    <m/>
    <n v="45.13"/>
  </r>
  <r>
    <s v="08/21/2025"/>
    <x v="6"/>
    <x v="24"/>
    <x v="4"/>
    <x v="1"/>
    <x v="159"/>
    <n v="55.03"/>
    <m/>
    <n v="55.03"/>
  </r>
  <r>
    <s v="08/22/2025"/>
    <x v="6"/>
    <x v="24"/>
    <x v="4"/>
    <x v="1"/>
    <x v="197"/>
    <n v="8"/>
    <m/>
    <n v="8"/>
  </r>
  <r>
    <s v="08/28/2025"/>
    <x v="6"/>
    <x v="24"/>
    <x v="4"/>
    <x v="1"/>
    <x v="194"/>
    <n v="215.98"/>
    <m/>
    <n v="215.98"/>
  </r>
  <r>
    <s v="08/30/2025"/>
    <x v="6"/>
    <x v="24"/>
    <x v="4"/>
    <x v="1"/>
    <x v="208"/>
    <n v="38.26"/>
    <m/>
    <n v="38.26"/>
  </r>
  <r>
    <s v="09/06/2025"/>
    <x v="7"/>
    <x v="24"/>
    <x v="4"/>
    <x v="1"/>
    <x v="198"/>
    <n v="8"/>
    <m/>
    <n v="8"/>
  </r>
  <r>
    <s v="09/06/2025"/>
    <x v="7"/>
    <x v="24"/>
    <x v="4"/>
    <x v="1"/>
    <x v="198"/>
    <n v="61.9"/>
    <m/>
    <n v="61.9"/>
  </r>
  <r>
    <s v="09/07/2025"/>
    <x v="7"/>
    <x v="24"/>
    <x v="4"/>
    <x v="1"/>
    <x v="198"/>
    <n v="67.91"/>
    <m/>
    <n v="67.91"/>
  </r>
  <r>
    <s v="09/07/2025"/>
    <x v="7"/>
    <x v="24"/>
    <x v="4"/>
    <x v="1"/>
    <x v="198"/>
    <n v="56.92"/>
    <m/>
    <n v="56.92"/>
  </r>
  <r>
    <s v="09/08/2025"/>
    <x v="7"/>
    <x v="24"/>
    <x v="4"/>
    <x v="1"/>
    <x v="206"/>
    <n v="29.93"/>
    <m/>
    <n v="29.93"/>
  </r>
  <r>
    <s v="09/08/2025"/>
    <x v="7"/>
    <x v="24"/>
    <x v="4"/>
    <x v="1"/>
    <x v="198"/>
    <n v="60"/>
    <m/>
    <n v="60"/>
  </r>
  <r>
    <s v="09/09/2025"/>
    <x v="7"/>
    <x v="24"/>
    <x v="4"/>
    <x v="1"/>
    <x v="193"/>
    <n v="1663.27"/>
    <m/>
    <n v="1663.27"/>
  </r>
  <r>
    <s v="09/09/2025"/>
    <x v="7"/>
    <x v="24"/>
    <x v="4"/>
    <x v="1"/>
    <x v="198"/>
    <n v="109"/>
    <m/>
    <n v="109"/>
  </r>
  <r>
    <s v="09/10/2025"/>
    <x v="7"/>
    <x v="24"/>
    <x v="4"/>
    <x v="1"/>
    <x v="198"/>
    <n v="79.17"/>
    <m/>
    <n v="79.17"/>
  </r>
  <r>
    <s v="09/10/2025"/>
    <x v="7"/>
    <x v="24"/>
    <x v="4"/>
    <x v="1"/>
    <x v="209"/>
    <n v="86.45"/>
    <m/>
    <n v="86.45"/>
  </r>
  <r>
    <s v="09/14/2025"/>
    <x v="7"/>
    <x v="24"/>
    <x v="4"/>
    <x v="1"/>
    <x v="210"/>
    <n v="10"/>
    <m/>
    <n v="10"/>
  </r>
  <r>
    <s v="09/15/2025"/>
    <x v="7"/>
    <x v="24"/>
    <x v="4"/>
    <x v="1"/>
    <x v="198"/>
    <n v="75.33"/>
    <m/>
    <n v="75.33"/>
  </r>
  <r>
    <s v="09/16/2025"/>
    <x v="7"/>
    <x v="24"/>
    <x v="4"/>
    <x v="1"/>
    <x v="197"/>
    <n v="426.95"/>
    <m/>
    <n v="426.95"/>
  </r>
  <r>
    <s v="09/18/2025"/>
    <x v="7"/>
    <x v="24"/>
    <x v="4"/>
    <x v="1"/>
    <x v="211"/>
    <n v="68.36"/>
    <m/>
    <n v="68.36"/>
  </r>
  <r>
    <s v="09/18/2025"/>
    <x v="7"/>
    <x v="24"/>
    <x v="4"/>
    <x v="1"/>
    <x v="212"/>
    <n v="453.36"/>
    <m/>
    <n v="453.36"/>
  </r>
  <r>
    <s v="09/19/2025"/>
    <x v="7"/>
    <x v="24"/>
    <x v="4"/>
    <x v="1"/>
    <x v="191"/>
    <n v="24.99"/>
    <m/>
    <n v="24.99"/>
  </r>
  <r>
    <s v="10/03/2025"/>
    <x v="8"/>
    <x v="24"/>
    <x v="4"/>
    <x v="1"/>
    <x v="2"/>
    <n v="60"/>
    <m/>
    <n v="60"/>
  </r>
  <r>
    <s v="10/06/2025"/>
    <x v="8"/>
    <x v="24"/>
    <x v="4"/>
    <x v="1"/>
    <x v="198"/>
    <n v="53.93"/>
    <m/>
    <n v="53.93"/>
  </r>
  <r>
    <s v="10/07/2025"/>
    <x v="8"/>
    <x v="24"/>
    <x v="4"/>
    <x v="1"/>
    <x v="198"/>
    <n v="11.96"/>
    <m/>
    <n v="11.96"/>
  </r>
  <r>
    <s v="10/07/2025"/>
    <x v="8"/>
    <x v="24"/>
    <x v="4"/>
    <x v="1"/>
    <x v="198"/>
    <n v="74.099999999999994"/>
    <m/>
    <n v="74.099999999999994"/>
  </r>
  <r>
    <s v="10/08/2025"/>
    <x v="8"/>
    <x v="24"/>
    <x v="4"/>
    <x v="1"/>
    <x v="198"/>
    <n v="13.92"/>
    <m/>
    <n v="13.92"/>
  </r>
  <r>
    <s v="10/08/2025"/>
    <x v="8"/>
    <x v="24"/>
    <x v="4"/>
    <x v="1"/>
    <x v="198"/>
    <n v="11.92"/>
    <m/>
    <n v="11.92"/>
  </r>
  <r>
    <s v="10/08/2025"/>
    <x v="8"/>
    <x v="24"/>
    <x v="4"/>
    <x v="1"/>
    <x v="213"/>
    <n v="10"/>
    <m/>
    <n v="10"/>
  </r>
  <r>
    <s v="10/09/2025"/>
    <x v="8"/>
    <x v="24"/>
    <x v="4"/>
    <x v="1"/>
    <x v="198"/>
    <n v="71.33"/>
    <m/>
    <n v="71.33"/>
  </r>
  <r>
    <s v="10/09/2025"/>
    <x v="8"/>
    <x v="24"/>
    <x v="4"/>
    <x v="1"/>
    <x v="198"/>
    <n v="27.27"/>
    <m/>
    <n v="27.27"/>
  </r>
  <r>
    <s v="10/09/2025"/>
    <x v="8"/>
    <x v="24"/>
    <x v="4"/>
    <x v="1"/>
    <x v="214"/>
    <n v="30.99"/>
    <m/>
    <n v="30.99"/>
  </r>
  <r>
    <s v="10/09/2025"/>
    <x v="8"/>
    <x v="24"/>
    <x v="4"/>
    <x v="1"/>
    <x v="198"/>
    <n v="77.97"/>
    <m/>
    <n v="77.97"/>
  </r>
  <r>
    <s v="10/11/2025"/>
    <x v="8"/>
    <x v="24"/>
    <x v="4"/>
    <x v="1"/>
    <x v="198"/>
    <n v="44.12"/>
    <m/>
    <n v="44.12"/>
  </r>
  <r>
    <s v="10/11/2025"/>
    <x v="8"/>
    <x v="24"/>
    <x v="4"/>
    <x v="1"/>
    <x v="198"/>
    <n v="51.58"/>
    <m/>
    <n v="51.58"/>
  </r>
  <r>
    <s v="10/11/2025"/>
    <x v="8"/>
    <x v="24"/>
    <x v="4"/>
    <x v="1"/>
    <x v="213"/>
    <n v="60.32"/>
    <m/>
    <n v="60.32"/>
  </r>
  <r>
    <s v="10/16/2025"/>
    <x v="8"/>
    <x v="24"/>
    <x v="4"/>
    <x v="1"/>
    <x v="215"/>
    <n v="21.86"/>
    <m/>
    <n v="21.86"/>
  </r>
  <r>
    <s v="10/16/2025"/>
    <x v="8"/>
    <x v="24"/>
    <x v="4"/>
    <x v="1"/>
    <x v="197"/>
    <n v="230.96"/>
    <m/>
    <n v="230.96"/>
  </r>
  <r>
    <s v="10/19/2025"/>
    <x v="8"/>
    <x v="24"/>
    <x v="4"/>
    <x v="1"/>
    <x v="191"/>
    <n v="24.99"/>
    <m/>
    <n v="24.99"/>
  </r>
  <r>
    <s v="10/20/2025"/>
    <x v="8"/>
    <x v="24"/>
    <x v="4"/>
    <x v="1"/>
    <x v="213"/>
    <n v="800"/>
    <m/>
    <n v="800"/>
  </r>
  <r>
    <s v="10/28/2025"/>
    <x v="8"/>
    <x v="24"/>
    <x v="4"/>
    <x v="1"/>
    <x v="192"/>
    <n v="999"/>
    <m/>
    <n v="999"/>
  </r>
  <r>
    <s v="11/01/2025"/>
    <x v="9"/>
    <x v="24"/>
    <x v="4"/>
    <x v="1"/>
    <x v="192"/>
    <n v="2397.09"/>
    <m/>
    <n v="2397.09"/>
  </r>
  <r>
    <s v="11/01/2025"/>
    <x v="9"/>
    <x v="24"/>
    <x v="4"/>
    <x v="1"/>
    <x v="192"/>
    <n v="3005.09"/>
    <m/>
    <n v="3005.09"/>
  </r>
  <r>
    <s v="11/01/2025"/>
    <x v="9"/>
    <x v="24"/>
    <x v="4"/>
    <x v="1"/>
    <x v="192"/>
    <n v="3005.09"/>
    <m/>
    <n v="3005.09"/>
  </r>
  <r>
    <s v="11/01/2025"/>
    <x v="9"/>
    <x v="24"/>
    <x v="4"/>
    <x v="1"/>
    <x v="192"/>
    <n v="57"/>
    <m/>
    <n v="57"/>
  </r>
  <r>
    <s v="11/01/2025"/>
    <x v="9"/>
    <x v="24"/>
    <x v="4"/>
    <x v="1"/>
    <x v="192"/>
    <n v="3005.09"/>
    <m/>
    <n v="3005.09"/>
  </r>
  <r>
    <s v="11/01/2025"/>
    <x v="9"/>
    <x v="24"/>
    <x v="4"/>
    <x v="1"/>
    <x v="192"/>
    <n v="29"/>
    <m/>
    <n v="29"/>
  </r>
  <r>
    <s v="11/01/2025"/>
    <x v="9"/>
    <x v="24"/>
    <x v="4"/>
    <x v="1"/>
    <x v="192"/>
    <n v="57"/>
    <m/>
    <n v="57"/>
  </r>
  <r>
    <s v="11/01/2025"/>
    <x v="9"/>
    <x v="24"/>
    <x v="4"/>
    <x v="1"/>
    <x v="192"/>
    <n v="57"/>
    <m/>
    <n v="57"/>
  </r>
  <r>
    <s v="11/05/2025"/>
    <x v="9"/>
    <x v="24"/>
    <x v="4"/>
    <x v="1"/>
    <x v="214"/>
    <n v="31"/>
    <m/>
    <n v="31"/>
  </r>
  <r>
    <s v="11/05/2025"/>
    <x v="9"/>
    <x v="24"/>
    <x v="4"/>
    <x v="1"/>
    <x v="197"/>
    <n v="1032.3599999999999"/>
    <m/>
    <n v="1032.3599999999999"/>
  </r>
  <r>
    <s v="11/05/2025"/>
    <x v="9"/>
    <x v="24"/>
    <x v="4"/>
    <x v="1"/>
    <x v="216"/>
    <n v="13.52"/>
    <m/>
    <n v="13.52"/>
  </r>
  <r>
    <s v="11/05/2025"/>
    <x v="9"/>
    <x v="24"/>
    <x v="4"/>
    <x v="1"/>
    <x v="197"/>
    <n v="377.48"/>
    <m/>
    <n v="377.48"/>
  </r>
  <r>
    <s v="11/06/2025"/>
    <x v="9"/>
    <x v="24"/>
    <x v="4"/>
    <x v="1"/>
    <x v="35"/>
    <n v="20.5"/>
    <m/>
    <n v="20.5"/>
  </r>
  <r>
    <s v="11/06/2025"/>
    <x v="9"/>
    <x v="24"/>
    <x v="4"/>
    <x v="1"/>
    <x v="206"/>
    <n v="271.19"/>
    <m/>
    <n v="271.19"/>
  </r>
  <r>
    <s v="11/07/2025"/>
    <x v="9"/>
    <x v="24"/>
    <x v="4"/>
    <x v="1"/>
    <x v="217"/>
    <n v="474.65"/>
    <m/>
    <n v="474.65"/>
  </r>
  <r>
    <s v="11/10/2025"/>
    <x v="9"/>
    <x v="24"/>
    <x v="4"/>
    <x v="1"/>
    <x v="214"/>
    <n v="31"/>
    <m/>
    <n v="31"/>
  </r>
  <r>
    <s v="11/11/2025"/>
    <x v="9"/>
    <x v="24"/>
    <x v="4"/>
    <x v="1"/>
    <x v="215"/>
    <n v="59.5"/>
    <m/>
    <n v="59.5"/>
  </r>
  <r>
    <s v="11/11/2025"/>
    <x v="9"/>
    <x v="24"/>
    <x v="4"/>
    <x v="1"/>
    <x v="198"/>
    <n v="43.96"/>
    <m/>
    <n v="43.96"/>
  </r>
  <r>
    <s v="11/11/2025"/>
    <x v="9"/>
    <x v="24"/>
    <x v="4"/>
    <x v="1"/>
    <x v="215"/>
    <n v="57.21"/>
    <m/>
    <n v="57.21"/>
  </r>
  <r>
    <s v="11/12/2025"/>
    <x v="9"/>
    <x v="24"/>
    <x v="4"/>
    <x v="1"/>
    <x v="198"/>
    <n v="6.59"/>
    <m/>
    <n v="6.59"/>
  </r>
  <r>
    <s v="11/12/2025"/>
    <x v="9"/>
    <x v="24"/>
    <x v="4"/>
    <x v="1"/>
    <x v="198"/>
    <n v="51.91"/>
    <m/>
    <n v="51.91"/>
  </r>
  <r>
    <s v="11/12/2025"/>
    <x v="9"/>
    <x v="24"/>
    <x v="4"/>
    <x v="1"/>
    <x v="196"/>
    <n v="701.57"/>
    <m/>
    <n v="701.57"/>
  </r>
  <r>
    <s v="11/19/2025"/>
    <x v="9"/>
    <x v="24"/>
    <x v="4"/>
    <x v="1"/>
    <x v="191"/>
    <n v="24.99"/>
    <m/>
    <n v="24.99"/>
  </r>
  <r>
    <s v="11/20/2025"/>
    <x v="9"/>
    <x v="24"/>
    <x v="4"/>
    <x v="1"/>
    <x v="197"/>
    <n v="368.97"/>
    <m/>
    <n v="368.97"/>
  </r>
  <r>
    <s v="11/26/2025"/>
    <x v="9"/>
    <x v="24"/>
    <x v="4"/>
    <x v="1"/>
    <x v="198"/>
    <n v="7.78"/>
    <m/>
    <n v="7.78"/>
  </r>
  <r>
    <s v="11/27/2025"/>
    <x v="9"/>
    <x v="24"/>
    <x v="4"/>
    <x v="1"/>
    <x v="218"/>
    <n v="24.73"/>
    <m/>
    <n v="24.73"/>
  </r>
  <r>
    <s v="11/27/2025"/>
    <x v="9"/>
    <x v="24"/>
    <x v="4"/>
    <x v="1"/>
    <x v="219"/>
    <n v="296.45999999999998"/>
    <m/>
    <n v="296.45999999999998"/>
  </r>
  <r>
    <s v="11/27/2025"/>
    <x v="9"/>
    <x v="24"/>
    <x v="4"/>
    <x v="1"/>
    <x v="159"/>
    <n v="81.069999999999993"/>
    <m/>
    <n v="81.069999999999993"/>
  </r>
  <r>
    <s v="12/01/2025"/>
    <x v="10"/>
    <x v="24"/>
    <x v="4"/>
    <x v="1"/>
    <x v="214"/>
    <n v="52"/>
    <m/>
    <n v="52"/>
  </r>
  <r>
    <s v="12/02/2025"/>
    <x v="10"/>
    <x v="24"/>
    <x v="4"/>
    <x v="1"/>
    <x v="220"/>
    <n v="85.61"/>
    <m/>
    <n v="85.61"/>
  </r>
  <r>
    <s v="12/03/2025"/>
    <x v="10"/>
    <x v="24"/>
    <x v="4"/>
    <x v="1"/>
    <x v="198"/>
    <n v="39.96"/>
    <m/>
    <n v="39.96"/>
  </r>
  <r>
    <s v="12/04/2025"/>
    <x v="10"/>
    <x v="24"/>
    <x v="4"/>
    <x v="1"/>
    <x v="215"/>
    <n v="106.95"/>
    <m/>
    <n v="106.95"/>
  </r>
  <r>
    <s v="12/12/2025"/>
    <x v="10"/>
    <x v="24"/>
    <x v="4"/>
    <x v="1"/>
    <x v="220"/>
    <n v="14.02"/>
    <m/>
    <n v="14.02"/>
  </r>
  <r>
    <s v="12/17/2025"/>
    <x v="10"/>
    <x v="24"/>
    <x v="4"/>
    <x v="1"/>
    <x v="215"/>
    <n v="109.15"/>
    <m/>
    <n v="109.15"/>
  </r>
  <r>
    <s v="12/19/2025"/>
    <x v="10"/>
    <x v="24"/>
    <x v="4"/>
    <x v="1"/>
    <x v="191"/>
    <n v="24.99"/>
    <m/>
    <n v="24.99"/>
  </r>
  <r>
    <s v="12/22/2025"/>
    <x v="10"/>
    <x v="24"/>
    <x v="4"/>
    <x v="1"/>
    <x v="221"/>
    <n v="2.4900000000000002"/>
    <m/>
    <n v="2.4900000000000002"/>
  </r>
  <r>
    <s v="2025-01-02"/>
    <x v="11"/>
    <x v="25"/>
    <x v="0"/>
    <x v="0"/>
    <x v="2"/>
    <n v="210.7"/>
    <m/>
    <n v="210.7"/>
  </r>
  <r>
    <s v="2025-02-10"/>
    <x v="0"/>
    <x v="25"/>
    <x v="0"/>
    <x v="0"/>
    <x v="2"/>
    <n v="197.73"/>
    <m/>
    <n v="197.73"/>
  </r>
  <r>
    <d v="2025-05-07T00:00:00"/>
    <x v="3"/>
    <x v="25"/>
    <x v="0"/>
    <x v="0"/>
    <x v="2"/>
    <n v="203.83"/>
    <m/>
    <n v="203.83"/>
  </r>
  <r>
    <d v="2025-06-11T00:00:00"/>
    <x v="4"/>
    <x v="25"/>
    <x v="0"/>
    <x v="0"/>
    <x v="2"/>
    <n v="212.29"/>
    <m/>
    <n v="212.29"/>
  </r>
  <r>
    <d v="2025-07-02T00:00:00"/>
    <x v="5"/>
    <x v="25"/>
    <x v="0"/>
    <x v="0"/>
    <x v="2"/>
    <n v="125.06"/>
    <m/>
    <n v="125.06"/>
  </r>
  <r>
    <d v="2025-08-01T00:00:00"/>
    <x v="6"/>
    <x v="25"/>
    <x v="0"/>
    <x v="0"/>
    <x v="2"/>
    <n v="174.9"/>
    <m/>
    <n v="174.9"/>
  </r>
  <r>
    <d v="2025-10-02T00:00:00"/>
    <x v="8"/>
    <x v="25"/>
    <x v="0"/>
    <x v="0"/>
    <x v="2"/>
    <n v="354.24"/>
    <m/>
    <n v="354.24"/>
  </r>
  <r>
    <s v="11/13/2025"/>
    <x v="9"/>
    <x v="25"/>
    <x v="0"/>
    <x v="0"/>
    <x v="2"/>
    <n v="236.4"/>
    <m/>
    <n v="236.4"/>
  </r>
  <r>
    <s v="12/05/2025"/>
    <x v="10"/>
    <x v="25"/>
    <x v="0"/>
    <x v="0"/>
    <x v="2"/>
    <n v="118.26"/>
    <m/>
    <n v="118.26"/>
  </r>
  <r>
    <s v="2025-01-23"/>
    <x v="11"/>
    <x v="26"/>
    <x v="8"/>
    <x v="2"/>
    <x v="49"/>
    <n v="137139"/>
    <m/>
    <n v="137139"/>
  </r>
  <r>
    <s v="2025-02-26"/>
    <x v="0"/>
    <x v="26"/>
    <x v="8"/>
    <x v="2"/>
    <x v="49"/>
    <n v="141484"/>
    <m/>
    <n v="141484"/>
  </r>
  <r>
    <n v="45744"/>
    <x v="1"/>
    <x v="26"/>
    <x v="8"/>
    <x v="2"/>
    <x v="49"/>
    <n v="140018"/>
    <m/>
    <n v="140018"/>
  </r>
  <r>
    <d v="2025-04-30T00:00:00"/>
    <x v="2"/>
    <x v="26"/>
    <x v="8"/>
    <x v="2"/>
    <x v="49"/>
    <n v="164649"/>
    <m/>
    <n v="164649"/>
  </r>
  <r>
    <d v="2025-05-28T00:00:00"/>
    <x v="3"/>
    <x v="26"/>
    <x v="8"/>
    <x v="2"/>
    <x v="49"/>
    <n v="151760"/>
    <m/>
    <n v="151760"/>
  </r>
  <r>
    <d v="2025-06-30T00:00:00"/>
    <x v="4"/>
    <x v="26"/>
    <x v="8"/>
    <x v="2"/>
    <x v="49"/>
    <n v="200674"/>
    <m/>
    <n v="200674"/>
  </r>
  <r>
    <d v="2025-07-31T00:00:00"/>
    <x v="5"/>
    <x v="26"/>
    <x v="8"/>
    <x v="2"/>
    <x v="49"/>
    <n v="158956"/>
    <m/>
    <n v="158956"/>
  </r>
  <r>
    <n v="45898"/>
    <x v="6"/>
    <x v="26"/>
    <x v="8"/>
    <x v="2"/>
    <x v="49"/>
    <n v="173054"/>
    <m/>
    <n v="173054"/>
  </r>
  <r>
    <d v="2025-09-30T00:00:00"/>
    <x v="7"/>
    <x v="26"/>
    <x v="8"/>
    <x v="2"/>
    <x v="49"/>
    <n v="187101"/>
    <m/>
    <n v="187101"/>
  </r>
  <r>
    <s v="10/28/2025"/>
    <x v="8"/>
    <x v="26"/>
    <x v="8"/>
    <x v="2"/>
    <x v="49"/>
    <n v="183412"/>
    <m/>
    <n v="183412"/>
  </r>
  <r>
    <s v="11/28/2025"/>
    <x v="9"/>
    <x v="26"/>
    <x v="8"/>
    <x v="2"/>
    <x v="49"/>
    <n v="190966"/>
    <m/>
    <n v="190966"/>
  </r>
  <r>
    <s v="12/31/2025"/>
    <x v="10"/>
    <x v="26"/>
    <x v="8"/>
    <x v="2"/>
    <x v="49"/>
    <n v="187035"/>
    <m/>
    <n v="187035"/>
  </r>
  <r>
    <s v="01/16/2026"/>
    <x v="12"/>
    <x v="0"/>
    <x v="0"/>
    <x v="0"/>
    <x v="2"/>
    <n v="5"/>
    <m/>
    <n v="5"/>
  </r>
  <r>
    <s v="01/16/2026"/>
    <x v="12"/>
    <x v="0"/>
    <x v="0"/>
    <x v="0"/>
    <x v="2"/>
    <n v="1"/>
    <m/>
    <n v="1"/>
  </r>
  <r>
    <s v="01/15/2026"/>
    <x v="12"/>
    <x v="2"/>
    <x v="2"/>
    <x v="2"/>
    <x v="8"/>
    <n v="1688.42"/>
    <m/>
    <n v="1688.42"/>
  </r>
  <r>
    <s v="01/15/2026"/>
    <x v="12"/>
    <x v="2"/>
    <x v="2"/>
    <x v="2"/>
    <x v="18"/>
    <n v="1250"/>
    <m/>
    <n v="1250"/>
  </r>
  <r>
    <s v="01/27/2026"/>
    <x v="12"/>
    <x v="2"/>
    <x v="2"/>
    <x v="2"/>
    <x v="13"/>
    <n v="2195"/>
    <m/>
    <n v="2195"/>
  </r>
  <r>
    <s v="01/30/2026"/>
    <x v="12"/>
    <x v="2"/>
    <x v="2"/>
    <x v="2"/>
    <x v="18"/>
    <n v="1250"/>
    <m/>
    <n v="1250"/>
  </r>
  <r>
    <s v="01/27/2026"/>
    <x v="12"/>
    <x v="26"/>
    <x v="8"/>
    <x v="2"/>
    <x v="49"/>
    <n v="184697"/>
    <m/>
    <n v="184697"/>
  </r>
  <r>
    <s v="01/02/2026"/>
    <x v="12"/>
    <x v="4"/>
    <x v="3"/>
    <x v="2"/>
    <x v="19"/>
    <n v="13.8"/>
    <m/>
    <n v="13.8"/>
  </r>
  <r>
    <s v="01/04/2026"/>
    <x v="12"/>
    <x v="4"/>
    <x v="3"/>
    <x v="2"/>
    <x v="27"/>
    <n v="138.58000000000001"/>
    <m/>
    <n v="138.58000000000001"/>
  </r>
  <r>
    <s v="01/11/2026"/>
    <x v="12"/>
    <x v="4"/>
    <x v="3"/>
    <x v="2"/>
    <x v="22"/>
    <n v="12.77"/>
    <m/>
    <n v="12.77"/>
  </r>
  <r>
    <s v="01/12/2026"/>
    <x v="12"/>
    <x v="4"/>
    <x v="3"/>
    <x v="2"/>
    <x v="24"/>
    <n v="21.01"/>
    <m/>
    <n v="21.01"/>
  </r>
  <r>
    <s v="01/15/2026"/>
    <x v="12"/>
    <x v="4"/>
    <x v="3"/>
    <x v="2"/>
    <x v="22"/>
    <n v="12.77"/>
    <m/>
    <n v="12.77"/>
  </r>
  <r>
    <s v="01/18/2026"/>
    <x v="12"/>
    <x v="4"/>
    <x v="3"/>
    <x v="2"/>
    <x v="21"/>
    <n v="191.52"/>
    <m/>
    <n v="191.52"/>
  </r>
  <r>
    <s v="01/28/2026"/>
    <x v="12"/>
    <x v="4"/>
    <x v="3"/>
    <x v="2"/>
    <x v="19"/>
    <n v="31.86"/>
    <m/>
    <n v="31.86"/>
  </r>
  <r>
    <s v="01/29/2026"/>
    <x v="12"/>
    <x v="4"/>
    <x v="3"/>
    <x v="2"/>
    <x v="23"/>
    <n v="12.78"/>
    <m/>
    <n v="12.78"/>
  </r>
  <r>
    <s v="01/11/2026"/>
    <x v="12"/>
    <x v="5"/>
    <x v="1"/>
    <x v="1"/>
    <x v="36"/>
    <n v="25"/>
    <m/>
    <n v="25"/>
  </r>
  <r>
    <s v="01/11/2026"/>
    <x v="12"/>
    <x v="5"/>
    <x v="1"/>
    <x v="1"/>
    <x v="36"/>
    <n v="35"/>
    <m/>
    <n v="35"/>
  </r>
  <r>
    <s v="01/12/2026"/>
    <x v="12"/>
    <x v="5"/>
    <x v="1"/>
    <x v="1"/>
    <x v="40"/>
    <n v="37.46"/>
    <m/>
    <n v="37.46"/>
  </r>
  <r>
    <s v="01/30/2026"/>
    <x v="12"/>
    <x v="5"/>
    <x v="1"/>
    <x v="1"/>
    <x v="36"/>
    <n v="34.6"/>
    <m/>
    <n v="34.6"/>
  </r>
  <r>
    <s v="01/09/2026"/>
    <x v="12"/>
    <x v="6"/>
    <x v="1"/>
    <x v="1"/>
    <x v="50"/>
    <n v="375"/>
    <m/>
    <n v="375"/>
  </r>
  <r>
    <s v="01/15/2026"/>
    <x v="12"/>
    <x v="6"/>
    <x v="1"/>
    <x v="1"/>
    <x v="50"/>
    <n v="47.5"/>
    <m/>
    <n v="47.5"/>
  </r>
  <r>
    <s v="01/15/2026"/>
    <x v="12"/>
    <x v="6"/>
    <x v="1"/>
    <x v="1"/>
    <x v="49"/>
    <n v="1522.62"/>
    <m/>
    <n v="1522.62"/>
  </r>
  <r>
    <s v="01/21/2026"/>
    <x v="12"/>
    <x v="6"/>
    <x v="1"/>
    <x v="1"/>
    <x v="47"/>
    <n v="2657.68"/>
    <m/>
    <n v="2657.68"/>
  </r>
  <r>
    <s v="01/23/2026"/>
    <x v="12"/>
    <x v="6"/>
    <x v="1"/>
    <x v="1"/>
    <x v="50"/>
    <n v="375"/>
    <m/>
    <n v="375"/>
  </r>
  <r>
    <s v="01/28/2026"/>
    <x v="12"/>
    <x v="6"/>
    <x v="1"/>
    <x v="1"/>
    <x v="49"/>
    <n v="1750"/>
    <m/>
    <n v="1750"/>
  </r>
  <r>
    <s v="01/08/2026"/>
    <x v="12"/>
    <x v="8"/>
    <x v="3"/>
    <x v="2"/>
    <x v="52"/>
    <n v="286.14999999999998"/>
    <m/>
    <n v="286.14999999999998"/>
  </r>
  <r>
    <s v="01/19/2026"/>
    <x v="12"/>
    <x v="8"/>
    <x v="3"/>
    <x v="2"/>
    <x v="53"/>
    <n v="213.15"/>
    <m/>
    <n v="213.15"/>
  </r>
  <r>
    <s v="01/20/2026"/>
    <x v="12"/>
    <x v="9"/>
    <x v="1"/>
    <x v="1"/>
    <x v="57"/>
    <n v="7940.38"/>
    <m/>
    <n v="7940.38"/>
  </r>
  <r>
    <s v="01/09/2026"/>
    <x v="12"/>
    <x v="11"/>
    <x v="5"/>
    <x v="1"/>
    <x v="62"/>
    <n v="15924.26"/>
    <m/>
    <n v="15924.26"/>
  </r>
  <r>
    <s v="01/13/2026"/>
    <x v="12"/>
    <x v="11"/>
    <x v="5"/>
    <x v="1"/>
    <x v="62"/>
    <n v="2473.25"/>
    <m/>
    <n v="2473.25"/>
  </r>
  <r>
    <s v="01/22/2026"/>
    <x v="12"/>
    <x v="11"/>
    <x v="5"/>
    <x v="1"/>
    <x v="62"/>
    <n v="16398.259999999998"/>
    <m/>
    <n v="16398.259999999998"/>
  </r>
  <r>
    <s v="01/27/2026"/>
    <x v="12"/>
    <x v="11"/>
    <x v="5"/>
    <x v="1"/>
    <x v="62"/>
    <n v="2473.25"/>
    <m/>
    <n v="2473.25"/>
  </r>
  <r>
    <s v="01/07/2026"/>
    <x v="12"/>
    <x v="12"/>
    <x v="1"/>
    <x v="1"/>
    <x v="222"/>
    <n v="392.29"/>
    <m/>
    <n v="392.29"/>
  </r>
  <r>
    <s v="01/12/2026"/>
    <x v="12"/>
    <x v="12"/>
    <x v="1"/>
    <x v="1"/>
    <x v="91"/>
    <n v="6.36"/>
    <m/>
    <n v="6.36"/>
  </r>
  <r>
    <s v="01/12/2026"/>
    <x v="12"/>
    <x v="12"/>
    <x v="1"/>
    <x v="1"/>
    <x v="223"/>
    <n v="8.8699999999999992"/>
    <m/>
    <n v="8.8699999999999992"/>
  </r>
  <r>
    <s v="01/13/2026"/>
    <x v="12"/>
    <x v="12"/>
    <x v="1"/>
    <x v="1"/>
    <x v="224"/>
    <n v="29"/>
    <m/>
    <n v="29"/>
  </r>
  <r>
    <s v="01/24/2026"/>
    <x v="12"/>
    <x v="12"/>
    <x v="1"/>
    <x v="1"/>
    <x v="225"/>
    <n v="143.37"/>
    <m/>
    <n v="143.37"/>
  </r>
  <r>
    <s v="01/12/2026"/>
    <x v="12"/>
    <x v="13"/>
    <x v="1"/>
    <x v="1"/>
    <x v="226"/>
    <n v="2.5"/>
    <m/>
    <n v="2.5"/>
  </r>
  <r>
    <s v="01/16/2026"/>
    <x v="12"/>
    <x v="13"/>
    <x v="1"/>
    <x v="1"/>
    <x v="227"/>
    <n v="500"/>
    <m/>
    <n v="500"/>
  </r>
  <r>
    <s v="01/30/2026"/>
    <x v="12"/>
    <x v="13"/>
    <x v="1"/>
    <x v="1"/>
    <x v="64"/>
    <n v="272.05"/>
    <m/>
    <n v="272.05"/>
  </r>
  <r>
    <s v="01/05/2026"/>
    <x v="12"/>
    <x v="15"/>
    <x v="1"/>
    <x v="1"/>
    <x v="62"/>
    <n v="93.31"/>
    <m/>
    <n v="93.31"/>
  </r>
  <r>
    <s v="01/05/2026"/>
    <x v="12"/>
    <x v="15"/>
    <x v="1"/>
    <x v="1"/>
    <x v="62"/>
    <n v="313.85000000000002"/>
    <m/>
    <n v="313.85000000000002"/>
  </r>
  <r>
    <s v="01/12/2026"/>
    <x v="12"/>
    <x v="15"/>
    <x v="1"/>
    <x v="1"/>
    <x v="62"/>
    <n v="17.850000000000001"/>
    <m/>
    <n v="17.850000000000001"/>
  </r>
  <r>
    <s v="01/23/2026"/>
    <x v="12"/>
    <x v="15"/>
    <x v="1"/>
    <x v="1"/>
    <x v="62"/>
    <n v="17.850000000000001"/>
    <m/>
    <n v="17.850000000000001"/>
  </r>
  <r>
    <s v="01/23/2026"/>
    <x v="12"/>
    <x v="15"/>
    <x v="1"/>
    <x v="1"/>
    <x v="62"/>
    <n v="112.4"/>
    <m/>
    <n v="112.4"/>
  </r>
  <r>
    <s v="01/30/2026"/>
    <x v="12"/>
    <x v="15"/>
    <x v="1"/>
    <x v="1"/>
    <x v="62"/>
    <n v="93.31"/>
    <m/>
    <n v="93.31"/>
  </r>
  <r>
    <s v="01/30/2026"/>
    <x v="12"/>
    <x v="15"/>
    <x v="1"/>
    <x v="1"/>
    <x v="62"/>
    <n v="314.08"/>
    <m/>
    <n v="314.08"/>
  </r>
  <r>
    <s v="01/12/2026"/>
    <x v="12"/>
    <x v="16"/>
    <x v="5"/>
    <x v="1"/>
    <x v="62"/>
    <n v="6048.03"/>
    <m/>
    <n v="6048.03"/>
  </r>
  <r>
    <s v="01/23/2026"/>
    <x v="12"/>
    <x v="16"/>
    <x v="5"/>
    <x v="1"/>
    <x v="62"/>
    <n v="5674.53"/>
    <m/>
    <n v="5674.53"/>
  </r>
  <r>
    <s v="01/17/2026"/>
    <x v="12"/>
    <x v="17"/>
    <x v="1"/>
    <x v="1"/>
    <x v="163"/>
    <n v="14.99"/>
    <m/>
    <n v="14.99"/>
  </r>
  <r>
    <s v="01/15/2026"/>
    <x v="12"/>
    <x v="19"/>
    <x v="6"/>
    <x v="2"/>
    <x v="10"/>
    <n v="2000"/>
    <m/>
    <n v="2000"/>
  </r>
  <r>
    <s v="01/02/2026"/>
    <x v="12"/>
    <x v="20"/>
    <x v="7"/>
    <x v="2"/>
    <x v="166"/>
    <n v="127.92"/>
    <m/>
    <n v="127.92"/>
  </r>
  <r>
    <s v="01/18/2026"/>
    <x v="12"/>
    <x v="21"/>
    <x v="4"/>
    <x v="1"/>
    <x v="171"/>
    <n v="1128.52"/>
    <m/>
    <n v="1128.52"/>
  </r>
  <r>
    <s v="01/28/2026"/>
    <x v="12"/>
    <x v="21"/>
    <x v="4"/>
    <x v="1"/>
    <x v="167"/>
    <n v="105.53"/>
    <m/>
    <n v="105.53"/>
  </r>
  <r>
    <s v="01/01/2026"/>
    <x v="12"/>
    <x v="20"/>
    <x v="7"/>
    <x v="2"/>
    <x v="28"/>
    <n v="454.35"/>
    <m/>
    <n v="454.35"/>
  </r>
  <r>
    <s v="01/01/2026"/>
    <x v="12"/>
    <x v="20"/>
    <x v="7"/>
    <x v="2"/>
    <x v="28"/>
    <n v="483.42"/>
    <m/>
    <n v="483.42"/>
  </r>
  <r>
    <s v="01/06/2026"/>
    <x v="12"/>
    <x v="20"/>
    <x v="7"/>
    <x v="2"/>
    <x v="29"/>
    <n v="83.06"/>
    <m/>
    <n v="83.06"/>
  </r>
  <r>
    <s v="01/07/2026"/>
    <x v="12"/>
    <x v="20"/>
    <x v="7"/>
    <x v="2"/>
    <x v="184"/>
    <n v="2168.39"/>
    <m/>
    <n v="2168.39"/>
  </r>
  <r>
    <s v="01/08/2026"/>
    <x v="12"/>
    <x v="20"/>
    <x v="7"/>
    <x v="2"/>
    <x v="175"/>
    <n v="106.6"/>
    <m/>
    <n v="106.6"/>
  </r>
  <r>
    <s v="01/16/2026"/>
    <x v="12"/>
    <x v="20"/>
    <x v="7"/>
    <x v="2"/>
    <x v="175"/>
    <n v="9315.2000000000007"/>
    <m/>
    <n v="9315.2000000000007"/>
  </r>
  <r>
    <s v="01/27/2026"/>
    <x v="12"/>
    <x v="20"/>
    <x v="7"/>
    <x v="2"/>
    <x v="182"/>
    <n v="89.88"/>
    <m/>
    <n v="89.88"/>
  </r>
  <r>
    <s v="01/30/2026"/>
    <x v="12"/>
    <x v="20"/>
    <x v="7"/>
    <x v="2"/>
    <x v="29"/>
    <n v="2132"/>
    <m/>
    <n v="2132"/>
  </r>
  <r>
    <s v="01/03/2026"/>
    <x v="12"/>
    <x v="22"/>
    <x v="3"/>
    <x v="2"/>
    <x v="185"/>
    <n v="2036.8"/>
    <m/>
    <n v="2036.8"/>
  </r>
  <r>
    <s v="01/07/2026"/>
    <x v="12"/>
    <x v="22"/>
    <x v="3"/>
    <x v="2"/>
    <x v="186"/>
    <n v="299.04000000000002"/>
    <m/>
    <n v="299.04000000000002"/>
  </r>
  <r>
    <s v="01/17/2026"/>
    <x v="12"/>
    <x v="23"/>
    <x v="1"/>
    <x v="1"/>
    <x v="189"/>
    <n v="25"/>
    <m/>
    <n v="25"/>
  </r>
  <r>
    <s v="01/07/2026"/>
    <x v="12"/>
    <x v="24"/>
    <x v="4"/>
    <x v="1"/>
    <x v="215"/>
    <n v="155.97999999999999"/>
    <m/>
    <n v="155.97999999999999"/>
  </r>
  <r>
    <s v="01/16/2026"/>
    <x v="12"/>
    <x v="24"/>
    <x v="4"/>
    <x v="1"/>
    <x v="228"/>
    <n v="32.24"/>
    <m/>
    <n v="32.24"/>
  </r>
  <r>
    <s v="01/16/2026"/>
    <x v="12"/>
    <x v="24"/>
    <x v="4"/>
    <x v="1"/>
    <x v="228"/>
    <n v="882"/>
    <m/>
    <n v="882"/>
  </r>
  <r>
    <s v="01/16/2026"/>
    <x v="12"/>
    <x v="24"/>
    <x v="4"/>
    <x v="1"/>
    <x v="228"/>
    <n v="32.24"/>
    <m/>
    <n v="32.24"/>
  </r>
  <r>
    <s v="01/19/2026"/>
    <x v="12"/>
    <x v="24"/>
    <x v="4"/>
    <x v="1"/>
    <x v="191"/>
    <n v="24.99"/>
    <m/>
    <n v="24.99"/>
  </r>
  <r>
    <s v="01/21/2026"/>
    <x v="12"/>
    <x v="24"/>
    <x v="4"/>
    <x v="1"/>
    <x v="214"/>
    <n v="30"/>
    <m/>
    <n v="30"/>
  </r>
  <r>
    <s v="01/22/2026"/>
    <x v="12"/>
    <x v="24"/>
    <x v="4"/>
    <x v="1"/>
    <x v="198"/>
    <n v="18.97"/>
    <m/>
    <n v="18.97"/>
  </r>
  <r>
    <s v="01/22/2026"/>
    <x v="12"/>
    <x v="24"/>
    <x v="4"/>
    <x v="1"/>
    <x v="229"/>
    <n v="13.36"/>
    <m/>
    <n v="13.36"/>
  </r>
  <r>
    <s v="01/22/2026"/>
    <x v="12"/>
    <x v="24"/>
    <x v="4"/>
    <x v="1"/>
    <x v="230"/>
    <n v="202.83"/>
    <m/>
    <n v="202.83"/>
  </r>
  <r>
    <s v="01/23/2026"/>
    <x v="12"/>
    <x v="24"/>
    <x v="4"/>
    <x v="1"/>
    <x v="198"/>
    <n v="23.95"/>
    <m/>
    <n v="23.95"/>
  </r>
  <r>
    <s v="01/23/2026"/>
    <x v="12"/>
    <x v="24"/>
    <x v="4"/>
    <x v="1"/>
    <x v="198"/>
    <n v="64.98"/>
    <m/>
    <n v="64.98"/>
  </r>
  <r>
    <s v="01/23/2026"/>
    <x v="12"/>
    <x v="24"/>
    <x v="4"/>
    <x v="1"/>
    <x v="229"/>
    <n v="5.35"/>
    <m/>
    <n v="5.35"/>
  </r>
  <r>
    <s v="01/24/2026"/>
    <x v="12"/>
    <x v="24"/>
    <x v="4"/>
    <x v="1"/>
    <x v="198"/>
    <n v="11.94"/>
    <m/>
    <n v="11.94"/>
  </r>
  <r>
    <d v="2026-01-05T00:00:00"/>
    <x v="12"/>
    <x v="25"/>
    <x v="0"/>
    <x v="0"/>
    <x v="2"/>
    <n v="162.72"/>
    <m/>
    <n v="162.72"/>
  </r>
  <r>
    <s v="02/01/2026"/>
    <x v="13"/>
    <x v="0"/>
    <x v="0"/>
    <x v="0"/>
    <x v="0"/>
    <n v="195"/>
    <m/>
    <n v="195"/>
  </r>
  <r>
    <s v="02/09/2026"/>
    <x v="13"/>
    <x v="0"/>
    <x v="0"/>
    <x v="0"/>
    <x v="3"/>
    <m/>
    <n v="10"/>
    <n v="-10"/>
  </r>
  <r>
    <s v="02/13/2026"/>
    <x v="13"/>
    <x v="0"/>
    <x v="0"/>
    <x v="0"/>
    <x v="2"/>
    <n v="5"/>
    <m/>
    <n v="5"/>
  </r>
  <r>
    <s v="02/13/2026"/>
    <x v="13"/>
    <x v="0"/>
    <x v="0"/>
    <x v="0"/>
    <x v="3"/>
    <n v="895"/>
    <m/>
    <n v="895"/>
  </r>
  <r>
    <s v="02/20/2026"/>
    <x v="13"/>
    <x v="0"/>
    <x v="0"/>
    <x v="0"/>
    <x v="2"/>
    <n v="5"/>
    <m/>
    <n v="5"/>
  </r>
  <r>
    <s v="02/20/2026"/>
    <x v="13"/>
    <x v="0"/>
    <x v="0"/>
    <x v="0"/>
    <x v="2"/>
    <n v="5"/>
    <m/>
    <n v="5"/>
  </r>
  <r>
    <s v="03/06/2026"/>
    <x v="14"/>
    <x v="0"/>
    <x v="0"/>
    <x v="0"/>
    <x v="2"/>
    <n v="5"/>
    <m/>
    <n v="5"/>
  </r>
  <r>
    <s v="03/06/2026"/>
    <x v="14"/>
    <x v="0"/>
    <x v="0"/>
    <x v="0"/>
    <x v="3"/>
    <m/>
    <n v="10"/>
    <n v="-10"/>
  </r>
  <r>
    <s v="03/24/2026"/>
    <x v="14"/>
    <x v="0"/>
    <x v="0"/>
    <x v="0"/>
    <x v="2"/>
    <n v="1"/>
    <m/>
    <n v="1"/>
  </r>
  <r>
    <s v="03/24/2026"/>
    <x v="14"/>
    <x v="0"/>
    <x v="0"/>
    <x v="0"/>
    <x v="2"/>
    <n v="5"/>
    <m/>
    <n v="5"/>
  </r>
  <r>
    <s v="03/27/2026"/>
    <x v="14"/>
    <x v="0"/>
    <x v="0"/>
    <x v="0"/>
    <x v="2"/>
    <n v="5"/>
    <m/>
    <n v="5"/>
  </r>
  <r>
    <s v="02/16/2026"/>
    <x v="13"/>
    <x v="2"/>
    <x v="2"/>
    <x v="2"/>
    <x v="231"/>
    <n v="163.77000000000001"/>
    <m/>
    <n v="163.77000000000001"/>
  </r>
  <r>
    <s v="02/19/2026"/>
    <x v="13"/>
    <x v="3"/>
    <x v="1"/>
    <x v="1"/>
    <x v="9"/>
    <n v="2500"/>
    <m/>
    <n v="2500"/>
  </r>
  <r>
    <s v="02/26/2026"/>
    <x v="13"/>
    <x v="3"/>
    <x v="1"/>
    <x v="1"/>
    <x v="15"/>
    <n v="3250"/>
    <m/>
    <n v="3250"/>
  </r>
  <r>
    <s v="03/19/2026"/>
    <x v="14"/>
    <x v="2"/>
    <x v="2"/>
    <x v="2"/>
    <x v="232"/>
    <n v="75"/>
    <m/>
    <n v="75"/>
  </r>
  <r>
    <s v="03/23/2026"/>
    <x v="14"/>
    <x v="3"/>
    <x v="1"/>
    <x v="1"/>
    <x v="9"/>
    <n v="2500"/>
    <m/>
    <n v="2500"/>
  </r>
  <r>
    <s v="02/28/2026"/>
    <x v="13"/>
    <x v="26"/>
    <x v="8"/>
    <x v="2"/>
    <x v="49"/>
    <n v="184916"/>
    <m/>
    <n v="184916"/>
  </r>
  <r>
    <s v="03/31/2026"/>
    <x v="14"/>
    <x v="26"/>
    <x v="8"/>
    <x v="2"/>
    <x v="49"/>
    <n v="123319"/>
    <m/>
    <n v="123319"/>
  </r>
  <r>
    <s v="03/31/2026"/>
    <x v="14"/>
    <x v="26"/>
    <x v="8"/>
    <x v="2"/>
    <x v="49"/>
    <m/>
    <n v="48000"/>
    <n v="-48000"/>
  </r>
  <r>
    <s v="02/02/2026"/>
    <x v="13"/>
    <x v="4"/>
    <x v="3"/>
    <x v="2"/>
    <x v="19"/>
    <n v="13.8"/>
    <m/>
    <n v="13.8"/>
  </r>
  <r>
    <s v="02/04/2026"/>
    <x v="13"/>
    <x v="4"/>
    <x v="3"/>
    <x v="2"/>
    <x v="27"/>
    <n v="138.58000000000001"/>
    <m/>
    <n v="138.58000000000001"/>
  </r>
  <r>
    <s v="02/11/2026"/>
    <x v="13"/>
    <x v="4"/>
    <x v="3"/>
    <x v="2"/>
    <x v="22"/>
    <n v="12.77"/>
    <m/>
    <n v="12.77"/>
  </r>
  <r>
    <s v="02/12/2026"/>
    <x v="13"/>
    <x v="4"/>
    <x v="3"/>
    <x v="2"/>
    <x v="24"/>
    <n v="21.01"/>
    <m/>
    <n v="21.01"/>
  </r>
  <r>
    <s v="02/15/2026"/>
    <x v="13"/>
    <x v="4"/>
    <x v="3"/>
    <x v="2"/>
    <x v="22"/>
    <n v="12.77"/>
    <m/>
    <n v="12.77"/>
  </r>
  <r>
    <s v="02/16/2026"/>
    <x v="13"/>
    <x v="4"/>
    <x v="3"/>
    <x v="2"/>
    <x v="20"/>
    <n v="21.32"/>
    <m/>
    <n v="21.32"/>
  </r>
  <r>
    <s v="02/18/2026"/>
    <x v="13"/>
    <x v="4"/>
    <x v="3"/>
    <x v="2"/>
    <x v="21"/>
    <n v="159.6"/>
    <m/>
    <n v="159.6"/>
  </r>
  <r>
    <s v="02/28/2026"/>
    <x v="13"/>
    <x v="4"/>
    <x v="3"/>
    <x v="2"/>
    <x v="23"/>
    <n v="12.78"/>
    <m/>
    <n v="12.78"/>
  </r>
  <r>
    <s v="03/02/2026"/>
    <x v="14"/>
    <x v="4"/>
    <x v="3"/>
    <x v="2"/>
    <x v="19"/>
    <n v="13.8"/>
    <m/>
    <n v="13.8"/>
  </r>
  <r>
    <s v="03/04/2026"/>
    <x v="14"/>
    <x v="4"/>
    <x v="3"/>
    <x v="2"/>
    <x v="27"/>
    <n v="138.58000000000001"/>
    <m/>
    <n v="138.58000000000001"/>
  </r>
  <r>
    <s v="03/11/2026"/>
    <x v="14"/>
    <x v="4"/>
    <x v="3"/>
    <x v="2"/>
    <x v="22"/>
    <n v="12.77"/>
    <m/>
    <n v="12.77"/>
  </r>
  <r>
    <s v="03/12/2026"/>
    <x v="14"/>
    <x v="4"/>
    <x v="3"/>
    <x v="2"/>
    <x v="24"/>
    <n v="21.01"/>
    <m/>
    <n v="21.01"/>
  </r>
  <r>
    <s v="03/15/2026"/>
    <x v="14"/>
    <x v="4"/>
    <x v="3"/>
    <x v="2"/>
    <x v="22"/>
    <n v="12.77"/>
    <m/>
    <n v="12.77"/>
  </r>
  <r>
    <s v="03/16/2026"/>
    <x v="14"/>
    <x v="4"/>
    <x v="3"/>
    <x v="2"/>
    <x v="20"/>
    <n v="21.32"/>
    <m/>
    <n v="21.32"/>
  </r>
  <r>
    <s v="03/18/2026"/>
    <x v="14"/>
    <x v="4"/>
    <x v="3"/>
    <x v="2"/>
    <x v="21"/>
    <n v="159.6"/>
    <m/>
    <n v="159.6"/>
  </r>
  <r>
    <s v="03/20/2026"/>
    <x v="14"/>
    <x v="4"/>
    <x v="3"/>
    <x v="2"/>
    <x v="26"/>
    <n v="66.569999999999993"/>
    <m/>
    <n v="66.569999999999993"/>
  </r>
  <r>
    <s v="03/29/2026"/>
    <x v="14"/>
    <x v="4"/>
    <x v="3"/>
    <x v="2"/>
    <x v="23"/>
    <n v="12.78"/>
    <m/>
    <n v="12.78"/>
  </r>
  <r>
    <s v="02/11/2026"/>
    <x v="13"/>
    <x v="5"/>
    <x v="1"/>
    <x v="1"/>
    <x v="37"/>
    <n v="75.760000000000005"/>
    <m/>
    <n v="75.760000000000005"/>
  </r>
  <r>
    <s v="02/28/2026"/>
    <x v="13"/>
    <x v="5"/>
    <x v="1"/>
    <x v="1"/>
    <x v="35"/>
    <n v="49.41"/>
    <m/>
    <n v="49.41"/>
  </r>
  <r>
    <s v="03/02/2026"/>
    <x v="14"/>
    <x v="5"/>
    <x v="1"/>
    <x v="1"/>
    <x v="36"/>
    <n v="40.1"/>
    <m/>
    <n v="40.1"/>
  </r>
  <r>
    <s v="03/21/2026"/>
    <x v="14"/>
    <x v="5"/>
    <x v="1"/>
    <x v="1"/>
    <x v="36"/>
    <n v="56.7"/>
    <m/>
    <n v="56.7"/>
  </r>
  <r>
    <s v="03/24/2026"/>
    <x v="14"/>
    <x v="5"/>
    <x v="1"/>
    <x v="1"/>
    <x v="36"/>
    <n v="50.91"/>
    <m/>
    <n v="50.91"/>
  </r>
  <r>
    <s v="02/03/2026"/>
    <x v="13"/>
    <x v="6"/>
    <x v="1"/>
    <x v="1"/>
    <x v="49"/>
    <n v="557.46"/>
    <m/>
    <n v="557.46"/>
  </r>
  <r>
    <s v="02/06/2026"/>
    <x v="13"/>
    <x v="6"/>
    <x v="1"/>
    <x v="1"/>
    <x v="50"/>
    <n v="335"/>
    <m/>
    <n v="335"/>
  </r>
  <r>
    <s v="02/15/2026"/>
    <x v="13"/>
    <x v="6"/>
    <x v="1"/>
    <x v="1"/>
    <x v="50"/>
    <n v="47.5"/>
    <m/>
    <n v="47.5"/>
  </r>
  <r>
    <s v="02/18/2026"/>
    <x v="13"/>
    <x v="6"/>
    <x v="1"/>
    <x v="1"/>
    <x v="49"/>
    <n v="2307.46"/>
    <m/>
    <n v="2307.46"/>
  </r>
  <r>
    <s v="02/20/2026"/>
    <x v="13"/>
    <x v="6"/>
    <x v="1"/>
    <x v="1"/>
    <x v="50"/>
    <n v="335"/>
    <m/>
    <n v="335"/>
  </r>
  <r>
    <s v="03/05/2026"/>
    <x v="14"/>
    <x v="6"/>
    <x v="1"/>
    <x v="1"/>
    <x v="49"/>
    <n v="2307.46"/>
    <m/>
    <n v="2307.46"/>
  </r>
  <r>
    <s v="03/06/2026"/>
    <x v="14"/>
    <x v="6"/>
    <x v="1"/>
    <x v="1"/>
    <x v="50"/>
    <n v="335"/>
    <m/>
    <n v="335"/>
  </r>
  <r>
    <s v="03/16/2026"/>
    <x v="14"/>
    <x v="6"/>
    <x v="1"/>
    <x v="1"/>
    <x v="50"/>
    <n v="47.5"/>
    <m/>
    <n v="47.5"/>
  </r>
  <r>
    <s v="03/20/2026"/>
    <x v="14"/>
    <x v="6"/>
    <x v="1"/>
    <x v="1"/>
    <x v="50"/>
    <n v="335"/>
    <m/>
    <n v="335"/>
  </r>
  <r>
    <s v="03/26/2026"/>
    <x v="14"/>
    <x v="6"/>
    <x v="1"/>
    <x v="1"/>
    <x v="47"/>
    <n v="6628.13"/>
    <m/>
    <n v="6628.13"/>
  </r>
  <r>
    <s v="02/02/2026"/>
    <x v="13"/>
    <x v="7"/>
    <x v="0"/>
    <x v="0"/>
    <x v="2"/>
    <n v="2360.4"/>
    <m/>
    <n v="2360.4"/>
  </r>
  <r>
    <s v="03/02/2026"/>
    <x v="14"/>
    <x v="7"/>
    <x v="0"/>
    <x v="0"/>
    <x v="2"/>
    <n v="2360.4"/>
    <m/>
    <n v="2360.4"/>
  </r>
  <r>
    <s v="02/12/2026"/>
    <x v="13"/>
    <x v="8"/>
    <x v="3"/>
    <x v="2"/>
    <x v="52"/>
    <n v="292.99"/>
    <m/>
    <n v="292.99"/>
  </r>
  <r>
    <s v="02/19/2026"/>
    <x v="13"/>
    <x v="8"/>
    <x v="3"/>
    <x v="2"/>
    <x v="53"/>
    <n v="213.15"/>
    <m/>
    <n v="213.15"/>
  </r>
  <r>
    <s v="03/10/2026"/>
    <x v="14"/>
    <x v="8"/>
    <x v="3"/>
    <x v="2"/>
    <x v="52"/>
    <n v="287.5"/>
    <m/>
    <n v="287.5"/>
  </r>
  <r>
    <s v="03/19/2026"/>
    <x v="14"/>
    <x v="8"/>
    <x v="3"/>
    <x v="2"/>
    <x v="53"/>
    <n v="213.15"/>
    <m/>
    <n v="213.15"/>
  </r>
  <r>
    <s v="02/19/2026"/>
    <x v="13"/>
    <x v="9"/>
    <x v="1"/>
    <x v="1"/>
    <x v="57"/>
    <n v="4519.21"/>
    <m/>
    <n v="4519.21"/>
  </r>
  <r>
    <s v="03/19/2026"/>
    <x v="14"/>
    <x v="9"/>
    <x v="1"/>
    <x v="1"/>
    <x v="57"/>
    <n v="3875.8"/>
    <m/>
    <n v="3875.8"/>
  </r>
  <r>
    <s v="03/20/2026"/>
    <x v="14"/>
    <x v="9"/>
    <x v="1"/>
    <x v="1"/>
    <x v="55"/>
    <n v="100"/>
    <m/>
    <n v="100"/>
  </r>
  <r>
    <s v="02/05/2026"/>
    <x v="13"/>
    <x v="11"/>
    <x v="5"/>
    <x v="1"/>
    <x v="62"/>
    <n v="17154.86"/>
    <m/>
    <n v="17154.86"/>
  </r>
  <r>
    <s v="02/10/2026"/>
    <x v="13"/>
    <x v="11"/>
    <x v="5"/>
    <x v="1"/>
    <x v="62"/>
    <n v="1913.75"/>
    <m/>
    <n v="1913.75"/>
  </r>
  <r>
    <s v="02/19/2026"/>
    <x v="13"/>
    <x v="11"/>
    <x v="5"/>
    <x v="1"/>
    <x v="62"/>
    <n v="7474.53"/>
    <m/>
    <n v="7474.53"/>
  </r>
  <r>
    <s v="02/24/2026"/>
    <x v="13"/>
    <x v="11"/>
    <x v="5"/>
    <x v="1"/>
    <x v="62"/>
    <n v="1588.75"/>
    <m/>
    <n v="1588.75"/>
  </r>
  <r>
    <s v="03/05/2026"/>
    <x v="14"/>
    <x v="11"/>
    <x v="5"/>
    <x v="1"/>
    <x v="62"/>
    <n v="7530.53"/>
    <m/>
    <n v="7530.53"/>
  </r>
  <r>
    <s v="03/10/2026"/>
    <x v="14"/>
    <x v="11"/>
    <x v="5"/>
    <x v="1"/>
    <x v="62"/>
    <n v="1588.75"/>
    <m/>
    <n v="1588.75"/>
  </r>
  <r>
    <s v="03/19/2026"/>
    <x v="14"/>
    <x v="11"/>
    <x v="5"/>
    <x v="1"/>
    <x v="62"/>
    <n v="6702.87"/>
    <m/>
    <n v="6702.87"/>
  </r>
  <r>
    <s v="03/24/2026"/>
    <x v="14"/>
    <x v="11"/>
    <x v="5"/>
    <x v="1"/>
    <x v="62"/>
    <n v="1588.75"/>
    <m/>
    <n v="1588.75"/>
  </r>
  <r>
    <s v="03/24/2026"/>
    <x v="14"/>
    <x v="11"/>
    <x v="5"/>
    <x v="1"/>
    <x v="62"/>
    <n v="10.86"/>
    <m/>
    <n v="10.86"/>
  </r>
  <r>
    <s v="02/12/2026"/>
    <x v="13"/>
    <x v="12"/>
    <x v="1"/>
    <x v="1"/>
    <x v="233"/>
    <n v="14.04"/>
    <m/>
    <n v="14.04"/>
  </r>
  <r>
    <s v="02/13/2026"/>
    <x v="13"/>
    <x v="12"/>
    <x v="1"/>
    <x v="1"/>
    <x v="100"/>
    <n v="105.01"/>
    <m/>
    <n v="105.01"/>
  </r>
  <r>
    <s v="02/15/2026"/>
    <x v="13"/>
    <x v="12"/>
    <x v="1"/>
    <x v="1"/>
    <x v="234"/>
    <n v="65.95"/>
    <m/>
    <n v="65.95"/>
  </r>
  <r>
    <s v="02/16/2026"/>
    <x v="13"/>
    <x v="12"/>
    <x v="1"/>
    <x v="1"/>
    <x v="235"/>
    <n v="23.51"/>
    <m/>
    <n v="23.51"/>
  </r>
  <r>
    <s v="02/17/2026"/>
    <x v="13"/>
    <x v="12"/>
    <x v="1"/>
    <x v="1"/>
    <x v="73"/>
    <n v="221.32"/>
    <m/>
    <n v="221.32"/>
  </r>
  <r>
    <s v="02/17/2026"/>
    <x v="13"/>
    <x v="12"/>
    <x v="1"/>
    <x v="1"/>
    <x v="83"/>
    <n v="18.13"/>
    <m/>
    <n v="18.13"/>
  </r>
  <r>
    <s v="02/18/2026"/>
    <x v="13"/>
    <x v="12"/>
    <x v="1"/>
    <x v="1"/>
    <x v="84"/>
    <n v="19.260000000000002"/>
    <m/>
    <n v="19.260000000000002"/>
  </r>
  <r>
    <s v="02/18/2026"/>
    <x v="13"/>
    <x v="12"/>
    <x v="1"/>
    <x v="1"/>
    <x v="91"/>
    <n v="7.42"/>
    <m/>
    <n v="7.42"/>
  </r>
  <r>
    <s v="02/18/2026"/>
    <x v="13"/>
    <x v="12"/>
    <x v="1"/>
    <x v="1"/>
    <x v="236"/>
    <n v="231.9"/>
    <m/>
    <n v="231.9"/>
  </r>
  <r>
    <s v="02/19/2026"/>
    <x v="13"/>
    <x v="12"/>
    <x v="1"/>
    <x v="1"/>
    <x v="144"/>
    <n v="10.29"/>
    <m/>
    <n v="10.29"/>
  </r>
  <r>
    <s v="03/03/2026"/>
    <x v="14"/>
    <x v="12"/>
    <x v="1"/>
    <x v="1"/>
    <x v="84"/>
    <n v="44.44"/>
    <m/>
    <n v="44.44"/>
  </r>
  <r>
    <s v="03/04/2026"/>
    <x v="14"/>
    <x v="12"/>
    <x v="1"/>
    <x v="1"/>
    <x v="77"/>
    <n v="45.72"/>
    <m/>
    <n v="45.72"/>
  </r>
  <r>
    <s v="03/26/2026"/>
    <x v="14"/>
    <x v="12"/>
    <x v="1"/>
    <x v="1"/>
    <x v="237"/>
    <n v="59.92"/>
    <m/>
    <n v="59.92"/>
  </r>
  <r>
    <s v="02/02/2026"/>
    <x v="13"/>
    <x v="13"/>
    <x v="1"/>
    <x v="1"/>
    <x v="64"/>
    <n v="53.66"/>
    <m/>
    <n v="53.66"/>
  </r>
  <r>
    <s v="02/20/2026"/>
    <x v="13"/>
    <x v="13"/>
    <x v="1"/>
    <x v="1"/>
    <x v="153"/>
    <n v="11.21"/>
    <m/>
    <n v="11.21"/>
  </r>
  <r>
    <s v="03/05/2026"/>
    <x v="14"/>
    <x v="13"/>
    <x v="1"/>
    <x v="1"/>
    <x v="79"/>
    <n v="40.39"/>
    <m/>
    <n v="40.39"/>
  </r>
  <r>
    <s v="02/04/2026"/>
    <x v="13"/>
    <x v="15"/>
    <x v="1"/>
    <x v="1"/>
    <x v="62"/>
    <n v="151.03"/>
    <m/>
    <n v="151.03"/>
  </r>
  <r>
    <s v="02/06/2026"/>
    <x v="13"/>
    <x v="15"/>
    <x v="1"/>
    <x v="1"/>
    <x v="62"/>
    <n v="17.850000000000001"/>
    <m/>
    <n v="17.850000000000001"/>
  </r>
  <r>
    <s v="02/11/2026"/>
    <x v="13"/>
    <x v="15"/>
    <x v="1"/>
    <x v="1"/>
    <x v="62"/>
    <m/>
    <n v="10"/>
    <n v="-9.92"/>
  </r>
  <r>
    <s v="02/13/2026"/>
    <x v="13"/>
    <x v="15"/>
    <x v="1"/>
    <x v="1"/>
    <x v="62"/>
    <n v="93.31"/>
    <m/>
    <n v="93.31"/>
  </r>
  <r>
    <s v="02/20/2026"/>
    <x v="13"/>
    <x v="15"/>
    <x v="1"/>
    <x v="1"/>
    <x v="62"/>
    <n v="8.85"/>
    <m/>
    <n v="8.85"/>
  </r>
  <r>
    <s v="02/20/2026"/>
    <x v="13"/>
    <x v="15"/>
    <x v="1"/>
    <x v="1"/>
    <x v="62"/>
    <n v="119.09"/>
    <m/>
    <n v="119.09"/>
  </r>
  <r>
    <s v="02/27/2026"/>
    <x v="13"/>
    <x v="15"/>
    <x v="1"/>
    <x v="1"/>
    <x v="62"/>
    <n v="87.81"/>
    <m/>
    <n v="87.81"/>
  </r>
  <r>
    <s v="03/06/2026"/>
    <x v="14"/>
    <x v="15"/>
    <x v="1"/>
    <x v="1"/>
    <x v="62"/>
    <n v="310.89999999999998"/>
    <m/>
    <n v="310.89999999999998"/>
  </r>
  <r>
    <s v="03/06/2026"/>
    <x v="14"/>
    <x v="15"/>
    <x v="1"/>
    <x v="1"/>
    <x v="62"/>
    <n v="8.85"/>
    <m/>
    <n v="8.85"/>
  </r>
  <r>
    <s v="03/13/2026"/>
    <x v="14"/>
    <x v="15"/>
    <x v="1"/>
    <x v="1"/>
    <x v="62"/>
    <n v="87.81"/>
    <m/>
    <n v="87.81"/>
  </r>
  <r>
    <s v="03/20/2026"/>
    <x v="14"/>
    <x v="15"/>
    <x v="1"/>
    <x v="1"/>
    <x v="62"/>
    <n v="17.18"/>
    <m/>
    <n v="17.18"/>
  </r>
  <r>
    <s v="03/27/2026"/>
    <x v="14"/>
    <x v="15"/>
    <x v="1"/>
    <x v="1"/>
    <x v="62"/>
    <n v="183.11"/>
    <m/>
    <n v="183.11"/>
  </r>
  <r>
    <s v="02/06/2026"/>
    <x v="13"/>
    <x v="16"/>
    <x v="5"/>
    <x v="1"/>
    <x v="62"/>
    <n v="5460.69"/>
    <m/>
    <n v="5460.69"/>
  </r>
  <r>
    <s v="02/20/2026"/>
    <x v="13"/>
    <x v="16"/>
    <x v="5"/>
    <x v="1"/>
    <x v="62"/>
    <n v="1895.87"/>
    <m/>
    <n v="1895.87"/>
  </r>
  <r>
    <s v="03/06/2026"/>
    <x v="14"/>
    <x v="16"/>
    <x v="5"/>
    <x v="1"/>
    <x v="62"/>
    <n v="1886.27"/>
    <m/>
    <n v="1886.27"/>
  </r>
  <r>
    <s v="03/20/2026"/>
    <x v="14"/>
    <x v="16"/>
    <x v="5"/>
    <x v="1"/>
    <x v="62"/>
    <n v="40.46"/>
    <m/>
    <n v="40.46"/>
  </r>
  <r>
    <s v="03/20/2026"/>
    <x v="14"/>
    <x v="16"/>
    <x v="5"/>
    <x v="1"/>
    <x v="62"/>
    <n v="1837.67"/>
    <m/>
    <n v="1837.67"/>
  </r>
  <r>
    <s v="02/17/2026"/>
    <x v="13"/>
    <x v="17"/>
    <x v="1"/>
    <x v="1"/>
    <x v="163"/>
    <n v="14.99"/>
    <m/>
    <n v="14.99"/>
  </r>
  <r>
    <s v="03/17/2026"/>
    <x v="14"/>
    <x v="17"/>
    <x v="1"/>
    <x v="1"/>
    <x v="163"/>
    <n v="14.99"/>
    <m/>
    <n v="14.99"/>
  </r>
  <r>
    <s v="03/25/2026"/>
    <x v="14"/>
    <x v="18"/>
    <x v="1"/>
    <x v="1"/>
    <x v="238"/>
    <n v="227.63"/>
    <m/>
    <n v="227.63"/>
  </r>
  <r>
    <s v="03/27/2026"/>
    <x v="14"/>
    <x v="18"/>
    <x v="1"/>
    <x v="1"/>
    <x v="238"/>
    <n v="289"/>
    <m/>
    <n v="289"/>
  </r>
  <r>
    <s v="03/23/2026"/>
    <x v="14"/>
    <x v="19"/>
    <x v="6"/>
    <x v="2"/>
    <x v="10"/>
    <n v="1000"/>
    <m/>
    <n v="1000"/>
  </r>
  <r>
    <s v="02/02/2026"/>
    <x v="13"/>
    <x v="20"/>
    <x v="7"/>
    <x v="2"/>
    <x v="166"/>
    <n v="127.92"/>
    <m/>
    <n v="127.92"/>
  </r>
  <r>
    <s v="02/17/2026"/>
    <x v="13"/>
    <x v="21"/>
    <x v="4"/>
    <x v="1"/>
    <x v="171"/>
    <n v="955"/>
    <m/>
    <n v="955"/>
  </r>
  <r>
    <s v="02/28/2026"/>
    <x v="13"/>
    <x v="21"/>
    <x v="4"/>
    <x v="1"/>
    <x v="167"/>
    <n v="105.53"/>
    <m/>
    <n v="105.53"/>
  </r>
  <r>
    <s v="03/02/2026"/>
    <x v="14"/>
    <x v="20"/>
    <x v="7"/>
    <x v="2"/>
    <x v="166"/>
    <n v="127.92"/>
    <m/>
    <n v="127.92"/>
  </r>
  <r>
    <s v="03/18/2026"/>
    <x v="14"/>
    <x v="21"/>
    <x v="4"/>
    <x v="1"/>
    <x v="171"/>
    <n v="955"/>
    <m/>
    <n v="955"/>
  </r>
  <r>
    <s v="03/28/2026"/>
    <x v="14"/>
    <x v="21"/>
    <x v="4"/>
    <x v="1"/>
    <x v="167"/>
    <n v="105.53"/>
    <m/>
    <n v="105.53"/>
  </r>
  <r>
    <s v="03/29/2026"/>
    <x v="14"/>
    <x v="20"/>
    <x v="7"/>
    <x v="2"/>
    <x v="168"/>
    <n v="22.45"/>
    <m/>
    <n v="22.45"/>
  </r>
  <r>
    <s v="02/01/2026"/>
    <x v="13"/>
    <x v="20"/>
    <x v="7"/>
    <x v="2"/>
    <x v="184"/>
    <n v="2168.39"/>
    <m/>
    <n v="2168.39"/>
  </r>
  <r>
    <s v="02/01/2026"/>
    <x v="13"/>
    <x v="20"/>
    <x v="7"/>
    <x v="2"/>
    <x v="28"/>
    <n v="438.27"/>
    <m/>
    <n v="438.27"/>
  </r>
  <r>
    <s v="02/01/2026"/>
    <x v="13"/>
    <x v="20"/>
    <x v="7"/>
    <x v="2"/>
    <x v="28"/>
    <n v="563.52"/>
    <m/>
    <n v="563.52"/>
  </r>
  <r>
    <s v="02/02/2026"/>
    <x v="13"/>
    <x v="20"/>
    <x v="7"/>
    <x v="2"/>
    <x v="28"/>
    <n v="13.51"/>
    <m/>
    <n v="13.51"/>
  </r>
  <r>
    <s v="02/05/2026"/>
    <x v="13"/>
    <x v="20"/>
    <x v="7"/>
    <x v="2"/>
    <x v="29"/>
    <n v="62.63"/>
    <m/>
    <n v="62.63"/>
  </r>
  <r>
    <s v="02/09/2026"/>
    <x v="13"/>
    <x v="20"/>
    <x v="7"/>
    <x v="2"/>
    <x v="175"/>
    <n v="106.6"/>
    <m/>
    <n v="106.6"/>
  </r>
  <r>
    <s v="02/18/2026"/>
    <x v="13"/>
    <x v="20"/>
    <x v="7"/>
    <x v="2"/>
    <x v="175"/>
    <n v="13312.77"/>
    <m/>
    <n v="13312.77"/>
  </r>
  <r>
    <s v="03/01/2026"/>
    <x v="14"/>
    <x v="20"/>
    <x v="7"/>
    <x v="2"/>
    <x v="28"/>
    <n v="656.99"/>
    <m/>
    <n v="656.99"/>
  </r>
  <r>
    <s v="03/01/2026"/>
    <x v="14"/>
    <x v="20"/>
    <x v="7"/>
    <x v="2"/>
    <x v="184"/>
    <n v="2168.39"/>
    <m/>
    <n v="2168.39"/>
  </r>
  <r>
    <s v="03/03/2026"/>
    <x v="14"/>
    <x v="20"/>
    <x v="7"/>
    <x v="2"/>
    <x v="239"/>
    <n v="37.5"/>
    <m/>
    <n v="37.5"/>
  </r>
  <r>
    <s v="03/04/2026"/>
    <x v="14"/>
    <x v="20"/>
    <x v="7"/>
    <x v="2"/>
    <x v="29"/>
    <n v="1095.82"/>
    <m/>
    <n v="1095.82"/>
  </r>
  <r>
    <s v="03/05/2026"/>
    <x v="14"/>
    <x v="20"/>
    <x v="7"/>
    <x v="2"/>
    <x v="29"/>
    <n v="26.65"/>
    <m/>
    <n v="26.65"/>
  </r>
  <r>
    <s v="03/05/2026"/>
    <x v="14"/>
    <x v="20"/>
    <x v="7"/>
    <x v="2"/>
    <x v="29"/>
    <n v="1074.3"/>
    <m/>
    <n v="1074.3"/>
  </r>
  <r>
    <s v="03/09/2026"/>
    <x v="14"/>
    <x v="20"/>
    <x v="7"/>
    <x v="2"/>
    <x v="175"/>
    <n v="106.6"/>
    <m/>
    <n v="106.6"/>
  </r>
  <r>
    <s v="03/18/2026"/>
    <x v="14"/>
    <x v="20"/>
    <x v="7"/>
    <x v="2"/>
    <x v="175"/>
    <n v="18857.03"/>
    <m/>
    <n v="18857.03"/>
  </r>
  <r>
    <s v="03/18/2026"/>
    <x v="14"/>
    <x v="20"/>
    <x v="7"/>
    <x v="2"/>
    <x v="240"/>
    <n v="5000"/>
    <m/>
    <n v="5000"/>
  </r>
  <r>
    <s v="03/25/2026"/>
    <x v="14"/>
    <x v="20"/>
    <x v="7"/>
    <x v="2"/>
    <x v="184"/>
    <n v="128.46"/>
    <m/>
    <n v="128.46"/>
  </r>
  <r>
    <s v="02/09/2026"/>
    <x v="13"/>
    <x v="22"/>
    <x v="3"/>
    <x v="2"/>
    <x v="186"/>
    <n v="296.62"/>
    <m/>
    <n v="296.62"/>
  </r>
  <r>
    <s v="02/09/2026"/>
    <x v="13"/>
    <x v="22"/>
    <x v="3"/>
    <x v="2"/>
    <x v="186"/>
    <n v="59.7"/>
    <m/>
    <n v="59.7"/>
  </r>
  <r>
    <s v="02/09/2026"/>
    <x v="13"/>
    <x v="22"/>
    <x v="3"/>
    <x v="2"/>
    <x v="186"/>
    <n v="124.95"/>
    <m/>
    <n v="124.95"/>
  </r>
  <r>
    <s v="02/11/2026"/>
    <x v="13"/>
    <x v="22"/>
    <x v="3"/>
    <x v="2"/>
    <x v="186"/>
    <n v="59.7"/>
    <m/>
    <n v="59.7"/>
  </r>
  <r>
    <s v="03/06/2026"/>
    <x v="14"/>
    <x v="22"/>
    <x v="3"/>
    <x v="2"/>
    <x v="186"/>
    <n v="100.65"/>
    <m/>
    <n v="100.65"/>
  </r>
  <r>
    <s v="03/09/2026"/>
    <x v="14"/>
    <x v="22"/>
    <x v="3"/>
    <x v="2"/>
    <x v="186"/>
    <n v="194.25"/>
    <m/>
    <n v="194.25"/>
  </r>
  <r>
    <s v="02/28/2026"/>
    <x v="13"/>
    <x v="23"/>
    <x v="1"/>
    <x v="1"/>
    <x v="189"/>
    <n v="25"/>
    <m/>
    <n v="25"/>
  </r>
  <r>
    <s v="02/02/2026"/>
    <x v="13"/>
    <x v="24"/>
    <x v="4"/>
    <x v="1"/>
    <x v="197"/>
    <n v="208.39"/>
    <m/>
    <n v="208.39"/>
  </r>
  <r>
    <s v="02/02/2026"/>
    <x v="13"/>
    <x v="24"/>
    <x v="4"/>
    <x v="1"/>
    <x v="194"/>
    <n v="118.4"/>
    <m/>
    <n v="118.4"/>
  </r>
  <r>
    <s v="02/11/2026"/>
    <x v="13"/>
    <x v="24"/>
    <x v="4"/>
    <x v="1"/>
    <x v="235"/>
    <n v="113"/>
    <m/>
    <n v="113"/>
  </r>
  <r>
    <s v="02/11/2026"/>
    <x v="13"/>
    <x v="24"/>
    <x v="4"/>
    <x v="1"/>
    <x v="194"/>
    <n v="1165.92"/>
    <m/>
    <n v="1165.92"/>
  </r>
  <r>
    <s v="02/16/2026"/>
    <x v="13"/>
    <x v="24"/>
    <x v="4"/>
    <x v="1"/>
    <x v="228"/>
    <n v="348.81"/>
    <m/>
    <n v="348.81"/>
  </r>
  <r>
    <s v="02/16/2026"/>
    <x v="13"/>
    <x v="24"/>
    <x v="4"/>
    <x v="1"/>
    <x v="228"/>
    <n v="42.99"/>
    <m/>
    <n v="42.99"/>
  </r>
  <r>
    <s v="02/18/2026"/>
    <x v="13"/>
    <x v="24"/>
    <x v="4"/>
    <x v="1"/>
    <x v="198"/>
    <n v="75.930000000000007"/>
    <m/>
    <n v="75.930000000000007"/>
  </r>
  <r>
    <s v="02/18/2026"/>
    <x v="13"/>
    <x v="24"/>
    <x v="4"/>
    <x v="1"/>
    <x v="215"/>
    <n v="9.57"/>
    <m/>
    <n v="9.57"/>
  </r>
  <r>
    <s v="02/19/2026"/>
    <x v="13"/>
    <x v="24"/>
    <x v="4"/>
    <x v="1"/>
    <x v="198"/>
    <n v="74.290000000000006"/>
    <m/>
    <n v="74.290000000000006"/>
  </r>
  <r>
    <s v="02/19/2026"/>
    <x v="13"/>
    <x v="24"/>
    <x v="4"/>
    <x v="1"/>
    <x v="198"/>
    <n v="60.83"/>
    <m/>
    <n v="60.83"/>
  </r>
  <r>
    <s v="02/19/2026"/>
    <x v="13"/>
    <x v="24"/>
    <x v="4"/>
    <x v="1"/>
    <x v="241"/>
    <n v="152.22"/>
    <m/>
    <n v="152.22"/>
  </r>
  <r>
    <s v="02/19/2026"/>
    <x v="13"/>
    <x v="24"/>
    <x v="4"/>
    <x v="1"/>
    <x v="191"/>
    <n v="24.99"/>
    <m/>
    <n v="24.99"/>
  </r>
  <r>
    <s v="02/20/2026"/>
    <x v="13"/>
    <x v="24"/>
    <x v="4"/>
    <x v="1"/>
    <x v="198"/>
    <n v="54.88"/>
    <m/>
    <n v="54.88"/>
  </r>
  <r>
    <s v="02/20/2026"/>
    <x v="13"/>
    <x v="24"/>
    <x v="4"/>
    <x v="1"/>
    <x v="198"/>
    <n v="13.56"/>
    <m/>
    <n v="13.56"/>
  </r>
  <r>
    <s v="03/03/2026"/>
    <x v="14"/>
    <x v="24"/>
    <x v="4"/>
    <x v="1"/>
    <x v="198"/>
    <n v="12.75"/>
    <m/>
    <n v="12.75"/>
  </r>
  <r>
    <s v="03/03/2026"/>
    <x v="14"/>
    <x v="24"/>
    <x v="4"/>
    <x v="1"/>
    <x v="198"/>
    <n v="80.58"/>
    <m/>
    <n v="80.58"/>
  </r>
  <r>
    <s v="03/04/2026"/>
    <x v="14"/>
    <x v="24"/>
    <x v="4"/>
    <x v="1"/>
    <x v="215"/>
    <n v="79.97"/>
    <m/>
    <n v="79.97"/>
  </r>
  <r>
    <s v="03/04/2026"/>
    <x v="14"/>
    <x v="24"/>
    <x v="4"/>
    <x v="1"/>
    <x v="215"/>
    <n v="6.98"/>
    <m/>
    <n v="6.98"/>
  </r>
  <r>
    <s v="03/06/2026"/>
    <x v="14"/>
    <x v="24"/>
    <x v="4"/>
    <x v="1"/>
    <x v="194"/>
    <n v="79"/>
    <m/>
    <n v="79"/>
  </r>
  <r>
    <s v="03/19/2026"/>
    <x v="14"/>
    <x v="24"/>
    <x v="4"/>
    <x v="1"/>
    <x v="191"/>
    <n v="24.99"/>
    <m/>
    <n v="24.99"/>
  </r>
  <r>
    <s v="03/26/2026"/>
    <x v="14"/>
    <x v="24"/>
    <x v="4"/>
    <x v="1"/>
    <x v="242"/>
    <n v="1975.19"/>
    <m/>
    <n v="1975.19"/>
  </r>
  <r>
    <s v="03/26/2026"/>
    <x v="14"/>
    <x v="24"/>
    <x v="4"/>
    <x v="1"/>
    <x v="243"/>
    <n v="191.29"/>
    <m/>
    <n v="191.29"/>
  </r>
  <r>
    <s v="03/26/2026"/>
    <x v="14"/>
    <x v="24"/>
    <x v="4"/>
    <x v="1"/>
    <x v="244"/>
    <n v="1439.79"/>
    <m/>
    <n v="1439.79"/>
  </r>
  <r>
    <s v="03/26/2026"/>
    <x v="14"/>
    <x v="24"/>
    <x v="4"/>
    <x v="1"/>
    <x v="242"/>
    <n v="1439.79"/>
    <m/>
    <n v="1439.79"/>
  </r>
  <r>
    <s v="03/26/2026"/>
    <x v="14"/>
    <x v="24"/>
    <x v="4"/>
    <x v="1"/>
    <x v="244"/>
    <n v="1439.79"/>
    <m/>
    <n v="1439.79"/>
  </r>
  <r>
    <s v="02/05/2026"/>
    <x v="13"/>
    <x v="25"/>
    <x v="0"/>
    <x v="0"/>
    <x v="2"/>
    <n v="159.05000000000001"/>
    <m/>
    <n v="159.05000000000001"/>
  </r>
  <r>
    <s v="03/05/2026"/>
    <x v="14"/>
    <x v="25"/>
    <x v="0"/>
    <x v="0"/>
    <x v="2"/>
    <n v="140.31"/>
    <m/>
    <n v="140.31"/>
  </r>
  <r>
    <s v="04/09/2026"/>
    <x v="15"/>
    <x v="0"/>
    <x v="0"/>
    <x v="0"/>
    <x v="1"/>
    <n v="0.85"/>
    <m/>
    <n v="0.85"/>
  </r>
  <r>
    <s v="04/17/2026"/>
    <x v="15"/>
    <x v="0"/>
    <x v="0"/>
    <x v="0"/>
    <x v="245"/>
    <n v="5"/>
    <m/>
    <n v="5"/>
  </r>
  <r>
    <s v="04/21/2026"/>
    <x v="15"/>
    <x v="0"/>
    <x v="0"/>
    <x v="0"/>
    <x v="3"/>
    <n v="2"/>
    <m/>
    <n v="2"/>
  </r>
  <r>
    <s v="04/28/2026"/>
    <x v="15"/>
    <x v="0"/>
    <x v="0"/>
    <x v="0"/>
    <x v="27"/>
    <n v="99.99"/>
    <m/>
    <n v="99.99"/>
  </r>
  <r>
    <s v="04/16/2026"/>
    <x v="15"/>
    <x v="3"/>
    <x v="1"/>
    <x v="1"/>
    <x v="9"/>
    <n v="2500"/>
    <m/>
    <n v="2500"/>
  </r>
  <r>
    <s v="04/30/2026"/>
    <x v="15"/>
    <x v="26"/>
    <x v="8"/>
    <x v="2"/>
    <x v="49"/>
    <n v="175901"/>
    <m/>
    <n v="175901"/>
  </r>
  <r>
    <s v="04/02/2026"/>
    <x v="15"/>
    <x v="4"/>
    <x v="3"/>
    <x v="2"/>
    <x v="19"/>
    <n v="13.8"/>
    <m/>
    <n v="13.8"/>
  </r>
  <r>
    <s v="04/04/2026"/>
    <x v="15"/>
    <x v="4"/>
    <x v="3"/>
    <x v="2"/>
    <x v="27"/>
    <n v="138.58000000000001"/>
    <m/>
    <n v="138.58000000000001"/>
  </r>
  <r>
    <s v="04/11/2026"/>
    <x v="15"/>
    <x v="4"/>
    <x v="3"/>
    <x v="2"/>
    <x v="22"/>
    <n v="12.77"/>
    <m/>
    <n v="12.77"/>
  </r>
  <r>
    <s v="04/12/2026"/>
    <x v="15"/>
    <x v="4"/>
    <x v="3"/>
    <x v="2"/>
    <x v="24"/>
    <n v="21.01"/>
    <m/>
    <n v="21.01"/>
  </r>
  <r>
    <s v="04/15/2026"/>
    <x v="15"/>
    <x v="4"/>
    <x v="3"/>
    <x v="2"/>
    <x v="22"/>
    <n v="12.77"/>
    <m/>
    <n v="12.77"/>
  </r>
  <r>
    <s v="04/16/2026"/>
    <x v="15"/>
    <x v="4"/>
    <x v="3"/>
    <x v="2"/>
    <x v="20"/>
    <n v="21.32"/>
    <m/>
    <n v="21.32"/>
  </r>
  <r>
    <s v="04/18/2026"/>
    <x v="15"/>
    <x v="4"/>
    <x v="3"/>
    <x v="2"/>
    <x v="21"/>
    <n v="119.43"/>
    <m/>
    <n v="119.43"/>
  </r>
  <r>
    <s v="04/29/2026"/>
    <x v="15"/>
    <x v="4"/>
    <x v="3"/>
    <x v="2"/>
    <x v="23"/>
    <n v="12.78"/>
    <m/>
    <n v="12.78"/>
  </r>
  <r>
    <s v="04/05/2026"/>
    <x v="15"/>
    <x v="5"/>
    <x v="1"/>
    <x v="1"/>
    <x v="36"/>
    <n v="40.01"/>
    <m/>
    <n v="40.01"/>
  </r>
  <r>
    <s v="04/09/2026"/>
    <x v="15"/>
    <x v="5"/>
    <x v="1"/>
    <x v="1"/>
    <x v="36"/>
    <n v="49.02"/>
    <m/>
    <n v="49.02"/>
  </r>
  <r>
    <s v="04/15/2026"/>
    <x v="15"/>
    <x v="5"/>
    <x v="1"/>
    <x v="1"/>
    <x v="36"/>
    <n v="48.76"/>
    <m/>
    <n v="48.76"/>
  </r>
  <r>
    <s v="04/17/2026"/>
    <x v="15"/>
    <x v="5"/>
    <x v="1"/>
    <x v="1"/>
    <x v="36"/>
    <n v="48.04"/>
    <m/>
    <n v="48.04"/>
  </r>
  <r>
    <s v="04/25/2026"/>
    <x v="15"/>
    <x v="5"/>
    <x v="1"/>
    <x v="1"/>
    <x v="35"/>
    <n v="26.27"/>
    <m/>
    <n v="26.27"/>
  </r>
  <r>
    <s v="04/03/2026"/>
    <x v="15"/>
    <x v="6"/>
    <x v="1"/>
    <x v="1"/>
    <x v="50"/>
    <n v="335"/>
    <m/>
    <n v="335"/>
  </r>
  <r>
    <s v="04/13/2026"/>
    <x v="15"/>
    <x v="6"/>
    <x v="1"/>
    <x v="1"/>
    <x v="49"/>
    <n v="2307.46"/>
    <m/>
    <n v="2307.46"/>
  </r>
  <r>
    <s v="04/15/2026"/>
    <x v="15"/>
    <x v="6"/>
    <x v="1"/>
    <x v="1"/>
    <x v="50"/>
    <n v="47.5"/>
    <m/>
    <n v="47.5"/>
  </r>
  <r>
    <s v="04/17/2026"/>
    <x v="15"/>
    <x v="6"/>
    <x v="1"/>
    <x v="1"/>
    <x v="50"/>
    <n v="335"/>
    <m/>
    <n v="335"/>
  </r>
  <r>
    <s v="04/03/2026"/>
    <x v="15"/>
    <x v="25"/>
    <x v="0"/>
    <x v="0"/>
    <x v="2"/>
    <n v="138.79"/>
    <m/>
    <n v="138.79"/>
  </r>
  <r>
    <s v="04/01/2026"/>
    <x v="15"/>
    <x v="7"/>
    <x v="0"/>
    <x v="0"/>
    <x v="2"/>
    <n v="2360.4"/>
    <m/>
    <n v="2360.4"/>
  </r>
  <r>
    <s v="04/02/2026"/>
    <x v="15"/>
    <x v="9"/>
    <x v="1"/>
    <x v="1"/>
    <x v="246"/>
    <n v="1575.25"/>
    <m/>
    <n v="1575.25"/>
  </r>
  <r>
    <s v="04/14/2026"/>
    <x v="15"/>
    <x v="9"/>
    <x v="1"/>
    <x v="1"/>
    <x v="247"/>
    <n v="751"/>
    <m/>
    <n v="751"/>
  </r>
  <r>
    <s v="04/02/2026"/>
    <x v="15"/>
    <x v="11"/>
    <x v="5"/>
    <x v="1"/>
    <x v="62"/>
    <n v="6921.54"/>
    <m/>
    <n v="6921.54"/>
  </r>
  <r>
    <s v="04/08/2026"/>
    <x v="15"/>
    <x v="11"/>
    <x v="5"/>
    <x v="1"/>
    <x v="62"/>
    <n v="1588.75"/>
    <m/>
    <n v="1588.75"/>
  </r>
  <r>
    <s v="04/16/2026"/>
    <x v="15"/>
    <x v="11"/>
    <x v="5"/>
    <x v="1"/>
    <x v="62"/>
    <n v="6571.53"/>
    <m/>
    <n v="6571.53"/>
  </r>
  <r>
    <s v="04/21/2026"/>
    <x v="15"/>
    <x v="11"/>
    <x v="5"/>
    <x v="1"/>
    <x v="62"/>
    <n v="1588.75"/>
    <m/>
    <n v="1588.75"/>
  </r>
  <r>
    <s v="04/30/2026"/>
    <x v="15"/>
    <x v="11"/>
    <x v="5"/>
    <x v="1"/>
    <x v="62"/>
    <n v="6494.53"/>
    <m/>
    <n v="6494.53"/>
  </r>
  <r>
    <s v="04/02/2026"/>
    <x v="15"/>
    <x v="20"/>
    <x v="7"/>
    <x v="2"/>
    <x v="239"/>
    <n v="321.77"/>
    <m/>
    <n v="321.77"/>
  </r>
  <r>
    <s v="04/03/2026"/>
    <x v="15"/>
    <x v="12"/>
    <x v="1"/>
    <x v="1"/>
    <x v="248"/>
    <n v="147.88"/>
    <m/>
    <n v="147.88"/>
  </r>
  <r>
    <s v="04/08/2026"/>
    <x v="15"/>
    <x v="12"/>
    <x v="1"/>
    <x v="1"/>
    <x v="94"/>
    <n v="19.47"/>
    <m/>
    <n v="19.47"/>
  </r>
  <r>
    <s v="04/09/2026"/>
    <x v="15"/>
    <x v="12"/>
    <x v="1"/>
    <x v="1"/>
    <x v="248"/>
    <n v="138.29"/>
    <m/>
    <n v="138.29"/>
  </r>
  <r>
    <s v="04/15/2026"/>
    <x v="15"/>
    <x v="12"/>
    <x v="1"/>
    <x v="1"/>
    <x v="83"/>
    <n v="36.81"/>
    <m/>
    <n v="36.81"/>
  </r>
  <r>
    <s v="04/17/2026"/>
    <x v="15"/>
    <x v="12"/>
    <x v="1"/>
    <x v="1"/>
    <x v="71"/>
    <n v="51.11"/>
    <m/>
    <n v="51.11"/>
  </r>
  <r>
    <s v="04/19/2026"/>
    <x v="15"/>
    <x v="12"/>
    <x v="1"/>
    <x v="1"/>
    <x v="144"/>
    <n v="30.9"/>
    <m/>
    <n v="30.9"/>
  </r>
  <r>
    <s v="04/22/2026"/>
    <x v="15"/>
    <x v="12"/>
    <x v="1"/>
    <x v="1"/>
    <x v="100"/>
    <n v="74"/>
    <m/>
    <n v="74"/>
  </r>
  <r>
    <s v="04/25/2026"/>
    <x v="15"/>
    <x v="12"/>
    <x v="1"/>
    <x v="1"/>
    <x v="108"/>
    <n v="67.510000000000005"/>
    <m/>
    <n v="67.510000000000005"/>
  </r>
  <r>
    <s v="04/03/2026"/>
    <x v="15"/>
    <x v="15"/>
    <x v="1"/>
    <x v="1"/>
    <x v="62"/>
    <n v="310.89999999999998"/>
    <m/>
    <n v="310.89999999999998"/>
  </r>
  <r>
    <s v="04/03/2026"/>
    <x v="15"/>
    <x v="15"/>
    <x v="1"/>
    <x v="1"/>
    <x v="62"/>
    <n v="8.85"/>
    <m/>
    <n v="8.85"/>
  </r>
  <r>
    <s v="04/10/2026"/>
    <x v="15"/>
    <x v="15"/>
    <x v="1"/>
    <x v="1"/>
    <x v="62"/>
    <n v="87.81"/>
    <m/>
    <n v="87.81"/>
  </r>
  <r>
    <s v="04/17/2026"/>
    <x v="15"/>
    <x v="15"/>
    <x v="1"/>
    <x v="1"/>
    <x v="62"/>
    <n v="8.85"/>
    <m/>
    <n v="8.85"/>
  </r>
  <r>
    <s v="04/24/2026"/>
    <x v="15"/>
    <x v="15"/>
    <x v="1"/>
    <x v="1"/>
    <x v="62"/>
    <n v="106.9"/>
    <m/>
    <n v="106.9"/>
  </r>
  <r>
    <s v="04/03/2026"/>
    <x v="15"/>
    <x v="16"/>
    <x v="5"/>
    <x v="1"/>
    <x v="62"/>
    <n v="1837.66"/>
    <m/>
    <n v="1837.66"/>
  </r>
  <r>
    <s v="04/17/2026"/>
    <x v="15"/>
    <x v="16"/>
    <x v="5"/>
    <x v="1"/>
    <x v="62"/>
    <n v="1837.67"/>
    <m/>
    <n v="1837.67"/>
  </r>
  <r>
    <s v="04/17/2026"/>
    <x v="15"/>
    <x v="17"/>
    <x v="1"/>
    <x v="1"/>
    <x v="163"/>
    <n v="14.99"/>
    <m/>
    <n v="14.99"/>
  </r>
  <r>
    <s v="04/13/2026"/>
    <x v="15"/>
    <x v="18"/>
    <x v="1"/>
    <x v="1"/>
    <x v="2"/>
    <n v="709"/>
    <m/>
    <n v="709"/>
  </r>
  <r>
    <s v="04/02/2026"/>
    <x v="15"/>
    <x v="20"/>
    <x v="7"/>
    <x v="2"/>
    <x v="166"/>
    <n v="127.92"/>
    <m/>
    <n v="127.92"/>
  </r>
  <r>
    <s v="04/18/2026"/>
    <x v="15"/>
    <x v="21"/>
    <x v="4"/>
    <x v="1"/>
    <x v="171"/>
    <n v="955"/>
    <m/>
    <n v="955"/>
  </r>
  <r>
    <s v="04/28/2026"/>
    <x v="15"/>
    <x v="21"/>
    <x v="4"/>
    <x v="1"/>
    <x v="167"/>
    <n v="105.53"/>
    <m/>
    <n v="105.53"/>
  </r>
  <r>
    <s v="04/01/2026"/>
    <x v="15"/>
    <x v="20"/>
    <x v="7"/>
    <x v="2"/>
    <x v="184"/>
    <n v="2168.39"/>
    <m/>
    <n v="2168.39"/>
  </r>
  <r>
    <s v="04/01/2026"/>
    <x v="15"/>
    <x v="20"/>
    <x v="7"/>
    <x v="2"/>
    <x v="28"/>
    <n v="549.36"/>
    <m/>
    <n v="549.36"/>
  </r>
  <r>
    <s v="04/02/2026"/>
    <x v="15"/>
    <x v="20"/>
    <x v="7"/>
    <x v="2"/>
    <x v="29"/>
    <n v="1398.06"/>
    <m/>
    <n v="1398.06"/>
  </r>
  <r>
    <s v="04/03/2026"/>
    <x v="15"/>
    <x v="20"/>
    <x v="7"/>
    <x v="2"/>
    <x v="184"/>
    <n v="189.63"/>
    <m/>
    <n v="189.63"/>
  </r>
  <r>
    <s v="04/09/2026"/>
    <x v="15"/>
    <x v="20"/>
    <x v="7"/>
    <x v="2"/>
    <x v="175"/>
    <n v="106.6"/>
    <m/>
    <n v="106.6"/>
  </r>
  <r>
    <s v="04/13/2026"/>
    <x v="15"/>
    <x v="20"/>
    <x v="7"/>
    <x v="2"/>
    <x v="174"/>
    <n v="333.94"/>
    <m/>
    <n v="333.94"/>
  </r>
  <r>
    <s v="04/16/2026"/>
    <x v="15"/>
    <x v="20"/>
    <x v="7"/>
    <x v="2"/>
    <x v="240"/>
    <n v="5000"/>
    <m/>
    <n v="5000"/>
  </r>
  <r>
    <s v="04/17/2026"/>
    <x v="15"/>
    <x v="20"/>
    <x v="7"/>
    <x v="2"/>
    <x v="175"/>
    <n v="6940.08"/>
    <m/>
    <n v="6940.08"/>
  </r>
  <r>
    <s v="04/19/2026"/>
    <x v="15"/>
    <x v="8"/>
    <x v="3"/>
    <x v="2"/>
    <x v="53"/>
    <n v="213.15"/>
    <m/>
    <n v="213.15"/>
  </r>
  <r>
    <s v="04/28/2026"/>
    <x v="15"/>
    <x v="20"/>
    <x v="7"/>
    <x v="2"/>
    <x v="168"/>
    <n v="22.45"/>
    <m/>
    <n v="22.45"/>
  </r>
  <r>
    <s v="04/13/2026"/>
    <x v="15"/>
    <x v="22"/>
    <x v="3"/>
    <x v="2"/>
    <x v="186"/>
    <n v="285.27"/>
    <m/>
    <n v="285.27"/>
  </r>
  <r>
    <s v="04/09/2026"/>
    <x v="15"/>
    <x v="23"/>
    <x v="1"/>
    <x v="1"/>
    <x v="189"/>
    <n v="25"/>
    <m/>
    <n v="25"/>
  </r>
  <r>
    <s v="04/07/2026"/>
    <x v="15"/>
    <x v="24"/>
    <x v="4"/>
    <x v="1"/>
    <x v="194"/>
    <n v="272.19"/>
    <m/>
    <n v="272.19"/>
  </r>
  <r>
    <s v="04/19/2026"/>
    <x v="15"/>
    <x v="24"/>
    <x v="4"/>
    <x v="1"/>
    <x v="191"/>
    <n v="24.99"/>
    <m/>
    <n v="24.99"/>
  </r>
  <r>
    <s v="04/21/2026"/>
    <x v="15"/>
    <x v="24"/>
    <x v="4"/>
    <x v="1"/>
    <x v="249"/>
    <n v="76.25"/>
    <m/>
    <n v="76.25"/>
  </r>
  <r>
    <s v="04/26/2026"/>
    <x v="15"/>
    <x v="24"/>
    <x v="4"/>
    <x v="1"/>
    <x v="250"/>
    <n v="16.510000000000002"/>
    <m/>
    <n v="16.510000000000002"/>
  </r>
  <r>
    <s v="04/27/2026"/>
    <x v="15"/>
    <x v="24"/>
    <x v="4"/>
    <x v="1"/>
    <x v="198"/>
    <n v="89.94"/>
    <m/>
    <n v="89.94"/>
  </r>
  <r>
    <s v="05/15/2026"/>
    <x v="16"/>
    <x v="0"/>
    <x v="0"/>
    <x v="0"/>
    <x v="2"/>
    <n v="5"/>
    <m/>
    <n v="5"/>
  </r>
  <r>
    <s v="05/19/2026"/>
    <x v="16"/>
    <x v="0"/>
    <x v="0"/>
    <x v="0"/>
    <x v="2"/>
    <n v="5"/>
    <m/>
    <n v="5"/>
  </r>
  <r>
    <s v="05/21/2026"/>
    <x v="16"/>
    <x v="0"/>
    <x v="0"/>
    <x v="0"/>
    <x v="2"/>
    <n v="5"/>
    <m/>
    <n v="5"/>
  </r>
  <r>
    <s v="06/05/2026"/>
    <x v="17"/>
    <x v="0"/>
    <x v="0"/>
    <x v="0"/>
    <x v="1"/>
    <n v="29"/>
    <m/>
    <n v="29"/>
  </r>
  <r>
    <s v="06/09/2026"/>
    <x v="17"/>
    <x v="0"/>
    <x v="0"/>
    <x v="0"/>
    <x v="1"/>
    <n v="9.99"/>
    <m/>
    <n v="9.99"/>
  </r>
  <r>
    <s v="06/11/2026"/>
    <x v="17"/>
    <x v="0"/>
    <x v="0"/>
    <x v="0"/>
    <x v="2"/>
    <n v="65.78"/>
    <m/>
    <n v="65.78"/>
  </r>
  <r>
    <s v="06/11/2026"/>
    <x v="17"/>
    <x v="0"/>
    <x v="0"/>
    <x v="0"/>
    <x v="2"/>
    <n v="5"/>
    <m/>
    <n v="5"/>
  </r>
  <r>
    <s v="06/16/2026"/>
    <x v="17"/>
    <x v="0"/>
    <x v="0"/>
    <x v="0"/>
    <x v="2"/>
    <n v="5"/>
    <m/>
    <n v="5"/>
  </r>
  <r>
    <s v="05/18/2026"/>
    <x v="16"/>
    <x v="3"/>
    <x v="1"/>
    <x v="1"/>
    <x v="9"/>
    <n v="1877"/>
    <m/>
    <n v="1877"/>
  </r>
  <r>
    <s v="06/15/2026"/>
    <x v="17"/>
    <x v="3"/>
    <x v="1"/>
    <x v="1"/>
    <x v="9"/>
    <n v="2150"/>
    <m/>
    <n v="2150"/>
  </r>
  <r>
    <s v="05/26/2026"/>
    <x v="16"/>
    <x v="26"/>
    <x v="8"/>
    <x v="2"/>
    <x v="49"/>
    <n v="158280"/>
    <m/>
    <n v="158280"/>
  </r>
  <r>
    <s v="06/30/2026"/>
    <x v="17"/>
    <x v="26"/>
    <x v="8"/>
    <x v="2"/>
    <x v="49"/>
    <n v="157139"/>
    <m/>
    <n v="157139"/>
  </r>
  <r>
    <s v="05/02/2026"/>
    <x v="16"/>
    <x v="4"/>
    <x v="3"/>
    <x v="2"/>
    <x v="19"/>
    <n v="13.8"/>
    <m/>
    <n v="13.8"/>
  </r>
  <r>
    <s v="05/04/2026"/>
    <x v="16"/>
    <x v="4"/>
    <x v="3"/>
    <x v="2"/>
    <x v="27"/>
    <n v="138.58000000000001"/>
    <m/>
    <n v="138.58000000000001"/>
  </r>
  <r>
    <s v="05/12/2026"/>
    <x v="16"/>
    <x v="4"/>
    <x v="3"/>
    <x v="2"/>
    <x v="24"/>
    <n v="21.01"/>
    <m/>
    <n v="21.01"/>
  </r>
  <r>
    <s v="05/14/2026"/>
    <x v="16"/>
    <x v="4"/>
    <x v="3"/>
    <x v="2"/>
    <x v="22"/>
    <n v="12.77"/>
    <m/>
    <n v="12.77"/>
  </r>
  <r>
    <s v="05/15/2026"/>
    <x v="16"/>
    <x v="4"/>
    <x v="3"/>
    <x v="2"/>
    <x v="22"/>
    <n v="12.77"/>
    <m/>
    <n v="12.77"/>
  </r>
  <r>
    <s v="05/16/2026"/>
    <x v="16"/>
    <x v="4"/>
    <x v="3"/>
    <x v="2"/>
    <x v="20"/>
    <n v="21.32"/>
    <m/>
    <n v="21.32"/>
  </r>
  <r>
    <s v="05/18/2026"/>
    <x v="16"/>
    <x v="4"/>
    <x v="3"/>
    <x v="2"/>
    <x v="21"/>
    <n v="133"/>
    <m/>
    <n v="133"/>
  </r>
  <r>
    <s v="05/22/2026"/>
    <x v="16"/>
    <x v="4"/>
    <x v="3"/>
    <x v="2"/>
    <x v="21"/>
    <n v="10.64"/>
    <m/>
    <n v="10.64"/>
  </r>
  <r>
    <s v="05/29/2026"/>
    <x v="16"/>
    <x v="4"/>
    <x v="3"/>
    <x v="2"/>
    <x v="23"/>
    <n v="12.78"/>
    <m/>
    <n v="12.78"/>
  </r>
  <r>
    <s v="06/02/2026"/>
    <x v="17"/>
    <x v="4"/>
    <x v="3"/>
    <x v="2"/>
    <x v="19"/>
    <n v="13.8"/>
    <m/>
    <n v="13.8"/>
  </r>
  <r>
    <s v="06/04/2026"/>
    <x v="17"/>
    <x v="4"/>
    <x v="3"/>
    <x v="2"/>
    <x v="27"/>
    <n v="138.58000000000001"/>
    <m/>
    <n v="138.58000000000001"/>
  </r>
  <r>
    <s v="06/11/2026"/>
    <x v="17"/>
    <x v="4"/>
    <x v="3"/>
    <x v="2"/>
    <x v="22"/>
    <n v="12.77"/>
    <m/>
    <n v="12.77"/>
  </r>
  <r>
    <s v="06/12/2026"/>
    <x v="17"/>
    <x v="4"/>
    <x v="3"/>
    <x v="2"/>
    <x v="24"/>
    <n v="21.01"/>
    <m/>
    <n v="21.01"/>
  </r>
  <r>
    <s v="06/15/2026"/>
    <x v="17"/>
    <x v="4"/>
    <x v="3"/>
    <x v="2"/>
    <x v="22"/>
    <n v="12.77"/>
    <m/>
    <n v="12.77"/>
  </r>
  <r>
    <s v="06/16/2026"/>
    <x v="17"/>
    <x v="4"/>
    <x v="3"/>
    <x v="2"/>
    <x v="20"/>
    <n v="21.32"/>
    <m/>
    <n v="21.32"/>
  </r>
  <r>
    <s v="06/18/2026"/>
    <x v="17"/>
    <x v="4"/>
    <x v="3"/>
    <x v="2"/>
    <x v="21"/>
    <n v="133"/>
    <m/>
    <n v="133"/>
  </r>
  <r>
    <s v="05/01/2026"/>
    <x v="16"/>
    <x v="6"/>
    <x v="1"/>
    <x v="1"/>
    <x v="47"/>
    <n v="2089.79"/>
    <m/>
    <n v="2089.79"/>
  </r>
  <r>
    <s v="05/01/2026"/>
    <x v="16"/>
    <x v="6"/>
    <x v="1"/>
    <x v="1"/>
    <x v="50"/>
    <n v="335"/>
    <m/>
    <n v="335"/>
  </r>
  <r>
    <s v="05/13/2026"/>
    <x v="16"/>
    <x v="6"/>
    <x v="1"/>
    <x v="1"/>
    <x v="49"/>
    <n v="2307.46"/>
    <m/>
    <n v="2307.46"/>
  </r>
  <r>
    <s v="05/15/2026"/>
    <x v="16"/>
    <x v="6"/>
    <x v="1"/>
    <x v="1"/>
    <x v="50"/>
    <n v="335"/>
    <m/>
    <n v="335"/>
  </r>
  <r>
    <s v="05/15/2026"/>
    <x v="16"/>
    <x v="6"/>
    <x v="1"/>
    <x v="1"/>
    <x v="50"/>
    <n v="47.5"/>
    <m/>
    <n v="47.5"/>
  </r>
  <r>
    <s v="05/29/2026"/>
    <x v="16"/>
    <x v="6"/>
    <x v="1"/>
    <x v="1"/>
    <x v="50"/>
    <n v="335"/>
    <m/>
    <n v="335"/>
  </r>
  <r>
    <s v="06/02/2026"/>
    <x v="17"/>
    <x v="6"/>
    <x v="1"/>
    <x v="1"/>
    <x v="47"/>
    <n v="2089.79"/>
    <m/>
    <n v="2089.79"/>
  </r>
  <r>
    <s v="06/12/2026"/>
    <x v="17"/>
    <x v="6"/>
    <x v="1"/>
    <x v="1"/>
    <x v="50"/>
    <n v="335"/>
    <m/>
    <n v="335"/>
  </r>
  <r>
    <s v="06/15/2026"/>
    <x v="17"/>
    <x v="6"/>
    <x v="1"/>
    <x v="1"/>
    <x v="50"/>
    <n v="347.5"/>
    <m/>
    <n v="347.5"/>
  </r>
  <r>
    <s v="06/16/2026"/>
    <x v="17"/>
    <x v="6"/>
    <x v="1"/>
    <x v="1"/>
    <x v="49"/>
    <n v="2307.46"/>
    <m/>
    <n v="2307.46"/>
  </r>
  <r>
    <s v="06/26/2026"/>
    <x v="17"/>
    <x v="6"/>
    <x v="1"/>
    <x v="1"/>
    <x v="50"/>
    <n v="335"/>
    <m/>
    <n v="335"/>
  </r>
  <r>
    <s v="05/05/2026"/>
    <x v="16"/>
    <x v="25"/>
    <x v="0"/>
    <x v="0"/>
    <x v="2"/>
    <n v="146.9"/>
    <m/>
    <n v="146.9"/>
  </r>
  <r>
    <s v="06/05/2026"/>
    <x v="17"/>
    <x v="25"/>
    <x v="0"/>
    <x v="0"/>
    <x v="2"/>
    <n v="138.55000000000001"/>
    <m/>
    <n v="138.55000000000001"/>
  </r>
  <r>
    <s v="05/01/2026"/>
    <x v="16"/>
    <x v="7"/>
    <x v="0"/>
    <x v="0"/>
    <x v="2"/>
    <n v="2360.4"/>
    <m/>
    <n v="2360.4"/>
  </r>
  <r>
    <s v="06/01/2026"/>
    <x v="17"/>
    <x v="7"/>
    <x v="0"/>
    <x v="0"/>
    <x v="2"/>
    <n v="2360.4"/>
    <m/>
    <n v="2360.4"/>
  </r>
  <r>
    <s v="05/06/2026"/>
    <x v="16"/>
    <x v="9"/>
    <x v="1"/>
    <x v="1"/>
    <x v="55"/>
    <n v="1025"/>
    <m/>
    <n v="1025"/>
  </r>
  <r>
    <s v="06/02/2026"/>
    <x v="17"/>
    <x v="3"/>
    <x v="1"/>
    <x v="1"/>
    <x v="251"/>
    <n v="800"/>
    <m/>
    <n v="800"/>
  </r>
  <r>
    <s v="06/22/2026"/>
    <x v="17"/>
    <x v="9"/>
    <x v="1"/>
    <x v="1"/>
    <x v="252"/>
    <n v="4000"/>
    <m/>
    <n v="4000"/>
  </r>
  <r>
    <s v="06/23/2026"/>
    <x v="17"/>
    <x v="9"/>
    <x v="1"/>
    <x v="1"/>
    <x v="252"/>
    <n v="1000"/>
    <m/>
    <n v="1000"/>
  </r>
  <r>
    <s v="05/05/2026"/>
    <x v="16"/>
    <x v="11"/>
    <x v="5"/>
    <x v="1"/>
    <x v="62"/>
    <n v="1588.75"/>
    <m/>
    <n v="1588.75"/>
  </r>
  <r>
    <s v="05/14/2026"/>
    <x v="16"/>
    <x v="11"/>
    <x v="5"/>
    <x v="1"/>
    <x v="62"/>
    <n v="6550.53"/>
    <m/>
    <n v="6550.53"/>
  </r>
  <r>
    <s v="05/19/2026"/>
    <x v="16"/>
    <x v="11"/>
    <x v="5"/>
    <x v="1"/>
    <x v="62"/>
    <n v="1588.75"/>
    <m/>
    <n v="1588.75"/>
  </r>
  <r>
    <s v="05/28/2026"/>
    <x v="16"/>
    <x v="11"/>
    <x v="5"/>
    <x v="1"/>
    <x v="62"/>
    <n v="6564.54"/>
    <m/>
    <n v="6564.54"/>
  </r>
  <r>
    <s v="06/02/2026"/>
    <x v="17"/>
    <x v="11"/>
    <x v="5"/>
    <x v="1"/>
    <x v="62"/>
    <n v="1588.75"/>
    <m/>
    <n v="1588.75"/>
  </r>
  <r>
    <s v="06/11/2026"/>
    <x v="17"/>
    <x v="11"/>
    <x v="5"/>
    <x v="1"/>
    <x v="62"/>
    <n v="6627.53"/>
    <m/>
    <n v="6627.53"/>
  </r>
  <r>
    <s v="06/16/2026"/>
    <x v="17"/>
    <x v="11"/>
    <x v="5"/>
    <x v="1"/>
    <x v="62"/>
    <n v="1588.75"/>
    <m/>
    <n v="1588.75"/>
  </r>
  <r>
    <s v="06/25/2026"/>
    <x v="17"/>
    <x v="11"/>
    <x v="5"/>
    <x v="1"/>
    <x v="62"/>
    <n v="6494.53"/>
    <m/>
    <n v="6494.53"/>
  </r>
  <r>
    <s v="06/30/2026"/>
    <x v="17"/>
    <x v="11"/>
    <x v="5"/>
    <x v="1"/>
    <x v="62"/>
    <n v="1588.75"/>
    <m/>
    <n v="1588.75"/>
  </r>
  <r>
    <s v="05/19/2026"/>
    <x v="16"/>
    <x v="12"/>
    <x v="1"/>
    <x v="1"/>
    <x v="144"/>
    <n v="49"/>
    <m/>
    <n v="49"/>
  </r>
  <r>
    <s v="05/01/2026"/>
    <x v="16"/>
    <x v="15"/>
    <x v="1"/>
    <x v="1"/>
    <x v="62"/>
    <n v="8.85"/>
    <m/>
    <n v="8.85"/>
  </r>
  <r>
    <s v="05/01/2026"/>
    <x v="16"/>
    <x v="15"/>
    <x v="1"/>
    <x v="1"/>
    <x v="62"/>
    <n v="315.89999999999998"/>
    <m/>
    <n v="315.89999999999998"/>
  </r>
  <r>
    <s v="05/08/2026"/>
    <x v="16"/>
    <x v="15"/>
    <x v="1"/>
    <x v="1"/>
    <x v="62"/>
    <n v="87.81"/>
    <m/>
    <n v="87.81"/>
  </r>
  <r>
    <s v="05/15/2026"/>
    <x v="16"/>
    <x v="15"/>
    <x v="1"/>
    <x v="1"/>
    <x v="62"/>
    <n v="8.85"/>
    <m/>
    <n v="8.85"/>
  </r>
  <r>
    <s v="05/22/2026"/>
    <x v="16"/>
    <x v="15"/>
    <x v="1"/>
    <x v="1"/>
    <x v="62"/>
    <n v="106.9"/>
    <m/>
    <n v="106.9"/>
  </r>
  <r>
    <s v="05/29/2026"/>
    <x v="16"/>
    <x v="15"/>
    <x v="1"/>
    <x v="1"/>
    <x v="62"/>
    <n v="8.85"/>
    <m/>
    <n v="8.85"/>
  </r>
  <r>
    <s v="06/05/2026"/>
    <x v="17"/>
    <x v="15"/>
    <x v="1"/>
    <x v="1"/>
    <x v="62"/>
    <n v="87.81"/>
    <m/>
    <n v="87.81"/>
  </r>
  <r>
    <s v="06/05/2026"/>
    <x v="17"/>
    <x v="15"/>
    <x v="1"/>
    <x v="1"/>
    <x v="62"/>
    <n v="315.89999999999998"/>
    <m/>
    <n v="315.89999999999998"/>
  </r>
  <r>
    <s v="06/12/2026"/>
    <x v="17"/>
    <x v="15"/>
    <x v="1"/>
    <x v="1"/>
    <x v="62"/>
    <n v="8.85"/>
    <m/>
    <n v="8.85"/>
  </r>
  <r>
    <s v="06/22/2026"/>
    <x v="17"/>
    <x v="15"/>
    <x v="1"/>
    <x v="1"/>
    <x v="62"/>
    <n v="87.81"/>
    <m/>
    <n v="87.81"/>
  </r>
  <r>
    <s v="06/25/2026"/>
    <x v="17"/>
    <x v="15"/>
    <x v="1"/>
    <x v="1"/>
    <x v="62"/>
    <n v="8.85"/>
    <m/>
    <n v="8.85"/>
  </r>
  <r>
    <s v="06/26/2026"/>
    <x v="17"/>
    <x v="15"/>
    <x v="1"/>
    <x v="1"/>
    <x v="62"/>
    <n v="19.09"/>
    <m/>
    <n v="19.09"/>
  </r>
  <r>
    <s v="05/01/2026"/>
    <x v="16"/>
    <x v="16"/>
    <x v="5"/>
    <x v="1"/>
    <x v="62"/>
    <n v="1837.67"/>
    <m/>
    <n v="1837.67"/>
  </r>
  <r>
    <s v="05/15/2026"/>
    <x v="16"/>
    <x v="16"/>
    <x v="5"/>
    <x v="1"/>
    <x v="62"/>
    <n v="1837.67"/>
    <m/>
    <n v="1837.67"/>
  </r>
  <r>
    <s v="05/29/2026"/>
    <x v="16"/>
    <x v="16"/>
    <x v="5"/>
    <x v="1"/>
    <x v="62"/>
    <n v="1837.66"/>
    <m/>
    <n v="1837.66"/>
  </r>
  <r>
    <s v="06/12/2026"/>
    <x v="17"/>
    <x v="16"/>
    <x v="5"/>
    <x v="1"/>
    <x v="62"/>
    <n v="1837.67"/>
    <m/>
    <n v="1837.67"/>
  </r>
  <r>
    <s v="06/25/2026"/>
    <x v="17"/>
    <x v="16"/>
    <x v="5"/>
    <x v="1"/>
    <x v="62"/>
    <n v="1837.67"/>
    <m/>
    <n v="1837.67"/>
  </r>
  <r>
    <s v="05/20/2026"/>
    <x v="16"/>
    <x v="19"/>
    <x v="6"/>
    <x v="2"/>
    <x v="10"/>
    <n v="3000"/>
    <m/>
    <n v="3000"/>
  </r>
  <r>
    <s v="05/18/2026"/>
    <x v="16"/>
    <x v="21"/>
    <x v="4"/>
    <x v="1"/>
    <x v="171"/>
    <n v="955"/>
    <m/>
    <n v="955"/>
  </r>
  <r>
    <s v="05/29/2026"/>
    <x v="16"/>
    <x v="21"/>
    <x v="4"/>
    <x v="1"/>
    <x v="168"/>
    <n v="22.45"/>
    <m/>
    <n v="22.45"/>
  </r>
  <r>
    <s v="06/18/2026"/>
    <x v="17"/>
    <x v="21"/>
    <x v="4"/>
    <x v="1"/>
    <x v="171"/>
    <n v="955"/>
    <m/>
    <n v="955"/>
  </r>
  <r>
    <s v="06/27/2026"/>
    <x v="17"/>
    <x v="21"/>
    <x v="4"/>
    <x v="1"/>
    <x v="167"/>
    <n v="105.53"/>
    <m/>
    <n v="105.53"/>
  </r>
  <r>
    <s v="06/28/2026"/>
    <x v="17"/>
    <x v="21"/>
    <x v="4"/>
    <x v="1"/>
    <x v="168"/>
    <n v="22.45"/>
    <m/>
    <n v="22.45"/>
  </r>
  <r>
    <s v="05/01/2026"/>
    <x v="16"/>
    <x v="20"/>
    <x v="7"/>
    <x v="2"/>
    <x v="28"/>
    <n v="570.63"/>
    <m/>
    <n v="570.63"/>
  </r>
  <r>
    <s v="05/01/2026"/>
    <x v="16"/>
    <x v="20"/>
    <x v="7"/>
    <x v="2"/>
    <x v="184"/>
    <n v="2358.02"/>
    <m/>
    <n v="2358.02"/>
  </r>
  <r>
    <s v="05/02/2026"/>
    <x v="16"/>
    <x v="20"/>
    <x v="7"/>
    <x v="2"/>
    <x v="239"/>
    <n v="674.15"/>
    <m/>
    <n v="674.15"/>
  </r>
  <r>
    <s v="05/04/2026"/>
    <x v="16"/>
    <x v="20"/>
    <x v="7"/>
    <x v="2"/>
    <x v="174"/>
    <n v="334.53"/>
    <m/>
    <n v="334.53"/>
  </r>
  <r>
    <s v="05/06/2026"/>
    <x v="16"/>
    <x v="20"/>
    <x v="7"/>
    <x v="2"/>
    <x v="29"/>
    <n v="1066"/>
    <m/>
    <n v="1066"/>
  </r>
  <r>
    <s v="05/06/2026"/>
    <x v="16"/>
    <x v="20"/>
    <x v="7"/>
    <x v="2"/>
    <x v="239"/>
    <n v="348"/>
    <m/>
    <n v="348"/>
  </r>
  <r>
    <s v="05/08/2026"/>
    <x v="16"/>
    <x v="20"/>
    <x v="7"/>
    <x v="2"/>
    <x v="175"/>
    <n v="106.6"/>
    <m/>
    <n v="106.6"/>
  </r>
  <r>
    <s v="05/15/2026"/>
    <x v="16"/>
    <x v="20"/>
    <x v="7"/>
    <x v="2"/>
    <x v="176"/>
    <n v="134.85"/>
    <m/>
    <n v="134.85"/>
  </r>
  <r>
    <s v="05/18/2026"/>
    <x v="16"/>
    <x v="20"/>
    <x v="7"/>
    <x v="2"/>
    <x v="175"/>
    <n v="6940.08"/>
    <m/>
    <n v="6940.08"/>
  </r>
  <r>
    <s v="05/18/2026"/>
    <x v="16"/>
    <x v="20"/>
    <x v="7"/>
    <x v="2"/>
    <x v="240"/>
    <n v="5000"/>
    <m/>
    <n v="5000"/>
  </r>
  <r>
    <s v="05/19/2026"/>
    <x v="16"/>
    <x v="8"/>
    <x v="3"/>
    <x v="2"/>
    <x v="53"/>
    <n v="213.15"/>
    <m/>
    <n v="213.15"/>
  </r>
  <r>
    <s v="05/27/2026"/>
    <x v="16"/>
    <x v="21"/>
    <x v="4"/>
    <x v="1"/>
    <x v="167"/>
    <n v="105.53"/>
    <m/>
    <n v="105.53"/>
  </r>
  <r>
    <s v="06/01/2026"/>
    <x v="17"/>
    <x v="20"/>
    <x v="7"/>
    <x v="2"/>
    <x v="174"/>
    <n v="335.12"/>
    <m/>
    <n v="335.12"/>
  </r>
  <r>
    <s v="06/01/2026"/>
    <x v="17"/>
    <x v="20"/>
    <x v="7"/>
    <x v="2"/>
    <x v="184"/>
    <n v="2358.02"/>
    <m/>
    <n v="2358.02"/>
  </r>
  <r>
    <s v="06/01/2026"/>
    <x v="17"/>
    <x v="20"/>
    <x v="7"/>
    <x v="2"/>
    <x v="28"/>
    <n v="589.38"/>
    <m/>
    <n v="589.38"/>
  </r>
  <r>
    <s v="06/02/2026"/>
    <x v="17"/>
    <x v="20"/>
    <x v="7"/>
    <x v="2"/>
    <x v="239"/>
    <n v="787.88"/>
    <m/>
    <n v="787.88"/>
  </r>
  <r>
    <s v="06/05/2026"/>
    <x v="17"/>
    <x v="20"/>
    <x v="7"/>
    <x v="2"/>
    <x v="29"/>
    <n v="1066"/>
    <m/>
    <n v="1066"/>
  </r>
  <r>
    <s v="06/09/2026"/>
    <x v="17"/>
    <x v="20"/>
    <x v="7"/>
    <x v="2"/>
    <x v="175"/>
    <n v="106.6"/>
    <m/>
    <n v="106.6"/>
  </r>
  <r>
    <s v="06/09/2026"/>
    <x v="17"/>
    <x v="20"/>
    <x v="7"/>
    <x v="2"/>
    <x v="176"/>
    <n v="89.9"/>
    <m/>
    <n v="89.9"/>
  </r>
  <r>
    <s v="06/19/2026"/>
    <x v="17"/>
    <x v="8"/>
    <x v="3"/>
    <x v="2"/>
    <x v="53"/>
    <n v="213.15"/>
    <m/>
    <n v="213.15"/>
  </r>
  <r>
    <s v="06/29/2026"/>
    <x v="17"/>
    <x v="4"/>
    <x v="3"/>
    <x v="2"/>
    <x v="23"/>
    <n v="12.78"/>
    <m/>
    <n v="12.78"/>
  </r>
  <r>
    <s v="05/11/2026"/>
    <x v="16"/>
    <x v="22"/>
    <x v="3"/>
    <x v="2"/>
    <x v="186"/>
    <n v="284.85000000000002"/>
    <m/>
    <n v="284.85000000000002"/>
  </r>
  <r>
    <s v="06/11/2026"/>
    <x v="17"/>
    <x v="22"/>
    <x v="3"/>
    <x v="2"/>
    <x v="186"/>
    <n v="328.6"/>
    <m/>
    <n v="328.6"/>
  </r>
  <r>
    <s v="05/07/2026"/>
    <x v="16"/>
    <x v="24"/>
    <x v="4"/>
    <x v="1"/>
    <x v="194"/>
    <m/>
    <n v="79"/>
    <n v="-79"/>
  </r>
  <r>
    <s v="05/19/2026"/>
    <x v="16"/>
    <x v="24"/>
    <x v="4"/>
    <x v="1"/>
    <x v="191"/>
    <n v="24.99"/>
    <m/>
    <n v="24.99"/>
  </r>
  <r>
    <s v="06/19/2026"/>
    <x v="17"/>
    <x v="24"/>
    <x v="4"/>
    <x v="1"/>
    <x v="191"/>
    <n v="24.99"/>
    <m/>
    <n v="24.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s v="2025-01-01"/>
    <x v="0"/>
    <x v="0"/>
    <x v="0"/>
    <s v="Operational Cost"/>
    <x v="0"/>
    <n v="376923"/>
    <s v=""/>
    <n v="376923"/>
  </r>
  <r>
    <s v="2025-01-01"/>
    <x v="0"/>
    <x v="1"/>
    <x v="0"/>
    <s v="Operational Cost"/>
    <x v="0"/>
    <n v="65105"/>
    <s v=""/>
    <n v="65105"/>
  </r>
  <r>
    <s v="2025-01-01"/>
    <x v="0"/>
    <x v="2"/>
    <x v="1"/>
    <s v="Sales General &amp; Administration "/>
    <x v="1"/>
    <n v="143308"/>
    <s v=""/>
    <n v="143308"/>
  </r>
  <r>
    <s v="2025-01-01"/>
    <x v="0"/>
    <x v="3"/>
    <x v="1"/>
    <s v="Sales General &amp; Administration "/>
    <x v="2"/>
    <n v="125000"/>
    <s v=""/>
    <n v="125000"/>
  </r>
  <r>
    <s v="2025-01-02"/>
    <x v="0"/>
    <x v="4"/>
    <x v="2"/>
    <s v="Operational Cost"/>
    <x v="3"/>
    <n v="15900"/>
    <s v=""/>
    <n v="15900"/>
  </r>
  <r>
    <s v="2025-01-02"/>
    <x v="0"/>
    <x v="5"/>
    <x v="3"/>
    <s v="Sales General &amp; Administration "/>
    <x v="4"/>
    <n v="30000"/>
    <s v=""/>
    <n v="30000"/>
  </r>
  <r>
    <s v="2025-01-02"/>
    <x v="0"/>
    <x v="6"/>
    <x v="4"/>
    <s v="Operational Cost"/>
    <x v="5"/>
    <n v="256800"/>
    <s v=""/>
    <n v="256800"/>
  </r>
  <r>
    <s v="2025-01-02"/>
    <x v="0"/>
    <x v="7"/>
    <x v="3"/>
    <s v="Sales General &amp; Administration "/>
    <x v="6"/>
    <n v="6557"/>
    <s v=""/>
    <n v="6557"/>
  </r>
  <r>
    <s v="2025-01-02"/>
    <x v="0"/>
    <x v="7"/>
    <x v="3"/>
    <s v="Sales General &amp; Administration "/>
    <x v="6"/>
    <n v="15178.5"/>
    <s v=""/>
    <n v="15178.5"/>
  </r>
  <r>
    <s v="2025-01-03"/>
    <x v="0"/>
    <x v="8"/>
    <x v="5"/>
    <s v="Indirect Income"/>
    <x v="7"/>
    <s v=""/>
    <n v="13143.78"/>
    <n v="-13143.78"/>
  </r>
  <r>
    <s v="2025-01-03"/>
    <x v="0"/>
    <x v="9"/>
    <x v="2"/>
    <s v="Operational Cost"/>
    <x v="8"/>
    <n v="20000"/>
    <s v=""/>
    <n v="20000"/>
  </r>
  <r>
    <s v="2025-01-04"/>
    <x v="0"/>
    <x v="10"/>
    <x v="3"/>
    <s v="Operational Cost"/>
    <x v="9"/>
    <s v=""/>
    <n v="250000"/>
    <n v="-250000"/>
  </r>
  <r>
    <s v="2025-01-04"/>
    <x v="0"/>
    <x v="11"/>
    <x v="6"/>
    <s v="Operational Cost"/>
    <x v="10"/>
    <n v="2500"/>
    <s v=""/>
    <n v="2500"/>
  </r>
  <r>
    <s v="2025-01-04"/>
    <x v="0"/>
    <x v="12"/>
    <x v="7"/>
    <s v="Operational Cost"/>
    <x v="9"/>
    <n v="600000"/>
    <s v=""/>
    <n v="600000"/>
  </r>
  <r>
    <s v="2025-01-04"/>
    <x v="0"/>
    <x v="13"/>
    <x v="2"/>
    <s v="Operational Cost"/>
    <x v="11"/>
    <n v="147510"/>
    <s v=""/>
    <n v="147510"/>
  </r>
  <r>
    <s v="2025-01-04"/>
    <x v="0"/>
    <x v="14"/>
    <x v="3"/>
    <s v="Sales General &amp; Administration "/>
    <x v="12"/>
    <n v="130"/>
    <s v=""/>
    <n v="130"/>
  </r>
  <r>
    <s v="2025-01-04"/>
    <x v="0"/>
    <x v="14"/>
    <x v="3"/>
    <s v="Sales General &amp; Administration "/>
    <x v="13"/>
    <n v="8909"/>
    <s v=""/>
    <n v="8909"/>
  </r>
  <r>
    <s v="2025-01-04"/>
    <x v="0"/>
    <x v="14"/>
    <x v="3"/>
    <s v="Sales General &amp; Administration "/>
    <x v="12"/>
    <n v="260"/>
    <s v=""/>
    <n v="260"/>
  </r>
  <r>
    <s v="2025-01-04"/>
    <x v="0"/>
    <x v="14"/>
    <x v="3"/>
    <s v="Sales General &amp; Administration "/>
    <x v="9"/>
    <n v="8856"/>
    <s v=""/>
    <n v="8856"/>
  </r>
  <r>
    <s v="2025-01-04"/>
    <x v="0"/>
    <x v="10"/>
    <x v="3"/>
    <s v="Operational Cost"/>
    <x v="9"/>
    <n v="30477"/>
    <s v=""/>
    <n v="30477"/>
  </r>
  <r>
    <s v="2025-01-04"/>
    <x v="0"/>
    <x v="11"/>
    <x v="6"/>
    <s v="Operational Cost"/>
    <x v="9"/>
    <n v="4200"/>
    <s v=""/>
    <n v="4200"/>
  </r>
  <r>
    <s v="2025-01-04"/>
    <x v="0"/>
    <x v="15"/>
    <x v="2"/>
    <s v="Operational Cost"/>
    <x v="9"/>
    <n v="3455"/>
    <s v=""/>
    <n v="3455"/>
  </r>
  <r>
    <s v="2025-01-05"/>
    <x v="0"/>
    <x v="13"/>
    <x v="2"/>
    <s v="Operational Cost"/>
    <x v="14"/>
    <n v="2834"/>
    <s v=""/>
    <n v="2834"/>
  </r>
  <r>
    <s v="2025-01-05"/>
    <x v="0"/>
    <x v="16"/>
    <x v="6"/>
    <s v="Operational Cost"/>
    <x v="15"/>
    <n v="40833"/>
    <s v=""/>
    <n v="40833"/>
  </r>
  <r>
    <s v="2025-01-06"/>
    <x v="0"/>
    <x v="17"/>
    <x v="0"/>
    <s v="Operational Cost"/>
    <x v="16"/>
    <n v="180904.38"/>
    <s v=""/>
    <n v="180904.38"/>
  </r>
  <r>
    <s v="2025-01-06"/>
    <x v="0"/>
    <x v="18"/>
    <x v="0"/>
    <s v="Operational Cost"/>
    <x v="17"/>
    <n v="25000"/>
    <s v=""/>
    <n v="25000"/>
  </r>
  <r>
    <s v="2025-01-07"/>
    <x v="0"/>
    <x v="12"/>
    <x v="7"/>
    <s v="Operational Cost"/>
    <x v="9"/>
    <n v="158750"/>
    <s v=""/>
    <n v="158750"/>
  </r>
  <r>
    <s v="2025-01-08"/>
    <x v="0"/>
    <x v="19"/>
    <x v="8"/>
    <s v="Sales General &amp; Administration "/>
    <x v="9"/>
    <n v="45"/>
    <s v=""/>
    <n v="45"/>
  </r>
  <r>
    <s v="2025-01-08"/>
    <x v="0"/>
    <x v="20"/>
    <x v="3"/>
    <s v="Sales General &amp; Administration "/>
    <x v="18"/>
    <n v="2150"/>
    <s v=""/>
    <n v="2150"/>
  </r>
  <r>
    <s v="2025-01-09"/>
    <x v="0"/>
    <x v="15"/>
    <x v="2"/>
    <s v="Operational Cost"/>
    <x v="19"/>
    <n v="1298"/>
    <s v=""/>
    <n v="1298"/>
  </r>
  <r>
    <s v="2025-01-09"/>
    <x v="0"/>
    <x v="21"/>
    <x v="0"/>
    <s v="Operational Cost"/>
    <x v="20"/>
    <n v="119245"/>
    <s v=""/>
    <n v="119245"/>
  </r>
  <r>
    <s v="2025-01-09"/>
    <x v="0"/>
    <x v="15"/>
    <x v="2"/>
    <s v="Operational Cost"/>
    <x v="19"/>
    <n v="746.82"/>
    <s v=""/>
    <n v="746.82"/>
  </r>
  <r>
    <s v="2025-01-11"/>
    <x v="0"/>
    <x v="11"/>
    <x v="6"/>
    <s v="Operational Cost"/>
    <x v="10"/>
    <n v="6250"/>
    <s v=""/>
    <n v="6250"/>
  </r>
  <r>
    <s v="2025-01-12"/>
    <x v="0"/>
    <x v="2"/>
    <x v="1"/>
    <s v="Sales General &amp; Administration "/>
    <x v="1"/>
    <n v="66840"/>
    <s v=""/>
    <n v="66840"/>
  </r>
  <r>
    <s v="2025-01-13"/>
    <x v="0"/>
    <x v="7"/>
    <x v="3"/>
    <s v="Sales General &amp; Administration "/>
    <x v="9"/>
    <n v="10012"/>
    <s v=""/>
    <n v="10012"/>
  </r>
  <r>
    <s v="2025-01-13"/>
    <x v="0"/>
    <x v="13"/>
    <x v="2"/>
    <s v="Operational Cost"/>
    <x v="21"/>
    <n v="2793.06"/>
    <s v=""/>
    <n v="2793.06"/>
  </r>
  <r>
    <s v="2025-01-14"/>
    <x v="0"/>
    <x v="13"/>
    <x v="2"/>
    <s v="Operational Cost"/>
    <x v="14"/>
    <n v="1349"/>
    <s v=""/>
    <n v="1349"/>
  </r>
  <r>
    <s v="2025-01-15"/>
    <x v="0"/>
    <x v="13"/>
    <x v="2"/>
    <s v="Operational Cost"/>
    <x v="14"/>
    <n v="8913"/>
    <s v=""/>
    <n v="8913"/>
  </r>
  <r>
    <s v="2025-01-19"/>
    <x v="0"/>
    <x v="16"/>
    <x v="6"/>
    <s v="Operational Cost"/>
    <x v="15"/>
    <n v="723"/>
    <s v=""/>
    <n v="723"/>
  </r>
  <r>
    <s v="2025-01-20"/>
    <x v="0"/>
    <x v="13"/>
    <x v="2"/>
    <s v="Operational Cost"/>
    <x v="21"/>
    <n v="2367"/>
    <s v=""/>
    <n v="2367"/>
  </r>
  <r>
    <s v="2025-01-20"/>
    <x v="0"/>
    <x v="16"/>
    <x v="6"/>
    <s v="Operational Cost"/>
    <x v="15"/>
    <n v="5533"/>
    <s v=""/>
    <n v="5533"/>
  </r>
  <r>
    <s v="2025-01-21"/>
    <x v="0"/>
    <x v="10"/>
    <x v="3"/>
    <s v="Operational Cost"/>
    <x v="9"/>
    <s v=""/>
    <n v="100000"/>
    <n v="-100000"/>
  </r>
  <r>
    <s v="2025-01-22"/>
    <x v="0"/>
    <x v="13"/>
    <x v="2"/>
    <s v="Operational Cost"/>
    <x v="22"/>
    <n v="6299.14"/>
    <s v=""/>
    <n v="6299.14"/>
  </r>
  <r>
    <s v="2025-01-22"/>
    <x v="0"/>
    <x v="13"/>
    <x v="2"/>
    <s v="Operational Cost"/>
    <x v="14"/>
    <n v="5372"/>
    <s v=""/>
    <n v="5372"/>
  </r>
  <r>
    <s v="2025-01-24"/>
    <x v="0"/>
    <x v="19"/>
    <x v="8"/>
    <s v="Sales General &amp; Administration "/>
    <x v="12"/>
    <n v="23.67"/>
    <s v=""/>
    <n v="23.67"/>
  </r>
  <r>
    <s v="2025-01-26"/>
    <x v="0"/>
    <x v="13"/>
    <x v="2"/>
    <s v="Operational Cost"/>
    <x v="23"/>
    <n v="45000"/>
    <s v=""/>
    <n v="45000"/>
  </r>
  <r>
    <s v="2025-01-28"/>
    <x v="0"/>
    <x v="8"/>
    <x v="5"/>
    <s v="Indirect Income"/>
    <x v="7"/>
    <s v=""/>
    <n v="132159.17000000001"/>
    <n v="-132159.17000000001"/>
  </r>
  <r>
    <s v="2025-01-28"/>
    <x v="0"/>
    <x v="8"/>
    <x v="5"/>
    <s v="Indirect Income"/>
    <x v="7"/>
    <s v=""/>
    <n v="21932.62"/>
    <n v="-21932.62"/>
  </r>
  <r>
    <s v="2025-01-29"/>
    <x v="0"/>
    <x v="22"/>
    <x v="2"/>
    <s v="Operational Cost"/>
    <x v="24"/>
    <n v="37500"/>
    <s v=""/>
    <n v="37500"/>
  </r>
  <r>
    <s v="2025-01-30"/>
    <x v="0"/>
    <x v="23"/>
    <x v="2"/>
    <s v="Operational Cost"/>
    <x v="25"/>
    <n v="1000"/>
    <s v=""/>
    <n v="1000"/>
  </r>
  <r>
    <s v="2025-01-31"/>
    <x v="0"/>
    <x v="11"/>
    <x v="6"/>
    <s v="Operational Cost"/>
    <x v="12"/>
    <n v="2432.6"/>
    <s v=""/>
    <n v="2432.6"/>
  </r>
  <r>
    <s v="2025-01-31"/>
    <x v="0"/>
    <x v="24"/>
    <x v="9"/>
    <s v="Sales General &amp; Administration "/>
    <x v="26"/>
    <n v="208736"/>
    <s v=""/>
    <n v="208736"/>
  </r>
  <r>
    <s v="2025-01-31"/>
    <x v="0"/>
    <x v="24"/>
    <x v="9"/>
    <s v="Sales General &amp; Administration "/>
    <x v="26"/>
    <n v="160000"/>
    <s v=""/>
    <n v="160000"/>
  </r>
  <r>
    <s v="2025-01-31"/>
    <x v="0"/>
    <x v="24"/>
    <x v="9"/>
    <s v="Sales General &amp; Administration "/>
    <x v="26"/>
    <n v="160000"/>
    <s v=""/>
    <n v="160000"/>
  </r>
  <r>
    <s v="2025-01-31"/>
    <x v="0"/>
    <x v="24"/>
    <x v="9"/>
    <s v="Sales General &amp; Administration "/>
    <x v="26"/>
    <n v="41667"/>
    <s v=""/>
    <n v="41667"/>
  </r>
  <r>
    <s v="2025-01-31"/>
    <x v="0"/>
    <x v="24"/>
    <x v="9"/>
    <s v="Sales General &amp; Administration "/>
    <x v="26"/>
    <n v="268000"/>
    <s v=""/>
    <n v="268000"/>
  </r>
  <r>
    <s v="2025-01-31"/>
    <x v="0"/>
    <x v="25"/>
    <x v="7"/>
    <s v="Operational Cost"/>
    <x v="27"/>
    <n v="47000"/>
    <s v=""/>
    <n v="47000"/>
  </r>
  <r>
    <s v="2025-01-31"/>
    <x v="0"/>
    <x v="26"/>
    <x v="3"/>
    <s v="Sales General &amp; Administration "/>
    <x v="28"/>
    <n v="32000"/>
    <s v=""/>
    <n v="32000"/>
  </r>
  <r>
    <s v="2025-01-31"/>
    <x v="0"/>
    <x v="27"/>
    <x v="3"/>
    <s v="Sales General &amp; Administration "/>
    <x v="29"/>
    <n v="23602"/>
    <s v=""/>
    <n v="23602"/>
  </r>
  <r>
    <s v="2025-01-31"/>
    <x v="0"/>
    <x v="28"/>
    <x v="3"/>
    <s v="Sales General &amp; Administration "/>
    <x v="30"/>
    <n v="200794"/>
    <s v=""/>
    <n v="200794"/>
  </r>
  <r>
    <s v="2025-01-31"/>
    <x v="0"/>
    <x v="29"/>
    <x v="7"/>
    <s v="Operational Cost"/>
    <x v="31"/>
    <n v="3762414"/>
    <s v=""/>
    <n v="3762414"/>
  </r>
  <r>
    <s v="2025-01-31"/>
    <x v="0"/>
    <x v="30"/>
    <x v="7"/>
    <s v="Operational Cost"/>
    <x v="32"/>
    <n v="1911823"/>
    <s v=""/>
    <n v="1911823"/>
  </r>
  <r>
    <s v="2025-01-31"/>
    <x v="0"/>
    <x v="31"/>
    <x v="3"/>
    <s v="Sales General &amp; Administration "/>
    <x v="33"/>
    <n v="296342"/>
    <s v=""/>
    <n v="296342"/>
  </r>
  <r>
    <s v="2025-01-31"/>
    <x v="0"/>
    <x v="32"/>
    <x v="3"/>
    <s v="Sales General &amp; Administration "/>
    <x v="34"/>
    <n v="296342"/>
    <s v=""/>
    <n v="296342"/>
  </r>
  <r>
    <s v="2025-01-31"/>
    <x v="0"/>
    <x v="33"/>
    <x v="3"/>
    <s v="Sales General &amp; Administration "/>
    <x v="35"/>
    <n v="40714"/>
    <s v=""/>
    <n v="40714"/>
  </r>
  <r>
    <s v="2025-01-31"/>
    <x v="0"/>
    <x v="34"/>
    <x v="3"/>
    <s v="Sales General &amp; Administration "/>
    <x v="36"/>
    <n v="9433"/>
    <s v=""/>
    <n v="9433"/>
  </r>
  <r>
    <s v="2025-01-31"/>
    <x v="0"/>
    <x v="35"/>
    <x v="10"/>
    <s v="Sales General &amp; Administration "/>
    <x v="37"/>
    <n v="106743"/>
    <s v=""/>
    <n v="106743"/>
  </r>
  <r>
    <s v="2025-01-31"/>
    <x v="0"/>
    <x v="36"/>
    <x v="9"/>
    <s v="Sales General &amp; Administration "/>
    <x v="38"/>
    <n v="43600"/>
    <s v=""/>
    <n v="43600"/>
  </r>
  <r>
    <s v="2025-01-31"/>
    <x v="0"/>
    <x v="37"/>
    <x v="9"/>
    <s v="Sales General &amp; Administration "/>
    <x v="39"/>
    <n v="54601"/>
    <s v=""/>
    <n v="54601"/>
  </r>
  <r>
    <s v="2025-01-31"/>
    <x v="0"/>
    <x v="38"/>
    <x v="9"/>
    <s v="Sales General &amp; Administration "/>
    <x v="40"/>
    <n v="52473"/>
    <s v=""/>
    <n v="52473"/>
  </r>
  <r>
    <s v="2025-01-31"/>
    <x v="0"/>
    <x v="39"/>
    <x v="3"/>
    <s v="Sales General &amp; Administration "/>
    <x v="41"/>
    <n v="40200"/>
    <s v=""/>
    <n v="40200"/>
  </r>
  <r>
    <s v="2025-01-31"/>
    <x v="0"/>
    <x v="7"/>
    <x v="3"/>
    <s v="Sales General &amp; Administration "/>
    <x v="42"/>
    <n v="7100"/>
    <s v=""/>
    <n v="7100"/>
  </r>
  <r>
    <s v="2025-01-31"/>
    <x v="0"/>
    <x v="10"/>
    <x v="3"/>
    <s v="Operational Cost"/>
    <x v="43"/>
    <n v="2000"/>
    <s v=""/>
    <n v="2000"/>
  </r>
  <r>
    <s v="2025-01-31"/>
    <x v="0"/>
    <x v="5"/>
    <x v="3"/>
    <s v="Sales General &amp; Administration "/>
    <x v="44"/>
    <n v="5000"/>
    <s v=""/>
    <n v="5000"/>
  </r>
  <r>
    <s v="2025-01-31"/>
    <x v="0"/>
    <x v="11"/>
    <x v="6"/>
    <s v="Operational Cost"/>
    <x v="45"/>
    <n v="27922"/>
    <s v=""/>
    <n v="27922"/>
  </r>
  <r>
    <s v="2025-02-01"/>
    <x v="1"/>
    <x v="0"/>
    <x v="0"/>
    <s v="Operational Cost"/>
    <x v="0"/>
    <n v="376923"/>
    <s v=""/>
    <n v="376923"/>
  </r>
  <r>
    <s v="2025-02-01"/>
    <x v="1"/>
    <x v="1"/>
    <x v="0"/>
    <s v="Operational Cost"/>
    <x v="0"/>
    <n v="65105"/>
    <s v=""/>
    <n v="65105"/>
  </r>
  <r>
    <s v="2025-02-01"/>
    <x v="1"/>
    <x v="4"/>
    <x v="2"/>
    <s v="Operational Cost"/>
    <x v="3"/>
    <n v="15100"/>
    <s v=""/>
    <n v="15100"/>
  </r>
  <r>
    <s v="2025-02-01"/>
    <x v="1"/>
    <x v="19"/>
    <x v="8"/>
    <s v="Sales General &amp; Administration "/>
    <x v="12"/>
    <n v="120"/>
    <s v=""/>
    <n v="120"/>
  </r>
  <r>
    <s v="2025-02-01"/>
    <x v="1"/>
    <x v="40"/>
    <x v="3"/>
    <s v="Sales General &amp; Administration "/>
    <x v="46"/>
    <n v="16095"/>
    <s v=""/>
    <n v="16095"/>
  </r>
  <r>
    <s v="2025-02-01"/>
    <x v="1"/>
    <x v="40"/>
    <x v="3"/>
    <s v="Sales General &amp; Administration "/>
    <x v="46"/>
    <n v="16095"/>
    <s v=""/>
    <n v="16095"/>
  </r>
  <r>
    <s v="2025-02-01"/>
    <x v="1"/>
    <x v="6"/>
    <x v="4"/>
    <s v="Operational Cost"/>
    <x v="5"/>
    <n v="267200"/>
    <s v=""/>
    <n v="267200"/>
  </r>
  <r>
    <s v="2025-02-01"/>
    <x v="1"/>
    <x v="40"/>
    <x v="3"/>
    <s v="Sales General &amp; Administration "/>
    <x v="9"/>
    <n v="10000"/>
    <s v=""/>
    <n v="10000"/>
  </r>
  <r>
    <s v="2025-02-01"/>
    <x v="1"/>
    <x v="3"/>
    <x v="1"/>
    <s v="Sales General &amp; Administration "/>
    <x v="2"/>
    <n v="125000"/>
    <s v=""/>
    <n v="125000"/>
  </r>
  <r>
    <s v="2025-02-02"/>
    <x v="1"/>
    <x v="5"/>
    <x v="3"/>
    <s v="Sales General &amp; Administration "/>
    <x v="4"/>
    <n v="30000"/>
    <s v=""/>
    <n v="30000"/>
  </r>
  <r>
    <s v="2025-02-03"/>
    <x v="1"/>
    <x v="17"/>
    <x v="0"/>
    <s v="Operational Cost"/>
    <x v="16"/>
    <n v="166174.04999999999"/>
    <s v=""/>
    <n v="166174.04999999999"/>
  </r>
  <r>
    <s v="2025-02-03"/>
    <x v="1"/>
    <x v="9"/>
    <x v="2"/>
    <s v="Operational Cost"/>
    <x v="8"/>
    <n v="15333"/>
    <s v=""/>
    <n v="15333"/>
  </r>
  <r>
    <s v="2025-02-03"/>
    <x v="1"/>
    <x v="9"/>
    <x v="2"/>
    <s v="Operational Cost"/>
    <x v="8"/>
    <n v="12083"/>
    <s v=""/>
    <n v="12083"/>
  </r>
  <r>
    <s v="2025-02-03"/>
    <x v="1"/>
    <x v="14"/>
    <x v="3"/>
    <s v="Sales General &amp; Administration "/>
    <x v="12"/>
    <n v="900"/>
    <s v=""/>
    <n v="900"/>
  </r>
  <r>
    <s v="2025-02-04"/>
    <x v="1"/>
    <x v="7"/>
    <x v="3"/>
    <s v="Sales General &amp; Administration "/>
    <x v="6"/>
    <n v="14588.5"/>
    <s v=""/>
    <n v="14588.5"/>
  </r>
  <r>
    <s v="2025-02-05"/>
    <x v="1"/>
    <x v="18"/>
    <x v="0"/>
    <s v="Operational Cost"/>
    <x v="17"/>
    <n v="25000"/>
    <s v=""/>
    <n v="25000"/>
  </r>
  <r>
    <s v="2025-02-05"/>
    <x v="1"/>
    <x v="13"/>
    <x v="2"/>
    <s v="Operational Cost"/>
    <x v="14"/>
    <n v="2834"/>
    <s v=""/>
    <n v="2834"/>
  </r>
  <r>
    <s v="2025-02-05"/>
    <x v="1"/>
    <x v="16"/>
    <x v="6"/>
    <s v="Operational Cost"/>
    <x v="15"/>
    <n v="40833"/>
    <s v=""/>
    <n v="40833"/>
  </r>
  <r>
    <s v="2025-02-06"/>
    <x v="1"/>
    <x v="10"/>
    <x v="3"/>
    <s v="Operational Cost"/>
    <x v="9"/>
    <s v=""/>
    <n v="200000"/>
    <n v="-200000"/>
  </r>
  <r>
    <s v="2025-02-07"/>
    <x v="1"/>
    <x v="19"/>
    <x v="8"/>
    <s v="Sales General &amp; Administration "/>
    <x v="9"/>
    <n v="24"/>
    <s v=""/>
    <n v="24"/>
  </r>
  <r>
    <s v="2025-02-07"/>
    <x v="1"/>
    <x v="10"/>
    <x v="3"/>
    <s v="Operational Cost"/>
    <x v="9"/>
    <s v=""/>
    <n v="325000"/>
    <n v="-325000"/>
  </r>
  <r>
    <s v="2025-02-07"/>
    <x v="1"/>
    <x v="10"/>
    <x v="3"/>
    <s v="Operational Cost"/>
    <x v="43"/>
    <n v="213514"/>
    <s v=""/>
    <n v="213514"/>
  </r>
  <r>
    <s v="2025-02-09"/>
    <x v="1"/>
    <x v="15"/>
    <x v="2"/>
    <s v="Operational Cost"/>
    <x v="19"/>
    <n v="746.82"/>
    <s v=""/>
    <n v="746.82"/>
  </r>
  <r>
    <s v="2025-02-09"/>
    <x v="1"/>
    <x v="15"/>
    <x v="2"/>
    <s v="Operational Cost"/>
    <x v="19"/>
    <n v="1298"/>
    <s v=""/>
    <n v="1298"/>
  </r>
  <r>
    <s v="2025-02-10"/>
    <x v="1"/>
    <x v="17"/>
    <x v="0"/>
    <s v="Operational Cost"/>
    <x v="16"/>
    <n v="50444.74"/>
    <s v=""/>
    <n v="50444.74"/>
  </r>
  <r>
    <s v="2025-02-10"/>
    <x v="1"/>
    <x v="17"/>
    <x v="0"/>
    <s v="Operational Cost"/>
    <x v="16"/>
    <n v="487.69"/>
    <s v=""/>
    <n v="487.69"/>
  </r>
  <r>
    <s v="2025-02-10"/>
    <x v="1"/>
    <x v="19"/>
    <x v="8"/>
    <s v="Sales General &amp; Administration "/>
    <x v="9"/>
    <n v="6.49"/>
    <s v=""/>
    <n v="6.49"/>
  </r>
  <r>
    <s v="2025-02-11"/>
    <x v="1"/>
    <x v="14"/>
    <x v="3"/>
    <s v="Sales General &amp; Administration "/>
    <x v="12"/>
    <n v="1600"/>
    <s v=""/>
    <n v="1600"/>
  </r>
  <r>
    <s v="2025-02-12"/>
    <x v="1"/>
    <x v="2"/>
    <x v="1"/>
    <s v="Sales General &amp; Administration "/>
    <x v="1"/>
    <n v="259214"/>
    <s v=""/>
    <n v="259214"/>
  </r>
  <r>
    <s v="2025-02-13"/>
    <x v="1"/>
    <x v="41"/>
    <x v="1"/>
    <s v="Sales General &amp; Administration "/>
    <x v="47"/>
    <n v="100000"/>
    <s v=""/>
    <n v="100000"/>
  </r>
  <r>
    <s v="2025-02-13"/>
    <x v="1"/>
    <x v="10"/>
    <x v="3"/>
    <s v="Operational Cost"/>
    <x v="48"/>
    <n v="11272"/>
    <s v=""/>
    <n v="11272"/>
  </r>
  <r>
    <s v="2025-02-13"/>
    <x v="1"/>
    <x v="8"/>
    <x v="5"/>
    <s v="Indirect Income"/>
    <x v="7"/>
    <s v=""/>
    <n v="32148.9"/>
    <n v="-32148.9"/>
  </r>
  <r>
    <s v="2025-02-13"/>
    <x v="1"/>
    <x v="11"/>
    <x v="6"/>
    <s v="Operational Cost"/>
    <x v="49"/>
    <n v="6115.56"/>
    <s v=""/>
    <n v="6115.56"/>
  </r>
  <r>
    <s v="2025-02-13"/>
    <x v="1"/>
    <x v="10"/>
    <x v="3"/>
    <s v="Operational Cost"/>
    <x v="50"/>
    <n v="7814.19"/>
    <s v=""/>
    <n v="7814.19"/>
  </r>
  <r>
    <s v="2025-02-13"/>
    <x v="1"/>
    <x v="10"/>
    <x v="3"/>
    <s v="Operational Cost"/>
    <x v="12"/>
    <n v="114.5"/>
    <s v=""/>
    <n v="114.5"/>
  </r>
  <r>
    <s v="2025-02-13"/>
    <x v="1"/>
    <x v="13"/>
    <x v="2"/>
    <s v="Operational Cost"/>
    <x v="21"/>
    <n v="2793.06"/>
    <s v=""/>
    <n v="2793.06"/>
  </r>
  <r>
    <s v="2025-02-14"/>
    <x v="1"/>
    <x v="13"/>
    <x v="2"/>
    <s v="Operational Cost"/>
    <x v="14"/>
    <n v="1349"/>
    <s v=""/>
    <n v="1349"/>
  </r>
  <r>
    <s v="2025-02-14"/>
    <x v="1"/>
    <x v="11"/>
    <x v="6"/>
    <s v="Operational Cost"/>
    <x v="49"/>
    <n v="22907.73"/>
    <s v=""/>
    <n v="22907.73"/>
  </r>
  <r>
    <s v="2025-02-14"/>
    <x v="1"/>
    <x v="14"/>
    <x v="3"/>
    <s v="Sales General &amp; Administration "/>
    <x v="51"/>
    <n v="1181"/>
    <s v=""/>
    <n v="1181"/>
  </r>
  <r>
    <s v="2025-02-14"/>
    <x v="1"/>
    <x v="14"/>
    <x v="3"/>
    <s v="Sales General &amp; Administration "/>
    <x v="12"/>
    <n v="630"/>
    <s v=""/>
    <n v="630"/>
  </r>
  <r>
    <s v="2025-02-14"/>
    <x v="1"/>
    <x v="19"/>
    <x v="8"/>
    <s v="Sales General &amp; Administration "/>
    <x v="12"/>
    <n v="787.86"/>
    <s v=""/>
    <n v="787.86"/>
  </r>
  <r>
    <s v="2025-02-14"/>
    <x v="1"/>
    <x v="14"/>
    <x v="3"/>
    <s v="Sales General &amp; Administration "/>
    <x v="51"/>
    <n v="467"/>
    <s v=""/>
    <n v="467"/>
  </r>
  <r>
    <s v="2025-02-15"/>
    <x v="1"/>
    <x v="40"/>
    <x v="3"/>
    <s v="Sales General &amp; Administration "/>
    <x v="9"/>
    <n v="10000"/>
    <s v=""/>
    <n v="10000"/>
  </r>
  <r>
    <s v="2025-02-15"/>
    <x v="1"/>
    <x v="13"/>
    <x v="2"/>
    <s v="Operational Cost"/>
    <x v="14"/>
    <n v="8913"/>
    <s v=""/>
    <n v="8913"/>
  </r>
  <r>
    <s v="2025-02-15"/>
    <x v="1"/>
    <x v="21"/>
    <x v="0"/>
    <s v="Operational Cost"/>
    <x v="20"/>
    <n v="119485"/>
    <s v=""/>
    <n v="119485"/>
  </r>
  <r>
    <s v="2025-02-15"/>
    <x v="1"/>
    <x v="2"/>
    <x v="1"/>
    <s v="Sales General &amp; Administration "/>
    <x v="52"/>
    <n v="12420"/>
    <s v=""/>
    <n v="12420"/>
  </r>
  <r>
    <s v="2025-02-15"/>
    <x v="1"/>
    <x v="10"/>
    <x v="3"/>
    <s v="Operational Cost"/>
    <x v="51"/>
    <n v="1010"/>
    <s v=""/>
    <n v="1010"/>
  </r>
  <r>
    <s v="2025-02-16"/>
    <x v="1"/>
    <x v="10"/>
    <x v="3"/>
    <s v="Operational Cost"/>
    <x v="51"/>
    <s v=""/>
    <n v="10"/>
    <n v="-10"/>
  </r>
  <r>
    <s v="2025-02-16"/>
    <x v="1"/>
    <x v="11"/>
    <x v="6"/>
    <s v="Operational Cost"/>
    <x v="53"/>
    <n v="10950"/>
    <s v=""/>
    <n v="10950"/>
  </r>
  <r>
    <s v="2025-02-18"/>
    <x v="1"/>
    <x v="2"/>
    <x v="1"/>
    <s v="Sales General &amp; Administration "/>
    <x v="1"/>
    <n v="155070"/>
    <s v=""/>
    <n v="155070"/>
  </r>
  <r>
    <s v="2025-02-19"/>
    <x v="1"/>
    <x v="16"/>
    <x v="6"/>
    <s v="Operational Cost"/>
    <x v="15"/>
    <n v="723"/>
    <s v=""/>
    <n v="723"/>
  </r>
  <r>
    <s v="2025-02-19"/>
    <x v="1"/>
    <x v="13"/>
    <x v="2"/>
    <s v="Operational Cost"/>
    <x v="11"/>
    <n v="17469"/>
    <s v=""/>
    <n v="17469"/>
  </r>
  <r>
    <s v="2025-02-19"/>
    <x v="1"/>
    <x v="13"/>
    <x v="2"/>
    <s v="Operational Cost"/>
    <x v="11"/>
    <n v="909"/>
    <s v=""/>
    <n v="909"/>
  </r>
  <r>
    <s v="2025-02-19"/>
    <x v="1"/>
    <x v="42"/>
    <x v="3"/>
    <s v="Sales General &amp; Administration "/>
    <x v="54"/>
    <n v="85545"/>
    <s v=""/>
    <n v="85545"/>
  </r>
  <r>
    <s v="2025-02-19"/>
    <x v="1"/>
    <x v="42"/>
    <x v="3"/>
    <s v="Sales General &amp; Administration "/>
    <x v="54"/>
    <s v=""/>
    <n v="26342"/>
    <n v="-26342"/>
  </r>
  <r>
    <s v="2025-02-19"/>
    <x v="1"/>
    <x v="13"/>
    <x v="2"/>
    <s v="Operational Cost"/>
    <x v="22"/>
    <n v="6299.14"/>
    <s v=""/>
    <n v="6299.14"/>
  </r>
  <r>
    <s v="2025-02-20"/>
    <x v="1"/>
    <x v="16"/>
    <x v="6"/>
    <s v="Operational Cost"/>
    <x v="15"/>
    <n v="5533"/>
    <s v=""/>
    <n v="5533"/>
  </r>
  <r>
    <s v="2025-02-20"/>
    <x v="1"/>
    <x v="13"/>
    <x v="2"/>
    <s v="Operational Cost"/>
    <x v="23"/>
    <n v="50000"/>
    <s v=""/>
    <n v="50000"/>
  </r>
  <r>
    <s v="2025-02-20"/>
    <x v="1"/>
    <x v="13"/>
    <x v="2"/>
    <s v="Operational Cost"/>
    <x v="21"/>
    <n v="2367"/>
    <s v=""/>
    <n v="2367"/>
  </r>
  <r>
    <s v="2025-02-22"/>
    <x v="1"/>
    <x v="13"/>
    <x v="2"/>
    <s v="Operational Cost"/>
    <x v="14"/>
    <n v="5372"/>
    <s v=""/>
    <n v="5372"/>
  </r>
  <r>
    <s v="2025-02-24"/>
    <x v="1"/>
    <x v="19"/>
    <x v="8"/>
    <s v="Sales General &amp; Administration "/>
    <x v="12"/>
    <n v="23.67"/>
    <s v=""/>
    <n v="23.67"/>
  </r>
  <r>
    <s v="2025-02-24"/>
    <x v="1"/>
    <x v="19"/>
    <x v="8"/>
    <s v="Sales General &amp; Administration "/>
    <x v="55"/>
    <n v="17500"/>
    <s v=""/>
    <n v="17500"/>
  </r>
  <r>
    <s v="2025-02-24"/>
    <x v="1"/>
    <x v="19"/>
    <x v="8"/>
    <s v="Sales General &amp; Administration "/>
    <x v="55"/>
    <n v="500"/>
    <s v=""/>
    <n v="500"/>
  </r>
  <r>
    <s v="2025-02-24"/>
    <x v="1"/>
    <x v="16"/>
    <x v="6"/>
    <s v="Operational Cost"/>
    <x v="55"/>
    <n v="39839"/>
    <s v=""/>
    <n v="39839"/>
  </r>
  <r>
    <s v="2025-02-24"/>
    <x v="1"/>
    <x v="13"/>
    <x v="2"/>
    <s v="Operational Cost"/>
    <x v="56"/>
    <n v="1068"/>
    <s v=""/>
    <n v="1068"/>
  </r>
  <r>
    <s v="2025-02-27"/>
    <x v="1"/>
    <x v="8"/>
    <x v="5"/>
    <s v="Indirect Income"/>
    <x v="7"/>
    <s v=""/>
    <n v="75002.03"/>
    <n v="-75002.03"/>
  </r>
  <r>
    <s v="2025-02-27"/>
    <x v="1"/>
    <x v="8"/>
    <x v="5"/>
    <s v="Indirect Income"/>
    <x v="7"/>
    <s v=""/>
    <n v="31176.01"/>
    <n v="-31176.01"/>
  </r>
  <r>
    <s v="2025-02-28"/>
    <x v="1"/>
    <x v="22"/>
    <x v="2"/>
    <s v="Operational Cost"/>
    <x v="24"/>
    <n v="37500"/>
    <s v=""/>
    <n v="37500"/>
  </r>
  <r>
    <s v="2025-02-28"/>
    <x v="1"/>
    <x v="23"/>
    <x v="2"/>
    <s v="Operational Cost"/>
    <x v="25"/>
    <n v="1000"/>
    <s v=""/>
    <n v="1000"/>
  </r>
  <r>
    <s v="2025-02-28"/>
    <x v="1"/>
    <x v="24"/>
    <x v="9"/>
    <s v="Sales General &amp; Administration "/>
    <x v="26"/>
    <n v="208736"/>
    <s v=""/>
    <n v="208736"/>
  </r>
  <r>
    <s v="2025-02-28"/>
    <x v="1"/>
    <x v="24"/>
    <x v="9"/>
    <s v="Sales General &amp; Administration "/>
    <x v="26"/>
    <n v="160000"/>
    <s v=""/>
    <n v="160000"/>
  </r>
  <r>
    <s v="2025-02-28"/>
    <x v="1"/>
    <x v="24"/>
    <x v="9"/>
    <s v="Sales General &amp; Administration "/>
    <x v="26"/>
    <n v="160000"/>
    <s v=""/>
    <n v="160000"/>
  </r>
  <r>
    <s v="2025-02-28"/>
    <x v="1"/>
    <x v="24"/>
    <x v="9"/>
    <s v="Sales General &amp; Administration "/>
    <x v="26"/>
    <n v="268000"/>
    <s v=""/>
    <n v="268000"/>
  </r>
  <r>
    <s v="2025-02-28"/>
    <x v="1"/>
    <x v="25"/>
    <x v="7"/>
    <s v="Operational Cost"/>
    <x v="27"/>
    <n v="47000"/>
    <s v=""/>
    <n v="47000"/>
  </r>
  <r>
    <s v="2025-02-28"/>
    <x v="1"/>
    <x v="24"/>
    <x v="9"/>
    <s v="Sales General &amp; Administration "/>
    <x v="26"/>
    <n v="20833"/>
    <s v=""/>
    <n v="20833"/>
  </r>
  <r>
    <s v="2025-02-28"/>
    <x v="1"/>
    <x v="26"/>
    <x v="3"/>
    <s v="Sales General &amp; Administration "/>
    <x v="28"/>
    <n v="32000"/>
    <s v=""/>
    <n v="32000"/>
  </r>
  <r>
    <s v="2025-02-28"/>
    <x v="1"/>
    <x v="7"/>
    <x v="3"/>
    <s v="Sales General &amp; Administration "/>
    <x v="42"/>
    <n v="7260"/>
    <s v=""/>
    <n v="7260"/>
  </r>
  <r>
    <s v="2025-02-28"/>
    <x v="1"/>
    <x v="20"/>
    <x v="3"/>
    <s v="Sales General &amp; Administration "/>
    <x v="57"/>
    <n v="2040"/>
    <s v=""/>
    <n v="2040"/>
  </r>
  <r>
    <s v="2025-02-28"/>
    <x v="1"/>
    <x v="11"/>
    <x v="6"/>
    <s v="Operational Cost"/>
    <x v="45"/>
    <n v="34975"/>
    <s v=""/>
    <n v="34975"/>
  </r>
  <r>
    <s v="2025-02-28"/>
    <x v="1"/>
    <x v="11"/>
    <x v="6"/>
    <s v="Operational Cost"/>
    <x v="58"/>
    <n v="18000"/>
    <s v=""/>
    <n v="18000"/>
  </r>
  <r>
    <s v="2025-02-28"/>
    <x v="1"/>
    <x v="11"/>
    <x v="6"/>
    <s v="Operational Cost"/>
    <x v="58"/>
    <n v="82600"/>
    <s v=""/>
    <n v="82600"/>
  </r>
  <r>
    <s v="2025-02-28"/>
    <x v="1"/>
    <x v="11"/>
    <x v="6"/>
    <s v="Operational Cost"/>
    <x v="58"/>
    <n v="12360"/>
    <s v=""/>
    <n v="12360"/>
  </r>
  <r>
    <s v="2025-02-28"/>
    <x v="1"/>
    <x v="27"/>
    <x v="3"/>
    <s v="Sales General &amp; Administration "/>
    <x v="29"/>
    <n v="24672"/>
    <s v=""/>
    <n v="24672"/>
  </r>
  <r>
    <s v="2025-02-28"/>
    <x v="1"/>
    <x v="28"/>
    <x v="3"/>
    <s v="Sales General &amp; Administration "/>
    <x v="30"/>
    <n v="200730"/>
    <s v=""/>
    <n v="200730"/>
  </r>
  <r>
    <s v="2025-02-28"/>
    <x v="1"/>
    <x v="29"/>
    <x v="7"/>
    <s v="Operational Cost"/>
    <x v="31"/>
    <n v="4457855"/>
    <s v=""/>
    <n v="4457855"/>
  </r>
  <r>
    <s v="2025-02-28"/>
    <x v="1"/>
    <x v="30"/>
    <x v="7"/>
    <s v="Operational Cost"/>
    <x v="32"/>
    <n v="2198354"/>
    <s v=""/>
    <n v="2198354"/>
  </r>
  <r>
    <s v="2025-02-28"/>
    <x v="1"/>
    <x v="31"/>
    <x v="3"/>
    <s v="Sales General &amp; Administration "/>
    <x v="33"/>
    <n v="305791"/>
    <s v=""/>
    <n v="305791"/>
  </r>
  <r>
    <s v="2025-02-28"/>
    <x v="1"/>
    <x v="32"/>
    <x v="3"/>
    <s v="Sales General &amp; Administration "/>
    <x v="34"/>
    <n v="305791"/>
    <s v=""/>
    <n v="305791"/>
  </r>
  <r>
    <s v="2025-02-28"/>
    <x v="1"/>
    <x v="33"/>
    <x v="3"/>
    <s v="Sales General &amp; Administration "/>
    <x v="35"/>
    <n v="32778"/>
    <s v=""/>
    <n v="32778"/>
  </r>
  <r>
    <s v="2025-02-28"/>
    <x v="1"/>
    <x v="34"/>
    <x v="3"/>
    <s v="Sales General &amp; Administration "/>
    <x v="36"/>
    <n v="7599"/>
    <s v=""/>
    <n v="7599"/>
  </r>
  <r>
    <s v="2025-02-28"/>
    <x v="1"/>
    <x v="35"/>
    <x v="10"/>
    <s v="Sales General &amp; Administration "/>
    <x v="37"/>
    <n v="143864"/>
    <s v=""/>
    <n v="143864"/>
  </r>
  <r>
    <s v="2025-02-28"/>
    <x v="1"/>
    <x v="36"/>
    <x v="9"/>
    <s v="Sales General &amp; Administration "/>
    <x v="38"/>
    <n v="43600"/>
    <s v=""/>
    <n v="43600"/>
  </r>
  <r>
    <s v="2025-02-28"/>
    <x v="1"/>
    <x v="37"/>
    <x v="9"/>
    <s v="Sales General &amp; Administration "/>
    <x v="39"/>
    <n v="77859"/>
    <s v=""/>
    <n v="77859"/>
  </r>
  <r>
    <s v="2025-02-28"/>
    <x v="1"/>
    <x v="38"/>
    <x v="9"/>
    <s v="Sales General &amp; Administration "/>
    <x v="40"/>
    <n v="71393"/>
    <s v=""/>
    <n v="71393"/>
  </r>
  <r>
    <s v="2025-02-28"/>
    <x v="1"/>
    <x v="39"/>
    <x v="3"/>
    <s v="Sales General &amp; Administration "/>
    <x v="41"/>
    <n v="41600"/>
    <s v=""/>
    <n v="41600"/>
  </r>
  <r>
    <s v="2025-03-01"/>
    <x v="2"/>
    <x v="0"/>
    <x v="0"/>
    <s v="Operational Cost"/>
    <x v="0"/>
    <n v="376923"/>
    <s v=""/>
    <n v="376923"/>
  </r>
  <r>
    <s v="2025-03-01"/>
    <x v="2"/>
    <x v="1"/>
    <x v="0"/>
    <s v="Operational Cost"/>
    <x v="0"/>
    <n v="65105"/>
    <s v=""/>
    <n v="65105"/>
  </r>
  <r>
    <s v="2025-03-01"/>
    <x v="2"/>
    <x v="5"/>
    <x v="3"/>
    <s v="Sales General &amp; Administration "/>
    <x v="4"/>
    <n v="30000"/>
    <s v=""/>
    <n v="30000"/>
  </r>
  <r>
    <s v="2025-03-01"/>
    <x v="2"/>
    <x v="4"/>
    <x v="2"/>
    <s v="Operational Cost"/>
    <x v="3"/>
    <n v="15100"/>
    <s v=""/>
    <n v="15100"/>
  </r>
  <r>
    <s v="2025-03-01"/>
    <x v="2"/>
    <x v="6"/>
    <x v="4"/>
    <s v="Operational Cost"/>
    <x v="5"/>
    <n v="248000"/>
    <s v=""/>
    <n v="248000"/>
  </r>
  <r>
    <s v="2025-03-01"/>
    <x v="2"/>
    <x v="14"/>
    <x v="3"/>
    <s v="Sales General &amp; Administration "/>
    <x v="59"/>
    <n v="206943.42"/>
    <s v=""/>
    <n v="206943.42"/>
  </r>
  <r>
    <s v="2025-03-01"/>
    <x v="2"/>
    <x v="3"/>
    <x v="1"/>
    <s v="Sales General &amp; Administration "/>
    <x v="2"/>
    <n v="125000"/>
    <s v=""/>
    <n v="125000"/>
  </r>
  <r>
    <s v="2025-03-01"/>
    <x v="2"/>
    <x v="10"/>
    <x v="3"/>
    <s v="Operational Cost"/>
    <x v="60"/>
    <n v="19047.62"/>
    <s v=""/>
    <n v="19047.62"/>
  </r>
  <r>
    <s v="2025-03-02"/>
    <x v="2"/>
    <x v="11"/>
    <x v="6"/>
    <s v="Operational Cost"/>
    <x v="61"/>
    <n v="15594"/>
    <s v=""/>
    <n v="15594"/>
  </r>
  <r>
    <s v="2025-03-03"/>
    <x v="2"/>
    <x v="7"/>
    <x v="3"/>
    <s v="Sales General &amp; Administration "/>
    <x v="6"/>
    <n v="13245.5"/>
    <s v=""/>
    <n v="13245.5"/>
  </r>
  <r>
    <s v="2025-03-03"/>
    <x v="2"/>
    <x v="7"/>
    <x v="3"/>
    <s v="Sales General &amp; Administration "/>
    <x v="6"/>
    <n v="4810"/>
    <s v=""/>
    <n v="4810"/>
  </r>
  <r>
    <s v="2025-03-03"/>
    <x v="2"/>
    <x v="9"/>
    <x v="2"/>
    <s v="Operational Cost"/>
    <x v="8"/>
    <n v="15333"/>
    <s v=""/>
    <n v="15333"/>
  </r>
  <r>
    <s v="2025-03-03"/>
    <x v="2"/>
    <x v="9"/>
    <x v="2"/>
    <s v="Operational Cost"/>
    <x v="8"/>
    <n v="12083"/>
    <s v=""/>
    <n v="12083"/>
  </r>
  <r>
    <s v="2025-03-03"/>
    <x v="2"/>
    <x v="11"/>
    <x v="6"/>
    <s v="Operational Cost"/>
    <x v="12"/>
    <n v="1579.91"/>
    <s v=""/>
    <n v="1579.91"/>
  </r>
  <r>
    <s v="2025-03-04"/>
    <x v="2"/>
    <x v="10"/>
    <x v="3"/>
    <s v="Operational Cost"/>
    <x v="9"/>
    <n v="13927"/>
    <s v=""/>
    <n v="13927"/>
  </r>
  <r>
    <s v="2025-03-04"/>
    <x v="2"/>
    <x v="7"/>
    <x v="3"/>
    <s v="Sales General &amp; Administration "/>
    <x v="62"/>
    <n v="422.88"/>
    <s v=""/>
    <n v="422.88"/>
  </r>
  <r>
    <s v="2025-03-04"/>
    <x v="2"/>
    <x v="7"/>
    <x v="3"/>
    <s v="Sales General &amp; Administration "/>
    <x v="63"/>
    <n v="295.76"/>
    <s v=""/>
    <n v="295.76"/>
  </r>
  <r>
    <s v="2025-03-04"/>
    <x v="2"/>
    <x v="13"/>
    <x v="2"/>
    <s v="Operational Cost"/>
    <x v="22"/>
    <n v="3147.6"/>
    <s v=""/>
    <n v="3147.6"/>
  </r>
  <r>
    <s v="2025-03-04"/>
    <x v="2"/>
    <x v="11"/>
    <x v="6"/>
    <s v="Operational Cost"/>
    <x v="51"/>
    <n v="675"/>
    <s v=""/>
    <n v="675"/>
  </r>
  <r>
    <s v="2025-03-05"/>
    <x v="2"/>
    <x v="13"/>
    <x v="2"/>
    <s v="Operational Cost"/>
    <x v="14"/>
    <n v="2834"/>
    <s v=""/>
    <n v="2834"/>
  </r>
  <r>
    <s v="2025-03-05"/>
    <x v="2"/>
    <x v="16"/>
    <x v="6"/>
    <s v="Operational Cost"/>
    <x v="15"/>
    <n v="40833"/>
    <s v=""/>
    <n v="40833"/>
  </r>
  <r>
    <s v="2025-03-05"/>
    <x v="2"/>
    <x v="10"/>
    <x v="3"/>
    <s v="Operational Cost"/>
    <x v="60"/>
    <n v="22380.959999999999"/>
    <s v=""/>
    <n v="22380.959999999999"/>
  </r>
  <r>
    <s v="2025-03-06"/>
    <x v="2"/>
    <x v="18"/>
    <x v="0"/>
    <s v="Operational Cost"/>
    <x v="17"/>
    <n v="25000"/>
    <s v=""/>
    <n v="25000"/>
  </r>
  <r>
    <s v="2025-03-06"/>
    <x v="2"/>
    <x v="2"/>
    <x v="1"/>
    <s v="Sales General &amp; Administration "/>
    <x v="52"/>
    <n v="53658"/>
    <s v=""/>
    <n v="53658"/>
  </r>
  <r>
    <s v="2025-03-07"/>
    <x v="2"/>
    <x v="19"/>
    <x v="8"/>
    <s v="Sales General &amp; Administration "/>
    <x v="9"/>
    <n v="28"/>
    <s v=""/>
    <n v="28"/>
  </r>
  <r>
    <s v="2025-03-07"/>
    <x v="2"/>
    <x v="11"/>
    <x v="6"/>
    <s v="Operational Cost"/>
    <x v="10"/>
    <n v="3750"/>
    <s v=""/>
    <n v="3750"/>
  </r>
  <r>
    <s v="2025-03-07"/>
    <x v="2"/>
    <x v="11"/>
    <x v="6"/>
    <s v="Operational Cost"/>
    <x v="9"/>
    <n v="26222.25"/>
    <s v=""/>
    <n v="26222.25"/>
  </r>
  <r>
    <s v="2025-03-08"/>
    <x v="2"/>
    <x v="10"/>
    <x v="3"/>
    <s v="Operational Cost"/>
    <x v="64"/>
    <n v="6852"/>
    <s v=""/>
    <n v="6852"/>
  </r>
  <r>
    <s v="2025-03-09"/>
    <x v="2"/>
    <x v="15"/>
    <x v="2"/>
    <s v="Operational Cost"/>
    <x v="19"/>
    <n v="1298"/>
    <s v=""/>
    <n v="1298"/>
  </r>
  <r>
    <s v="2025-03-09"/>
    <x v="2"/>
    <x v="15"/>
    <x v="2"/>
    <s v="Operational Cost"/>
    <x v="19"/>
    <n v="746.82"/>
    <s v=""/>
    <n v="746.82"/>
  </r>
  <r>
    <s v="2025-03-10"/>
    <x v="2"/>
    <x v="17"/>
    <x v="0"/>
    <s v="Operational Cost"/>
    <x v="16"/>
    <n v="182837.26"/>
    <s v=""/>
    <n v="182837.26"/>
  </r>
  <r>
    <s v="2025-03-12"/>
    <x v="2"/>
    <x v="8"/>
    <x v="5"/>
    <s v="Indirect Income"/>
    <x v="7"/>
    <s v=""/>
    <n v="35968.410000000003"/>
    <n v="-35968.410000000003"/>
  </r>
  <r>
    <s v="2025-03-13"/>
    <x v="2"/>
    <x v="2"/>
    <x v="1"/>
    <s v="Sales General &amp; Administration "/>
    <x v="1"/>
    <n v="373254"/>
    <s v=""/>
    <n v="373254"/>
  </r>
  <r>
    <s v="2025-03-13"/>
    <x v="2"/>
    <x v="2"/>
    <x v="1"/>
    <s v="Sales General &amp; Administration "/>
    <x v="1"/>
    <n v="619024"/>
    <s v=""/>
    <n v="619024"/>
  </r>
  <r>
    <s v="2025-03-13"/>
    <x v="2"/>
    <x v="13"/>
    <x v="2"/>
    <s v="Operational Cost"/>
    <x v="21"/>
    <n v="2793.06"/>
    <s v=""/>
    <n v="2793.06"/>
  </r>
  <r>
    <s v="2025-03-13"/>
    <x v="2"/>
    <x v="43"/>
    <x v="6"/>
    <s v="Operational Cost"/>
    <x v="9"/>
    <n v="95500"/>
    <s v=""/>
    <n v="95500"/>
  </r>
  <r>
    <s v="2025-03-14"/>
    <x v="2"/>
    <x v="13"/>
    <x v="2"/>
    <s v="Operational Cost"/>
    <x v="14"/>
    <n v="1349"/>
    <s v=""/>
    <n v="1349"/>
  </r>
  <r>
    <s v="2025-03-15"/>
    <x v="2"/>
    <x v="21"/>
    <x v="0"/>
    <s v="Operational Cost"/>
    <x v="20"/>
    <n v="119470"/>
    <s v=""/>
    <n v="119470"/>
  </r>
  <r>
    <s v="2025-03-15"/>
    <x v="2"/>
    <x v="13"/>
    <x v="2"/>
    <s v="Operational Cost"/>
    <x v="14"/>
    <n v="8913"/>
    <s v=""/>
    <n v="8913"/>
  </r>
  <r>
    <s v="2025-03-18"/>
    <x v="2"/>
    <x v="16"/>
    <x v="6"/>
    <s v="Operational Cost"/>
    <x v="15"/>
    <n v="523"/>
    <s v=""/>
    <n v="523"/>
  </r>
  <r>
    <s v="2025-03-19"/>
    <x v="2"/>
    <x v="8"/>
    <x v="5"/>
    <s v="Indirect Income"/>
    <x v="7"/>
    <s v=""/>
    <n v="10117.700000000001"/>
    <n v="-10117.700000000001"/>
  </r>
  <r>
    <s v="2025-03-19"/>
    <x v="2"/>
    <x v="16"/>
    <x v="6"/>
    <s v="Operational Cost"/>
    <x v="15"/>
    <n v="723"/>
    <s v=""/>
    <n v="723"/>
  </r>
  <r>
    <s v="2025-03-19"/>
    <x v="2"/>
    <x v="19"/>
    <x v="8"/>
    <s v="Sales General &amp; Administration "/>
    <x v="51"/>
    <s v=""/>
    <n v="4999"/>
    <n v="-4999"/>
  </r>
  <r>
    <s v="2025-03-20"/>
    <x v="2"/>
    <x v="16"/>
    <x v="6"/>
    <s v="Operational Cost"/>
    <x v="15"/>
    <n v="5533"/>
    <s v=""/>
    <n v="5533"/>
  </r>
  <r>
    <s v="2025-03-20"/>
    <x v="2"/>
    <x v="13"/>
    <x v="2"/>
    <s v="Operational Cost"/>
    <x v="22"/>
    <n v="6299.14"/>
    <s v=""/>
    <n v="6299.14"/>
  </r>
  <r>
    <s v="2025-03-20"/>
    <x v="2"/>
    <x v="13"/>
    <x v="2"/>
    <s v="Operational Cost"/>
    <x v="21"/>
    <n v="2367"/>
    <s v=""/>
    <n v="2367"/>
  </r>
  <r>
    <s v="2025-03-22"/>
    <x v="2"/>
    <x v="13"/>
    <x v="2"/>
    <s v="Operational Cost"/>
    <x v="14"/>
    <n v="5372"/>
    <s v=""/>
    <n v="5372"/>
  </r>
  <r>
    <s v="2025-03-24"/>
    <x v="2"/>
    <x v="13"/>
    <x v="2"/>
    <s v="Operational Cost"/>
    <x v="23"/>
    <n v="50000"/>
    <s v=""/>
    <n v="50000"/>
  </r>
  <r>
    <s v="2025-03-24"/>
    <x v="2"/>
    <x v="19"/>
    <x v="8"/>
    <s v="Sales General &amp; Administration "/>
    <x v="12"/>
    <n v="23.67"/>
    <s v=""/>
    <n v="23.67"/>
  </r>
  <r>
    <s v="2025-03-25"/>
    <x v="2"/>
    <x v="11"/>
    <x v="6"/>
    <s v="Operational Cost"/>
    <x v="58"/>
    <n v="37160"/>
    <s v=""/>
    <n v="37160"/>
  </r>
  <r>
    <s v="2025-03-25"/>
    <x v="2"/>
    <x v="13"/>
    <x v="2"/>
    <s v="Operational Cost"/>
    <x v="21"/>
    <n v="1499"/>
    <s v=""/>
    <n v="1499"/>
  </r>
  <r>
    <s v="2025-03-25"/>
    <x v="2"/>
    <x v="11"/>
    <x v="6"/>
    <s v="Operational Cost"/>
    <x v="9"/>
    <n v="12874.2"/>
    <s v=""/>
    <n v="12874.2"/>
  </r>
  <r>
    <s v="2025-03-26"/>
    <x v="2"/>
    <x v="8"/>
    <x v="5"/>
    <s v="Indirect Income"/>
    <x v="7"/>
    <n v="17371.939999999999"/>
    <s v=""/>
    <n v="17371.939999999999"/>
  </r>
  <r>
    <s v="2025-03-27"/>
    <x v="2"/>
    <x v="44"/>
    <x v="3"/>
    <s v="Operational Cost"/>
    <x v="65"/>
    <n v="14000"/>
    <s v=""/>
    <n v="14000"/>
  </r>
  <r>
    <s v="2025-03-28"/>
    <x v="2"/>
    <x v="24"/>
    <x v="9"/>
    <s v="Sales General &amp; Administration "/>
    <x v="26"/>
    <n v="160000"/>
    <s v=""/>
    <n v="160000"/>
  </r>
  <r>
    <s v="2025-03-28"/>
    <x v="2"/>
    <x v="24"/>
    <x v="9"/>
    <s v="Sales General &amp; Administration "/>
    <x v="26"/>
    <n v="160000"/>
    <s v=""/>
    <n v="160000"/>
  </r>
  <r>
    <s v="2025-03-28"/>
    <x v="2"/>
    <x v="25"/>
    <x v="7"/>
    <s v="Operational Cost"/>
    <x v="27"/>
    <n v="47000"/>
    <s v=""/>
    <n v="47000"/>
  </r>
  <r>
    <s v="2025-03-28"/>
    <x v="2"/>
    <x v="7"/>
    <x v="3"/>
    <s v="Sales General &amp; Administration "/>
    <x v="42"/>
    <n v="5608"/>
    <s v=""/>
    <n v="5608"/>
  </r>
  <r>
    <s v="2025-03-28"/>
    <x v="2"/>
    <x v="10"/>
    <x v="3"/>
    <s v="Operational Cost"/>
    <x v="43"/>
    <n v="378"/>
    <s v=""/>
    <n v="378"/>
  </r>
  <r>
    <s v="2025-03-28"/>
    <x v="2"/>
    <x v="11"/>
    <x v="6"/>
    <s v="Operational Cost"/>
    <x v="45"/>
    <n v="33338"/>
    <s v=""/>
    <n v="33338"/>
  </r>
  <r>
    <s v="2025-03-28"/>
    <x v="2"/>
    <x v="27"/>
    <x v="3"/>
    <s v="Sales General &amp; Administration "/>
    <x v="29"/>
    <n v="25850"/>
    <s v=""/>
    <n v="25850"/>
  </r>
  <r>
    <s v="2025-03-28"/>
    <x v="2"/>
    <x v="28"/>
    <x v="3"/>
    <s v="Sales General &amp; Administration "/>
    <x v="30"/>
    <n v="210292"/>
    <s v=""/>
    <n v="210292"/>
  </r>
  <r>
    <s v="2025-03-28"/>
    <x v="2"/>
    <x v="29"/>
    <x v="7"/>
    <s v="Operational Cost"/>
    <x v="31"/>
    <n v="4579463"/>
    <s v=""/>
    <n v="4579463"/>
  </r>
  <r>
    <s v="2025-03-28"/>
    <x v="2"/>
    <x v="30"/>
    <x v="7"/>
    <s v="Operational Cost"/>
    <x v="32"/>
    <n v="2043456"/>
    <s v=""/>
    <n v="2043456"/>
  </r>
  <r>
    <s v="2025-03-28"/>
    <x v="2"/>
    <x v="31"/>
    <x v="3"/>
    <s v="Sales General &amp; Administration "/>
    <x v="33"/>
    <n v="317357"/>
    <s v=""/>
    <n v="317357"/>
  </r>
  <r>
    <s v="2025-03-28"/>
    <x v="2"/>
    <x v="32"/>
    <x v="3"/>
    <s v="Sales General &amp; Administration "/>
    <x v="34"/>
    <n v="317357"/>
    <s v=""/>
    <n v="317357"/>
  </r>
  <r>
    <s v="2025-03-28"/>
    <x v="2"/>
    <x v="33"/>
    <x v="3"/>
    <s v="Sales General &amp; Administration "/>
    <x v="35"/>
    <n v="22250"/>
    <s v=""/>
    <n v="22250"/>
  </r>
  <r>
    <s v="2025-03-28"/>
    <x v="2"/>
    <x v="34"/>
    <x v="3"/>
    <s v="Sales General &amp; Administration "/>
    <x v="36"/>
    <n v="5145"/>
    <s v=""/>
    <n v="5145"/>
  </r>
  <r>
    <s v="2025-03-28"/>
    <x v="2"/>
    <x v="35"/>
    <x v="10"/>
    <s v="Sales General &amp; Administration "/>
    <x v="37"/>
    <n v="123335"/>
    <s v=""/>
    <n v="123335"/>
  </r>
  <r>
    <s v="2025-03-28"/>
    <x v="2"/>
    <x v="36"/>
    <x v="9"/>
    <s v="Sales General &amp; Administration "/>
    <x v="38"/>
    <n v="42181"/>
    <s v=""/>
    <n v="42181"/>
  </r>
  <r>
    <s v="2025-03-28"/>
    <x v="2"/>
    <x v="37"/>
    <x v="9"/>
    <s v="Sales General &amp; Administration "/>
    <x v="39"/>
    <n v="74488"/>
    <s v=""/>
    <n v="74488"/>
  </r>
  <r>
    <s v="2025-03-28"/>
    <x v="2"/>
    <x v="38"/>
    <x v="9"/>
    <s v="Sales General &amp; Administration "/>
    <x v="40"/>
    <n v="65718"/>
    <s v=""/>
    <n v="65718"/>
  </r>
  <r>
    <s v="2025-03-28"/>
    <x v="2"/>
    <x v="39"/>
    <x v="3"/>
    <s v="Sales General &amp; Administration "/>
    <x v="41"/>
    <n v="53330"/>
    <s v=""/>
    <n v="53330"/>
  </r>
  <r>
    <s v="2025-03-28"/>
    <x v="2"/>
    <x v="24"/>
    <x v="9"/>
    <s v="Sales General &amp; Administration "/>
    <x v="26"/>
    <n v="268000"/>
    <s v=""/>
    <n v="268000"/>
  </r>
  <r>
    <s v="2025-03-28"/>
    <x v="2"/>
    <x v="24"/>
    <x v="9"/>
    <s v="Sales General &amp; Administration "/>
    <x v="26"/>
    <n v="208736"/>
    <s v=""/>
    <n v="208736"/>
  </r>
  <r>
    <s v="2025-03-29"/>
    <x v="2"/>
    <x v="22"/>
    <x v="2"/>
    <s v="Operational Cost"/>
    <x v="24"/>
    <n v="37500"/>
    <s v=""/>
    <n v="37500"/>
  </r>
  <r>
    <s v="2025-03-29"/>
    <x v="2"/>
    <x v="45"/>
    <x v="3"/>
    <s v="Operational Cost"/>
    <x v="66"/>
    <n v="3000"/>
    <s v=""/>
    <n v="3000"/>
  </r>
  <r>
    <s v="2025-03-30"/>
    <x v="2"/>
    <x v="23"/>
    <x v="2"/>
    <s v="Operational Cost"/>
    <x v="25"/>
    <n v="1000"/>
    <s v=""/>
    <n v="1000"/>
  </r>
  <r>
    <s v="2025-03-31"/>
    <x v="2"/>
    <x v="23"/>
    <x v="2"/>
    <s v="Operational Cost"/>
    <x v="67"/>
    <n v="55800"/>
    <s v=""/>
    <n v="55800"/>
  </r>
  <r>
    <s v="2025-03-31"/>
    <x v="2"/>
    <x v="26"/>
    <x v="3"/>
    <s v="Sales General &amp; Administration "/>
    <x v="28"/>
    <n v="32000"/>
    <s v=""/>
    <n v="32000"/>
  </r>
  <r>
    <s v="2025-03-31"/>
    <x v="2"/>
    <x v="2"/>
    <x v="1"/>
    <s v="Sales General &amp; Administration "/>
    <x v="1"/>
    <n v="27690"/>
    <s v=""/>
    <n v="27690"/>
  </r>
  <r>
    <s v="2025-04-01"/>
    <x v="3"/>
    <x v="1"/>
    <x v="0"/>
    <s v="Operational Cost"/>
    <x v="0"/>
    <n v="65105"/>
    <s v=""/>
    <n v="65105"/>
  </r>
  <r>
    <s v="2025-04-01"/>
    <x v="3"/>
    <x v="0"/>
    <x v="0"/>
    <s v="Operational Cost"/>
    <x v="0"/>
    <n v="376923"/>
    <s v=""/>
    <n v="376923"/>
  </r>
  <r>
    <s v="2025-04-01"/>
    <x v="3"/>
    <x v="4"/>
    <x v="2"/>
    <s v="Operational Cost"/>
    <x v="3"/>
    <n v="15100"/>
    <s v=""/>
    <n v="15100"/>
  </r>
  <r>
    <s v="2025-04-01"/>
    <x v="3"/>
    <x v="6"/>
    <x v="4"/>
    <s v="Operational Cost"/>
    <x v="5"/>
    <n v="252400"/>
    <s v=""/>
    <n v="252400"/>
  </r>
  <r>
    <s v="2025-04-01"/>
    <x v="3"/>
    <x v="3"/>
    <x v="1"/>
    <s v="Sales General &amp; Administration "/>
    <x v="2"/>
    <n v="125000"/>
    <s v=""/>
    <n v="125000"/>
  </r>
  <r>
    <s v="2025-04-01"/>
    <x v="3"/>
    <x v="7"/>
    <x v="3"/>
    <s v="Sales General &amp; Administration "/>
    <x v="6"/>
    <n v="14334"/>
    <s v=""/>
    <n v="14334"/>
  </r>
  <r>
    <s v="2025-04-01"/>
    <x v="3"/>
    <x v="46"/>
    <x v="8"/>
    <s v="Sales General &amp; Administration "/>
    <x v="55"/>
    <n v="1205"/>
    <s v=""/>
    <n v="1205"/>
  </r>
  <r>
    <s v="2025-04-01"/>
    <x v="3"/>
    <x v="8"/>
    <x v="5"/>
    <s v="Indirect Income"/>
    <x v="7"/>
    <n v="126082.89"/>
    <s v=""/>
    <n v="126082.89"/>
  </r>
  <r>
    <s v="2025-04-02"/>
    <x v="3"/>
    <x v="17"/>
    <x v="0"/>
    <s v="Operational Cost"/>
    <x v="16"/>
    <n v="185335.34"/>
    <s v=""/>
    <n v="185335.34"/>
  </r>
  <r>
    <s v="2025-04-02"/>
    <x v="3"/>
    <x v="17"/>
    <x v="0"/>
    <s v="Operational Cost"/>
    <x v="16"/>
    <n v="51394.48"/>
    <s v=""/>
    <n v="51394.48"/>
  </r>
  <r>
    <s v="2025-04-02"/>
    <x v="3"/>
    <x v="8"/>
    <x v="5"/>
    <s v="Indirect Income"/>
    <x v="7"/>
    <n v="2132.1"/>
    <s v=""/>
    <n v="2132.1"/>
  </r>
  <r>
    <s v="2025-04-02"/>
    <x v="3"/>
    <x v="8"/>
    <x v="5"/>
    <s v="Indirect Income"/>
    <x v="7"/>
    <n v="16091.1"/>
    <s v=""/>
    <n v="16091.1"/>
  </r>
  <r>
    <s v="2025-04-02"/>
    <x v="3"/>
    <x v="17"/>
    <x v="0"/>
    <s v="Operational Cost"/>
    <x v="16"/>
    <n v="644.72"/>
    <s v=""/>
    <n v="644.72"/>
  </r>
  <r>
    <s v="2025-04-03"/>
    <x v="3"/>
    <x v="7"/>
    <x v="3"/>
    <s v="Sales General &amp; Administration "/>
    <x v="6"/>
    <n v="1150"/>
    <s v=""/>
    <n v="1150"/>
  </r>
  <r>
    <s v="2025-04-03"/>
    <x v="3"/>
    <x v="9"/>
    <x v="2"/>
    <s v="Operational Cost"/>
    <x v="8"/>
    <n v="23333"/>
    <s v=""/>
    <n v="23333"/>
  </r>
  <r>
    <s v="2025-04-03"/>
    <x v="3"/>
    <x v="9"/>
    <x v="2"/>
    <s v="Operational Cost"/>
    <x v="8"/>
    <n v="10417"/>
    <s v=""/>
    <n v="10417"/>
  </r>
  <r>
    <s v="2025-04-04"/>
    <x v="3"/>
    <x v="14"/>
    <x v="3"/>
    <s v="Sales General &amp; Administration "/>
    <x v="9"/>
    <n v="3826"/>
    <s v=""/>
    <n v="3826"/>
  </r>
  <r>
    <s v="2025-04-05"/>
    <x v="3"/>
    <x v="13"/>
    <x v="2"/>
    <s v="Operational Cost"/>
    <x v="14"/>
    <n v="2834"/>
    <s v=""/>
    <n v="2834"/>
  </r>
  <r>
    <s v="2025-04-05"/>
    <x v="3"/>
    <x v="16"/>
    <x v="6"/>
    <s v="Operational Cost"/>
    <x v="15"/>
    <n v="40833"/>
    <s v=""/>
    <n v="40833"/>
  </r>
  <r>
    <s v="2025-04-05"/>
    <x v="3"/>
    <x v="11"/>
    <x v="6"/>
    <s v="Operational Cost"/>
    <x v="12"/>
    <n v="9110"/>
    <s v=""/>
    <n v="9110"/>
  </r>
  <r>
    <s v="2025-04-07"/>
    <x v="3"/>
    <x v="18"/>
    <x v="0"/>
    <s v="Operational Cost"/>
    <x v="17"/>
    <n v="25000"/>
    <s v=""/>
    <n v="25000"/>
  </r>
  <r>
    <s v="2025-04-08"/>
    <x v="3"/>
    <x v="19"/>
    <x v="8"/>
    <s v="Sales General &amp; Administration "/>
    <x v="9"/>
    <n v="1003"/>
    <s v=""/>
    <n v="1003"/>
  </r>
  <r>
    <s v="2025-04-09"/>
    <x v="3"/>
    <x v="15"/>
    <x v="2"/>
    <s v="Operational Cost"/>
    <x v="19"/>
    <n v="1298"/>
    <s v=""/>
    <n v="1298"/>
  </r>
  <r>
    <s v="2025-04-09"/>
    <x v="3"/>
    <x v="15"/>
    <x v="2"/>
    <s v="Operational Cost"/>
    <x v="19"/>
    <n v="746.82"/>
    <s v=""/>
    <n v="746.82"/>
  </r>
  <r>
    <s v="2025-04-11"/>
    <x v="3"/>
    <x v="16"/>
    <x v="6"/>
    <s v="Operational Cost"/>
    <x v="15"/>
    <n v="994"/>
    <s v=""/>
    <n v="994"/>
  </r>
  <r>
    <s v="2025-04-12"/>
    <x v="3"/>
    <x v="10"/>
    <x v="3"/>
    <s v="Operational Cost"/>
    <x v="51"/>
    <n v="2000"/>
    <s v=""/>
    <n v="2000"/>
  </r>
  <r>
    <s v="2025-04-13"/>
    <x v="3"/>
    <x v="13"/>
    <x v="2"/>
    <s v="Operational Cost"/>
    <x v="21"/>
    <n v="2793.06"/>
    <s v=""/>
    <n v="2793.06"/>
  </r>
  <r>
    <s v="2025-04-14"/>
    <x v="3"/>
    <x v="13"/>
    <x v="2"/>
    <s v="Operational Cost"/>
    <x v="14"/>
    <n v="1349"/>
    <s v=""/>
    <n v="1349"/>
  </r>
  <r>
    <s v="2025-04-14"/>
    <x v="3"/>
    <x v="10"/>
    <x v="3"/>
    <s v="Operational Cost"/>
    <x v="51"/>
    <n v="1502.67"/>
    <s v=""/>
    <n v="1502.67"/>
  </r>
  <r>
    <s v="2025-04-15"/>
    <x v="3"/>
    <x v="13"/>
    <x v="2"/>
    <s v="Operational Cost"/>
    <x v="14"/>
    <n v="8913"/>
    <s v=""/>
    <n v="8913"/>
  </r>
  <r>
    <s v="2025-04-15"/>
    <x v="3"/>
    <x v="10"/>
    <x v="3"/>
    <s v="Operational Cost"/>
    <x v="12"/>
    <s v=""/>
    <n v="50.09"/>
    <n v="-50.09"/>
  </r>
  <r>
    <s v="2025-04-15"/>
    <x v="3"/>
    <x v="10"/>
    <x v="3"/>
    <s v="Operational Cost"/>
    <x v="12"/>
    <n v="5058.76"/>
    <s v=""/>
    <n v="5058.76"/>
  </r>
  <r>
    <s v="2025-04-15"/>
    <x v="3"/>
    <x v="14"/>
    <x v="3"/>
    <s v="Sales General &amp; Administration "/>
    <x v="12"/>
    <n v="340"/>
    <s v=""/>
    <n v="340"/>
  </r>
  <r>
    <s v="2025-04-16"/>
    <x v="3"/>
    <x v="14"/>
    <x v="3"/>
    <s v="Sales General &amp; Administration "/>
    <x v="12"/>
    <n v="480"/>
    <s v=""/>
    <n v="480"/>
  </r>
  <r>
    <s v="2025-04-16"/>
    <x v="3"/>
    <x v="11"/>
    <x v="6"/>
    <s v="Operational Cost"/>
    <x v="10"/>
    <n v="1339.29"/>
    <s v=""/>
    <n v="1339.29"/>
  </r>
  <r>
    <s v="2025-04-17"/>
    <x v="3"/>
    <x v="10"/>
    <x v="3"/>
    <s v="Operational Cost"/>
    <x v="68"/>
    <n v="8356.51"/>
    <s v=""/>
    <n v="8356.51"/>
  </r>
  <r>
    <s v="2025-04-18"/>
    <x v="3"/>
    <x v="16"/>
    <x v="6"/>
    <s v="Operational Cost"/>
    <x v="15"/>
    <n v="896"/>
    <s v=""/>
    <n v="896"/>
  </r>
  <r>
    <s v="2025-04-19"/>
    <x v="3"/>
    <x v="13"/>
    <x v="2"/>
    <s v="Operational Cost"/>
    <x v="22"/>
    <n v="6299.14"/>
    <s v=""/>
    <n v="6299.14"/>
  </r>
  <r>
    <s v="2025-04-19"/>
    <x v="3"/>
    <x v="16"/>
    <x v="6"/>
    <s v="Operational Cost"/>
    <x v="15"/>
    <n v="789"/>
    <s v=""/>
    <n v="789"/>
  </r>
  <r>
    <s v="2025-04-20"/>
    <x v="3"/>
    <x v="16"/>
    <x v="6"/>
    <s v="Operational Cost"/>
    <x v="15"/>
    <n v="5533"/>
    <s v=""/>
    <n v="5533"/>
  </r>
  <r>
    <s v="2025-04-21"/>
    <x v="3"/>
    <x v="21"/>
    <x v="0"/>
    <s v="Operational Cost"/>
    <x v="20"/>
    <n v="120435"/>
    <s v=""/>
    <n v="120435"/>
  </r>
  <r>
    <s v="2025-04-22"/>
    <x v="3"/>
    <x v="13"/>
    <x v="2"/>
    <s v="Operational Cost"/>
    <x v="14"/>
    <n v="5372"/>
    <s v=""/>
    <n v="5372"/>
  </r>
  <r>
    <s v="2025-04-22"/>
    <x v="3"/>
    <x v="13"/>
    <x v="2"/>
    <s v="Operational Cost"/>
    <x v="21"/>
    <n v="2367"/>
    <s v=""/>
    <n v="2367"/>
  </r>
  <r>
    <s v="2025-04-23"/>
    <x v="3"/>
    <x v="8"/>
    <x v="5"/>
    <s v="Indirect Income"/>
    <x v="7"/>
    <n v="43501.4"/>
    <s v=""/>
    <n v="43501.4"/>
  </r>
  <r>
    <s v="2025-04-23"/>
    <x v="3"/>
    <x v="13"/>
    <x v="2"/>
    <s v="Operational Cost"/>
    <x v="23"/>
    <n v="50000"/>
    <s v=""/>
    <n v="50000"/>
  </r>
  <r>
    <s v="2025-04-26"/>
    <x v="3"/>
    <x v="19"/>
    <x v="8"/>
    <s v="Sales General &amp; Administration "/>
    <x v="12"/>
    <n v="23.67"/>
    <s v=""/>
    <n v="23.67"/>
  </r>
  <r>
    <s v="2025-04-27"/>
    <x v="3"/>
    <x v="13"/>
    <x v="2"/>
    <s v="Operational Cost"/>
    <x v="21"/>
    <n v="1499"/>
    <s v=""/>
    <n v="1499"/>
  </r>
  <r>
    <s v="2025-04-28"/>
    <x v="3"/>
    <x v="10"/>
    <x v="3"/>
    <s v="Operational Cost"/>
    <x v="51"/>
    <n v="2566.61"/>
    <s v=""/>
    <n v="2566.61"/>
  </r>
  <r>
    <s v="2025-04-28"/>
    <x v="3"/>
    <x v="11"/>
    <x v="6"/>
    <s v="Operational Cost"/>
    <x v="9"/>
    <n v="42861.25"/>
    <s v=""/>
    <n v="42861.25"/>
  </r>
  <r>
    <s v="2025-04-29"/>
    <x v="3"/>
    <x v="22"/>
    <x v="2"/>
    <s v="Operational Cost"/>
    <x v="24"/>
    <n v="37500"/>
    <s v=""/>
    <n v="37500"/>
  </r>
  <r>
    <s v="2025-04-29"/>
    <x v="3"/>
    <x v="11"/>
    <x v="6"/>
    <s v="Operational Cost"/>
    <x v="10"/>
    <n v="1250"/>
    <s v=""/>
    <n v="1250"/>
  </r>
  <r>
    <s v="2025-04-30"/>
    <x v="3"/>
    <x v="23"/>
    <x v="2"/>
    <s v="Operational Cost"/>
    <x v="25"/>
    <n v="1000"/>
    <s v=""/>
    <n v="1000"/>
  </r>
  <r>
    <s v="2025-04-30"/>
    <x v="3"/>
    <x v="25"/>
    <x v="7"/>
    <s v="Operational Cost"/>
    <x v="27"/>
    <n v="47000"/>
    <s v=""/>
    <n v="47000"/>
  </r>
  <r>
    <s v="2025-04-30"/>
    <x v="3"/>
    <x v="8"/>
    <x v="5"/>
    <s v="Indirect Income"/>
    <x v="7"/>
    <n v="31458.85"/>
    <s v=""/>
    <n v="31458.85"/>
  </r>
  <r>
    <s v="2025-04-30"/>
    <x v="3"/>
    <x v="26"/>
    <x v="3"/>
    <s v="Sales General &amp; Administration "/>
    <x v="28"/>
    <n v="32000"/>
    <s v=""/>
    <n v="32000"/>
  </r>
  <r>
    <s v="2025-04-30"/>
    <x v="3"/>
    <x v="24"/>
    <x v="9"/>
    <s v="Sales General &amp; Administration "/>
    <x v="26"/>
    <n v="160000"/>
    <s v=""/>
    <n v="160000"/>
  </r>
  <r>
    <s v="2025-04-30"/>
    <x v="3"/>
    <x v="24"/>
    <x v="9"/>
    <s v="Sales General &amp; Administration "/>
    <x v="26"/>
    <n v="160000"/>
    <s v=""/>
    <n v="160000"/>
  </r>
  <r>
    <s v="2025-04-30"/>
    <x v="3"/>
    <x v="24"/>
    <x v="9"/>
    <s v="Sales General &amp; Administration "/>
    <x v="26"/>
    <n v="240000"/>
    <s v=""/>
    <n v="240000"/>
  </r>
  <r>
    <s v="2025-04-30"/>
    <x v="3"/>
    <x v="11"/>
    <x v="6"/>
    <s v="Operational Cost"/>
    <x v="45"/>
    <n v="114467"/>
    <s v=""/>
    <n v="114467"/>
  </r>
  <r>
    <s v="2025-04-30"/>
    <x v="3"/>
    <x v="7"/>
    <x v="3"/>
    <s v="Sales General &amp; Administration "/>
    <x v="42"/>
    <n v="10230"/>
    <s v=""/>
    <n v="10230"/>
  </r>
  <r>
    <s v="2025-04-30"/>
    <x v="3"/>
    <x v="10"/>
    <x v="3"/>
    <s v="Operational Cost"/>
    <x v="43"/>
    <n v="1500"/>
    <s v=""/>
    <n v="1500"/>
  </r>
  <r>
    <s v="2025-04-30"/>
    <x v="3"/>
    <x v="11"/>
    <x v="6"/>
    <s v="Operational Cost"/>
    <x v="45"/>
    <n v="29955"/>
    <s v=""/>
    <n v="29955"/>
  </r>
  <r>
    <s v="2025-04-30"/>
    <x v="3"/>
    <x v="27"/>
    <x v="3"/>
    <s v="Sales General &amp; Administration "/>
    <x v="29"/>
    <n v="25656"/>
    <s v=""/>
    <n v="25656"/>
  </r>
  <r>
    <s v="2025-04-30"/>
    <x v="3"/>
    <x v="28"/>
    <x v="3"/>
    <s v="Sales General &amp; Administration "/>
    <x v="30"/>
    <n v="216462"/>
    <s v=""/>
    <n v="216462"/>
  </r>
  <r>
    <s v="2025-04-30"/>
    <x v="3"/>
    <x v="29"/>
    <x v="7"/>
    <s v="Operational Cost"/>
    <x v="31"/>
    <n v="4473906"/>
    <s v=""/>
    <n v="4473906"/>
  </r>
  <r>
    <s v="2025-04-30"/>
    <x v="3"/>
    <x v="30"/>
    <x v="7"/>
    <s v="Operational Cost"/>
    <x v="32"/>
    <n v="2108487"/>
    <s v=""/>
    <n v="2108487"/>
  </r>
  <r>
    <s v="2025-04-30"/>
    <x v="3"/>
    <x v="31"/>
    <x v="3"/>
    <s v="Sales General &amp; Administration "/>
    <x v="33"/>
    <n v="296981"/>
    <s v=""/>
    <n v="296981"/>
  </r>
  <r>
    <s v="2025-04-30"/>
    <x v="3"/>
    <x v="32"/>
    <x v="3"/>
    <s v="Sales General &amp; Administration "/>
    <x v="34"/>
    <n v="296981"/>
    <s v=""/>
    <n v="296981"/>
  </r>
  <r>
    <s v="2025-04-30"/>
    <x v="3"/>
    <x v="33"/>
    <x v="3"/>
    <s v="Sales General &amp; Administration "/>
    <x v="35"/>
    <n v="18315"/>
    <s v=""/>
    <n v="18315"/>
  </r>
  <r>
    <s v="2025-04-30"/>
    <x v="3"/>
    <x v="34"/>
    <x v="3"/>
    <s v="Sales General &amp; Administration "/>
    <x v="36"/>
    <n v="4252"/>
    <s v=""/>
    <n v="4252"/>
  </r>
  <r>
    <s v="2025-04-30"/>
    <x v="3"/>
    <x v="35"/>
    <x v="10"/>
    <s v="Sales General &amp; Administration "/>
    <x v="37"/>
    <n v="135405"/>
    <s v=""/>
    <n v="135405"/>
  </r>
  <r>
    <s v="2025-04-30"/>
    <x v="3"/>
    <x v="36"/>
    <x v="9"/>
    <s v="Sales General &amp; Administration "/>
    <x v="38"/>
    <n v="43600"/>
    <s v=""/>
    <n v="43600"/>
  </r>
  <r>
    <s v="2025-04-30"/>
    <x v="3"/>
    <x v="37"/>
    <x v="9"/>
    <s v="Sales General &amp; Administration "/>
    <x v="39"/>
    <n v="74488"/>
    <s v=""/>
    <n v="74488"/>
  </r>
  <r>
    <s v="2025-04-30"/>
    <x v="3"/>
    <x v="38"/>
    <x v="9"/>
    <s v="Sales General &amp; Administration "/>
    <x v="40"/>
    <n v="63878"/>
    <s v=""/>
    <n v="63878"/>
  </r>
  <r>
    <s v="2025-04-30"/>
    <x v="3"/>
    <x v="39"/>
    <x v="3"/>
    <s v="Sales General &amp; Administration "/>
    <x v="41"/>
    <n v="45400"/>
    <s v=""/>
    <n v="45400"/>
  </r>
  <r>
    <s v="2025-04-30"/>
    <x v="3"/>
    <x v="24"/>
    <x v="9"/>
    <s v="Sales General &amp; Administration "/>
    <x v="26"/>
    <n v="268000"/>
    <s v=""/>
    <n v="268000"/>
  </r>
  <r>
    <s v="2025-04-30"/>
    <x v="3"/>
    <x v="31"/>
    <x v="3"/>
    <s v="Sales General &amp; Administration "/>
    <x v="33"/>
    <n v="12000"/>
    <s v=""/>
    <n v="12000"/>
  </r>
  <r>
    <s v="2025-04-30"/>
    <x v="3"/>
    <x v="32"/>
    <x v="3"/>
    <s v="Sales General &amp; Administration "/>
    <x v="34"/>
    <n v="12000"/>
    <s v=""/>
    <n v="12000"/>
  </r>
  <r>
    <s v="2025-04-30"/>
    <x v="3"/>
    <x v="24"/>
    <x v="9"/>
    <s v="Sales General &amp; Administration "/>
    <x v="26"/>
    <n v="227712"/>
    <s v=""/>
    <n v="227712"/>
  </r>
  <r>
    <s v="2025-04-30"/>
    <x v="3"/>
    <x v="31"/>
    <x v="3"/>
    <s v="Sales General &amp; Administration "/>
    <x v="33"/>
    <n v="6000"/>
    <s v=""/>
    <n v="6000"/>
  </r>
  <r>
    <s v="2025-04-30"/>
    <x v="3"/>
    <x v="32"/>
    <x v="3"/>
    <s v="Sales General &amp; Administration "/>
    <x v="34"/>
    <n v="6000"/>
    <s v=""/>
    <n v="6000"/>
  </r>
  <r>
    <s v="2025-05-01"/>
    <x v="4"/>
    <x v="17"/>
    <x v="0"/>
    <s v="Operational Cost"/>
    <x v="16"/>
    <n v="205380.36"/>
    <s v=""/>
    <n v="205380.36"/>
  </r>
  <r>
    <s v="2025-05-01"/>
    <x v="4"/>
    <x v="0"/>
    <x v="0"/>
    <s v="Operational Cost"/>
    <x v="0"/>
    <n v="376923"/>
    <s v=""/>
    <n v="376923"/>
  </r>
  <r>
    <s v="2025-05-01"/>
    <x v="4"/>
    <x v="1"/>
    <x v="0"/>
    <s v="Operational Cost"/>
    <x v="0"/>
    <n v="65105"/>
    <s v=""/>
    <n v="65105"/>
  </r>
  <r>
    <s v="2025-05-01"/>
    <x v="4"/>
    <x v="46"/>
    <x v="8"/>
    <s v="Sales General &amp; Administration "/>
    <x v="55"/>
    <n v="603"/>
    <s v=""/>
    <n v="603"/>
  </r>
  <r>
    <s v="2025-05-01"/>
    <x v="4"/>
    <x v="3"/>
    <x v="1"/>
    <s v="Sales General &amp; Administration "/>
    <x v="2"/>
    <n v="125000"/>
    <s v=""/>
    <n v="125000"/>
  </r>
  <r>
    <s v="2025-05-02"/>
    <x v="4"/>
    <x v="10"/>
    <x v="3"/>
    <s v="Operational Cost"/>
    <x v="69"/>
    <n v="2114"/>
    <s v=""/>
    <n v="2114"/>
  </r>
  <r>
    <s v="2025-05-02"/>
    <x v="4"/>
    <x v="41"/>
    <x v="1"/>
    <s v="Sales General &amp; Administration "/>
    <x v="69"/>
    <n v="60450"/>
    <s v=""/>
    <n v="60450"/>
  </r>
  <r>
    <s v="2025-05-02"/>
    <x v="4"/>
    <x v="4"/>
    <x v="2"/>
    <s v="Operational Cost"/>
    <x v="3"/>
    <n v="15100"/>
    <s v=""/>
    <n v="15100"/>
  </r>
  <r>
    <s v="2025-05-02"/>
    <x v="4"/>
    <x v="11"/>
    <x v="6"/>
    <s v="Operational Cost"/>
    <x v="70"/>
    <n v="28125"/>
    <s v=""/>
    <n v="28125"/>
  </r>
  <r>
    <s v="2025-05-02"/>
    <x v="4"/>
    <x v="47"/>
    <x v="3"/>
    <s v="Sales General &amp; Administration "/>
    <x v="71"/>
    <n v="57927.7"/>
    <s v=""/>
    <n v="57927.7"/>
  </r>
  <r>
    <s v="2025-05-03"/>
    <x v="4"/>
    <x v="9"/>
    <x v="2"/>
    <s v="Operational Cost"/>
    <x v="8"/>
    <n v="10417"/>
    <s v=""/>
    <n v="10417"/>
  </r>
  <r>
    <s v="2025-05-03"/>
    <x v="4"/>
    <x v="9"/>
    <x v="2"/>
    <s v="Operational Cost"/>
    <x v="8"/>
    <n v="23333"/>
    <s v=""/>
    <n v="23333"/>
  </r>
  <r>
    <s v="2025-05-05"/>
    <x v="4"/>
    <x v="6"/>
    <x v="4"/>
    <s v="Operational Cost"/>
    <x v="5"/>
    <n v="237080"/>
    <s v=""/>
    <n v="237080"/>
  </r>
  <r>
    <s v="2025-05-05"/>
    <x v="4"/>
    <x v="7"/>
    <x v="3"/>
    <s v="Sales General &amp; Administration "/>
    <x v="6"/>
    <n v="16498.5"/>
    <s v=""/>
    <n v="16498.5"/>
  </r>
  <r>
    <s v="2025-05-05"/>
    <x v="4"/>
    <x v="13"/>
    <x v="2"/>
    <s v="Operational Cost"/>
    <x v="14"/>
    <n v="2834"/>
    <s v=""/>
    <n v="2834"/>
  </r>
  <r>
    <s v="2025-05-05"/>
    <x v="4"/>
    <x v="16"/>
    <x v="6"/>
    <s v="Operational Cost"/>
    <x v="15"/>
    <n v="40833"/>
    <s v=""/>
    <n v="40833"/>
  </r>
  <r>
    <s v="2025-05-06"/>
    <x v="4"/>
    <x v="18"/>
    <x v="0"/>
    <s v="Operational Cost"/>
    <x v="17"/>
    <n v="26250"/>
    <s v=""/>
    <n v="26250"/>
  </r>
  <r>
    <s v="2025-05-06"/>
    <x v="4"/>
    <x v="11"/>
    <x v="6"/>
    <s v="Operational Cost"/>
    <x v="9"/>
    <n v="42350"/>
    <s v=""/>
    <n v="42350"/>
  </r>
  <r>
    <s v="2025-05-07"/>
    <x v="4"/>
    <x v="48"/>
    <x v="8"/>
    <s v="Sales General &amp; Administration "/>
    <x v="9"/>
    <n v="300"/>
    <s v=""/>
    <n v="300"/>
  </r>
  <r>
    <s v="2025-05-08"/>
    <x v="4"/>
    <x v="19"/>
    <x v="8"/>
    <s v="Sales General &amp; Administration "/>
    <x v="9"/>
    <n v="72"/>
    <s v=""/>
    <n v="72"/>
  </r>
  <r>
    <s v="2025-05-08"/>
    <x v="4"/>
    <x v="11"/>
    <x v="6"/>
    <s v="Operational Cost"/>
    <x v="9"/>
    <n v="2243"/>
    <s v=""/>
    <n v="2243"/>
  </r>
  <r>
    <s v="2025-05-09"/>
    <x v="4"/>
    <x v="15"/>
    <x v="2"/>
    <s v="Operational Cost"/>
    <x v="19"/>
    <n v="1298"/>
    <s v=""/>
    <n v="1298"/>
  </r>
  <r>
    <s v="2025-05-09"/>
    <x v="4"/>
    <x v="15"/>
    <x v="2"/>
    <s v="Operational Cost"/>
    <x v="19"/>
    <n v="746.82"/>
    <s v=""/>
    <n v="746.82"/>
  </r>
  <r>
    <s v="2025-05-09"/>
    <x v="4"/>
    <x v="42"/>
    <x v="3"/>
    <s v="Sales General &amp; Administration "/>
    <x v="72"/>
    <n v="40000"/>
    <s v=""/>
    <n v="40000"/>
  </r>
  <r>
    <s v="2025-05-11"/>
    <x v="4"/>
    <x v="16"/>
    <x v="6"/>
    <s v="Operational Cost"/>
    <x v="15"/>
    <n v="994"/>
    <s v=""/>
    <n v="994"/>
  </r>
  <r>
    <s v="2025-05-12"/>
    <x v="4"/>
    <x v="19"/>
    <x v="8"/>
    <s v="Sales General &amp; Administration "/>
    <x v="51"/>
    <n v="1512.36"/>
    <s v=""/>
    <n v="1512.36"/>
  </r>
  <r>
    <s v="2025-05-13"/>
    <x v="4"/>
    <x v="14"/>
    <x v="3"/>
    <s v="Sales General &amp; Administration "/>
    <x v="9"/>
    <n v="561"/>
    <s v=""/>
    <n v="561"/>
  </r>
  <r>
    <s v="2025-05-13"/>
    <x v="4"/>
    <x v="14"/>
    <x v="3"/>
    <s v="Sales General &amp; Administration "/>
    <x v="9"/>
    <n v="3505"/>
    <s v=""/>
    <n v="3505"/>
  </r>
  <r>
    <s v="2025-05-13"/>
    <x v="4"/>
    <x v="14"/>
    <x v="3"/>
    <s v="Sales General &amp; Administration "/>
    <x v="9"/>
    <n v="6150"/>
    <s v=""/>
    <n v="6150"/>
  </r>
  <r>
    <s v="2025-05-13"/>
    <x v="4"/>
    <x v="15"/>
    <x v="2"/>
    <s v="Operational Cost"/>
    <x v="19"/>
    <n v="4718"/>
    <s v=""/>
    <n v="4718"/>
  </r>
  <r>
    <s v="2025-05-13"/>
    <x v="4"/>
    <x v="13"/>
    <x v="2"/>
    <s v="Operational Cost"/>
    <x v="21"/>
    <n v="2793.06"/>
    <s v=""/>
    <n v="2793.06"/>
  </r>
  <r>
    <s v="2025-05-14"/>
    <x v="4"/>
    <x v="7"/>
    <x v="3"/>
    <s v="Sales General &amp; Administration "/>
    <x v="0"/>
    <n v="11370"/>
    <s v=""/>
    <n v="11370"/>
  </r>
  <r>
    <s v="2025-05-14"/>
    <x v="4"/>
    <x v="9"/>
    <x v="2"/>
    <s v="Operational Cost"/>
    <x v="73"/>
    <n v="3000"/>
    <s v=""/>
    <n v="3000"/>
  </r>
  <r>
    <s v="2025-05-14"/>
    <x v="4"/>
    <x v="13"/>
    <x v="2"/>
    <s v="Operational Cost"/>
    <x v="14"/>
    <n v="1349"/>
    <s v=""/>
    <n v="1349"/>
  </r>
  <r>
    <s v="2025-05-15"/>
    <x v="4"/>
    <x v="13"/>
    <x v="2"/>
    <s v="Operational Cost"/>
    <x v="14"/>
    <n v="8913"/>
    <s v=""/>
    <n v="8913"/>
  </r>
  <r>
    <s v="2025-05-16"/>
    <x v="4"/>
    <x v="7"/>
    <x v="3"/>
    <s v="Sales General &amp; Administration "/>
    <x v="74"/>
    <n v="2000"/>
    <s v=""/>
    <n v="2000"/>
  </r>
  <r>
    <s v="2025-05-16"/>
    <x v="4"/>
    <x v="40"/>
    <x v="3"/>
    <s v="Sales General &amp; Administration "/>
    <x v="46"/>
    <n v="35670"/>
    <s v=""/>
    <n v="35670"/>
  </r>
  <r>
    <s v="2025-05-16"/>
    <x v="4"/>
    <x v="40"/>
    <x v="3"/>
    <s v="Sales General &amp; Administration "/>
    <x v="46"/>
    <n v="35670"/>
    <s v=""/>
    <n v="35670"/>
  </r>
  <r>
    <s v="2025-05-16"/>
    <x v="4"/>
    <x v="16"/>
    <x v="6"/>
    <s v="Operational Cost"/>
    <x v="15"/>
    <n v="1190"/>
    <s v=""/>
    <n v="1190"/>
  </r>
  <r>
    <s v="2025-05-18"/>
    <x v="4"/>
    <x v="16"/>
    <x v="6"/>
    <s v="Operational Cost"/>
    <x v="15"/>
    <n v="896"/>
    <s v=""/>
    <n v="896"/>
  </r>
  <r>
    <s v="2025-05-19"/>
    <x v="4"/>
    <x v="16"/>
    <x v="6"/>
    <s v="Operational Cost"/>
    <x v="15"/>
    <n v="789"/>
    <s v=""/>
    <n v="789"/>
  </r>
  <r>
    <s v="2025-05-20"/>
    <x v="4"/>
    <x v="16"/>
    <x v="6"/>
    <s v="Operational Cost"/>
    <x v="15"/>
    <n v="5533"/>
    <s v=""/>
    <n v="5533"/>
  </r>
  <r>
    <s v="2025-05-20"/>
    <x v="4"/>
    <x v="13"/>
    <x v="2"/>
    <s v="Operational Cost"/>
    <x v="21"/>
    <n v="2367"/>
    <s v=""/>
    <n v="2367"/>
  </r>
  <r>
    <s v="2025-05-20"/>
    <x v="4"/>
    <x v="13"/>
    <x v="2"/>
    <s v="Operational Cost"/>
    <x v="22"/>
    <n v="6299.14"/>
    <s v=""/>
    <n v="6299.14"/>
  </r>
  <r>
    <s v="2025-05-21"/>
    <x v="4"/>
    <x v="21"/>
    <x v="0"/>
    <s v="Operational Cost"/>
    <x v="20"/>
    <n v="136370"/>
    <s v=""/>
    <n v="136370"/>
  </r>
  <r>
    <s v="2025-05-22"/>
    <x v="4"/>
    <x v="13"/>
    <x v="2"/>
    <s v="Operational Cost"/>
    <x v="14"/>
    <n v="5372"/>
    <s v=""/>
    <n v="5372"/>
  </r>
  <r>
    <s v="2025-05-24"/>
    <x v="4"/>
    <x v="19"/>
    <x v="8"/>
    <s v="Sales General &amp; Administration "/>
    <x v="12"/>
    <n v="23.67"/>
    <s v=""/>
    <n v="23.67"/>
  </r>
  <r>
    <s v="2025-05-27"/>
    <x v="4"/>
    <x v="13"/>
    <x v="2"/>
    <s v="Operational Cost"/>
    <x v="21"/>
    <n v="1499"/>
    <s v=""/>
    <n v="1499"/>
  </r>
  <r>
    <s v="2025-05-28"/>
    <x v="4"/>
    <x v="13"/>
    <x v="2"/>
    <s v="Operational Cost"/>
    <x v="23"/>
    <n v="49999"/>
    <s v=""/>
    <n v="49999"/>
  </r>
  <r>
    <s v="2025-05-29"/>
    <x v="4"/>
    <x v="22"/>
    <x v="2"/>
    <s v="Operational Cost"/>
    <x v="24"/>
    <n v="37500"/>
    <s v=""/>
    <n v="37500"/>
  </r>
  <r>
    <s v="2025-05-29"/>
    <x v="4"/>
    <x v="8"/>
    <x v="5"/>
    <s v="Indirect Income"/>
    <x v="7"/>
    <n v="65022.69"/>
    <s v=""/>
    <n v="65022.69"/>
  </r>
  <r>
    <s v="2025-05-29"/>
    <x v="4"/>
    <x v="8"/>
    <x v="5"/>
    <s v="Indirect Income"/>
    <x v="7"/>
    <n v="18088.14"/>
    <s v=""/>
    <n v="18088.14"/>
  </r>
  <r>
    <s v="2025-05-30"/>
    <x v="4"/>
    <x v="23"/>
    <x v="2"/>
    <s v="Operational Cost"/>
    <x v="25"/>
    <n v="1000"/>
    <s v=""/>
    <n v="1000"/>
  </r>
  <r>
    <s v="2025-05-30"/>
    <x v="4"/>
    <x v="24"/>
    <x v="9"/>
    <s v="Sales General &amp; Administration "/>
    <x v="26"/>
    <n v="160000"/>
    <s v=""/>
    <n v="160000"/>
  </r>
  <r>
    <s v="2025-05-30"/>
    <x v="4"/>
    <x v="24"/>
    <x v="9"/>
    <s v="Sales General &amp; Administration "/>
    <x v="26"/>
    <n v="160000"/>
    <s v=""/>
    <n v="160000"/>
  </r>
  <r>
    <s v="2025-05-30"/>
    <x v="4"/>
    <x v="25"/>
    <x v="7"/>
    <s v="Operational Cost"/>
    <x v="27"/>
    <n v="28667"/>
    <s v=""/>
    <n v="28667"/>
  </r>
  <r>
    <s v="2025-05-30"/>
    <x v="4"/>
    <x v="24"/>
    <x v="9"/>
    <s v="Sales General &amp; Administration "/>
    <x v="26"/>
    <n v="60000"/>
    <s v=""/>
    <n v="60000"/>
  </r>
  <r>
    <s v="2025-05-30"/>
    <x v="4"/>
    <x v="49"/>
    <x v="3"/>
    <s v="Sales General &amp; Administration "/>
    <x v="75"/>
    <n v="165865"/>
    <s v=""/>
    <n v="165865"/>
  </r>
  <r>
    <s v="2025-05-30"/>
    <x v="4"/>
    <x v="24"/>
    <x v="9"/>
    <s v="Sales General &amp; Administration "/>
    <x v="26"/>
    <n v="268000"/>
    <s v=""/>
    <n v="268000"/>
  </r>
  <r>
    <s v="2025-05-30"/>
    <x v="4"/>
    <x v="31"/>
    <x v="3"/>
    <s v="Sales General &amp; Administration "/>
    <x v="33"/>
    <n v="12000"/>
    <s v=""/>
    <n v="12000"/>
  </r>
  <r>
    <s v="2025-05-30"/>
    <x v="4"/>
    <x v="32"/>
    <x v="3"/>
    <s v="Sales General &amp; Administration "/>
    <x v="34"/>
    <n v="12000"/>
    <s v=""/>
    <n v="12000"/>
  </r>
  <r>
    <s v="2025-05-30"/>
    <x v="4"/>
    <x v="24"/>
    <x v="9"/>
    <s v="Sales General &amp; Administration "/>
    <x v="26"/>
    <n v="236317"/>
    <s v=""/>
    <n v="236317"/>
  </r>
  <r>
    <s v="2025-05-30"/>
    <x v="4"/>
    <x v="31"/>
    <x v="3"/>
    <s v="Sales General &amp; Administration "/>
    <x v="33"/>
    <n v="6000"/>
    <s v=""/>
    <n v="6000"/>
  </r>
  <r>
    <s v="2025-05-30"/>
    <x v="4"/>
    <x v="32"/>
    <x v="3"/>
    <s v="Sales General &amp; Administration "/>
    <x v="34"/>
    <n v="6000"/>
    <s v=""/>
    <n v="6000"/>
  </r>
  <r>
    <s v="2025-05-30"/>
    <x v="4"/>
    <x v="27"/>
    <x v="3"/>
    <s v="Sales General &amp; Administration "/>
    <x v="29"/>
    <n v="27584"/>
    <s v=""/>
    <n v="27584"/>
  </r>
  <r>
    <s v="2025-05-30"/>
    <x v="4"/>
    <x v="28"/>
    <x v="3"/>
    <s v="Sales General &amp; Administration "/>
    <x v="30"/>
    <n v="228978"/>
    <s v=""/>
    <n v="228978"/>
  </r>
  <r>
    <s v="2025-05-30"/>
    <x v="4"/>
    <x v="29"/>
    <x v="7"/>
    <s v="Operational Cost"/>
    <x v="31"/>
    <n v="4728640"/>
    <s v=""/>
    <n v="4728640"/>
  </r>
  <r>
    <s v="2025-05-30"/>
    <x v="4"/>
    <x v="30"/>
    <x v="7"/>
    <s v="Operational Cost"/>
    <x v="32"/>
    <n v="2151697"/>
    <s v=""/>
    <n v="2151697"/>
  </r>
  <r>
    <s v="2025-05-30"/>
    <x v="4"/>
    <x v="31"/>
    <x v="3"/>
    <s v="Sales General &amp; Administration "/>
    <x v="33"/>
    <n v="320119"/>
    <s v=""/>
    <n v="320119"/>
  </r>
  <r>
    <s v="2025-05-30"/>
    <x v="4"/>
    <x v="32"/>
    <x v="3"/>
    <s v="Sales General &amp; Administration "/>
    <x v="34"/>
    <n v="320119"/>
    <s v=""/>
    <n v="320119"/>
  </r>
  <r>
    <s v="2025-05-30"/>
    <x v="4"/>
    <x v="33"/>
    <x v="3"/>
    <s v="Sales General &amp; Administration "/>
    <x v="35"/>
    <n v="22731"/>
    <s v=""/>
    <n v="22731"/>
  </r>
  <r>
    <s v="2025-05-30"/>
    <x v="4"/>
    <x v="34"/>
    <x v="3"/>
    <s v="Sales General &amp; Administration "/>
    <x v="36"/>
    <n v="5271"/>
    <s v=""/>
    <n v="5271"/>
  </r>
  <r>
    <s v="2025-05-30"/>
    <x v="4"/>
    <x v="35"/>
    <x v="10"/>
    <s v="Sales General &amp; Administration "/>
    <x v="37"/>
    <n v="131899"/>
    <s v=""/>
    <n v="131899"/>
  </r>
  <r>
    <s v="2025-05-30"/>
    <x v="4"/>
    <x v="36"/>
    <x v="9"/>
    <s v="Sales General &amp; Administration "/>
    <x v="38"/>
    <n v="36812"/>
    <s v=""/>
    <n v="36812"/>
  </r>
  <r>
    <s v="2025-05-30"/>
    <x v="4"/>
    <x v="37"/>
    <x v="9"/>
    <s v="Sales General &amp; Administration "/>
    <x v="39"/>
    <n v="74488"/>
    <s v=""/>
    <n v="74488"/>
  </r>
  <r>
    <s v="2025-05-30"/>
    <x v="4"/>
    <x v="38"/>
    <x v="9"/>
    <s v="Sales General &amp; Administration "/>
    <x v="40"/>
    <n v="71081"/>
    <s v=""/>
    <n v="71081"/>
  </r>
  <r>
    <s v="2025-05-30"/>
    <x v="4"/>
    <x v="39"/>
    <x v="3"/>
    <s v="Sales General &amp; Administration "/>
    <x v="41"/>
    <n v="48785"/>
    <s v=""/>
    <n v="48785"/>
  </r>
  <r>
    <s v="2025-05-30"/>
    <x v="4"/>
    <x v="11"/>
    <x v="6"/>
    <s v="Operational Cost"/>
    <x v="58"/>
    <n v="2760"/>
    <s v=""/>
    <n v="2760"/>
  </r>
  <r>
    <s v="2025-05-31"/>
    <x v="4"/>
    <x v="26"/>
    <x v="3"/>
    <s v="Sales General &amp; Administration "/>
    <x v="28"/>
    <n v="32000"/>
    <s v=""/>
    <n v="32000"/>
  </r>
  <r>
    <s v="2025-05-31"/>
    <x v="4"/>
    <x v="7"/>
    <x v="3"/>
    <s v="Sales General &amp; Administration "/>
    <x v="42"/>
    <n v="8817"/>
    <s v=""/>
    <n v="8817"/>
  </r>
  <r>
    <s v="2025-05-31"/>
    <x v="4"/>
    <x v="11"/>
    <x v="6"/>
    <s v="Operational Cost"/>
    <x v="45"/>
    <n v="23000"/>
    <s v=""/>
    <n v="23000"/>
  </r>
  <r>
    <s v="2025-06-01"/>
    <x v="5"/>
    <x v="1"/>
    <x v="0"/>
    <s v="Operational Cost"/>
    <x v="0"/>
    <n v="65105"/>
    <s v=""/>
    <n v="65105"/>
  </r>
  <r>
    <s v="2025-06-01"/>
    <x v="5"/>
    <x v="0"/>
    <x v="0"/>
    <s v="Operational Cost"/>
    <x v="0"/>
    <n v="376923"/>
    <s v=""/>
    <n v="376923"/>
  </r>
  <r>
    <s v="2025-06-01"/>
    <x v="5"/>
    <x v="3"/>
    <x v="1"/>
    <s v="Sales General &amp; Administration "/>
    <x v="2"/>
    <n v="125000"/>
    <s v=""/>
    <n v="125000"/>
  </r>
  <r>
    <s v="2025-06-02"/>
    <x v="5"/>
    <x v="17"/>
    <x v="0"/>
    <s v="Operational Cost"/>
    <x v="16"/>
    <n v="208602.36"/>
    <s v=""/>
    <n v="208602.36"/>
  </r>
  <r>
    <s v="2025-06-02"/>
    <x v="5"/>
    <x v="17"/>
    <x v="0"/>
    <s v="Operational Cost"/>
    <x v="16"/>
    <n v="66770"/>
    <s v=""/>
    <n v="66770"/>
  </r>
  <r>
    <s v="2025-06-02"/>
    <x v="5"/>
    <x v="6"/>
    <x v="4"/>
    <s v="Operational Cost"/>
    <x v="5"/>
    <n v="189600"/>
    <s v=""/>
    <n v="189600"/>
  </r>
  <r>
    <s v="2025-06-02"/>
    <x v="5"/>
    <x v="7"/>
    <x v="3"/>
    <s v="Sales General &amp; Administration "/>
    <x v="6"/>
    <n v="14012.5"/>
    <s v=""/>
    <n v="14012.5"/>
  </r>
  <r>
    <s v="2025-06-02"/>
    <x v="5"/>
    <x v="4"/>
    <x v="2"/>
    <s v="Operational Cost"/>
    <x v="3"/>
    <n v="15100"/>
    <s v=""/>
    <n v="15100"/>
  </r>
  <r>
    <s v="2025-06-02"/>
    <x v="5"/>
    <x v="11"/>
    <x v="6"/>
    <s v="Operational Cost"/>
    <x v="9"/>
    <n v="10596"/>
    <s v=""/>
    <n v="10596"/>
  </r>
  <r>
    <s v="2025-06-02"/>
    <x v="5"/>
    <x v="7"/>
    <x v="3"/>
    <s v="Sales General &amp; Administration "/>
    <x v="6"/>
    <n v="5433"/>
    <s v=""/>
    <n v="5433"/>
  </r>
  <r>
    <s v="2025-06-02"/>
    <x v="5"/>
    <x v="17"/>
    <x v="0"/>
    <s v="Operational Cost"/>
    <x v="16"/>
    <n v="590.66"/>
    <s v=""/>
    <n v="590.66"/>
  </r>
  <r>
    <s v="2025-06-03"/>
    <x v="5"/>
    <x v="9"/>
    <x v="2"/>
    <s v="Operational Cost"/>
    <x v="8"/>
    <n v="10417"/>
    <s v=""/>
    <n v="10417"/>
  </r>
  <r>
    <s v="2025-06-03"/>
    <x v="5"/>
    <x v="9"/>
    <x v="2"/>
    <s v="Operational Cost"/>
    <x v="8"/>
    <n v="23333"/>
    <s v=""/>
    <n v="23333"/>
  </r>
  <r>
    <s v="2025-06-05"/>
    <x v="5"/>
    <x v="13"/>
    <x v="2"/>
    <s v="Operational Cost"/>
    <x v="14"/>
    <n v="2834"/>
    <s v=""/>
    <n v="2834"/>
  </r>
  <r>
    <s v="2025-06-05"/>
    <x v="5"/>
    <x v="16"/>
    <x v="6"/>
    <s v="Operational Cost"/>
    <x v="15"/>
    <n v="40833"/>
    <s v=""/>
    <n v="40833"/>
  </r>
  <r>
    <s v="2025-06-06"/>
    <x v="5"/>
    <x v="13"/>
    <x v="2"/>
    <s v="Operational Cost"/>
    <x v="14"/>
    <n v="2479"/>
    <s v=""/>
    <n v="2479"/>
  </r>
  <r>
    <s v="2025-06-07"/>
    <x v="5"/>
    <x v="7"/>
    <x v="3"/>
    <s v="Sales General &amp; Administration "/>
    <x v="76"/>
    <n v="5218"/>
    <s v=""/>
    <n v="5218"/>
  </r>
  <r>
    <s v="2025-06-07"/>
    <x v="5"/>
    <x v="10"/>
    <x v="3"/>
    <s v="Operational Cost"/>
    <x v="12"/>
    <n v="2020"/>
    <s v=""/>
    <n v="2020"/>
  </r>
  <r>
    <s v="2025-06-07"/>
    <x v="5"/>
    <x v="10"/>
    <x v="3"/>
    <s v="Operational Cost"/>
    <x v="12"/>
    <s v=""/>
    <n v="20"/>
    <n v="-20"/>
  </r>
  <r>
    <s v="2025-06-07"/>
    <x v="5"/>
    <x v="14"/>
    <x v="3"/>
    <s v="Sales General &amp; Administration "/>
    <x v="77"/>
    <n v="3812"/>
    <s v=""/>
    <n v="3812"/>
  </r>
  <r>
    <s v="2025-06-08"/>
    <x v="5"/>
    <x v="11"/>
    <x v="6"/>
    <s v="Operational Cost"/>
    <x v="9"/>
    <n v="3000"/>
    <s v=""/>
    <n v="3000"/>
  </r>
  <r>
    <s v="2025-06-09"/>
    <x v="5"/>
    <x v="18"/>
    <x v="0"/>
    <s v="Operational Cost"/>
    <x v="17"/>
    <n v="26250"/>
    <s v=""/>
    <n v="26250"/>
  </r>
  <r>
    <s v="2025-06-09"/>
    <x v="5"/>
    <x v="15"/>
    <x v="2"/>
    <s v="Operational Cost"/>
    <x v="19"/>
    <n v="746.82"/>
    <s v=""/>
    <n v="746.82"/>
  </r>
  <r>
    <s v="2025-06-09"/>
    <x v="5"/>
    <x v="15"/>
    <x v="2"/>
    <s v="Operational Cost"/>
    <x v="19"/>
    <n v="1298"/>
    <s v=""/>
    <n v="1298"/>
  </r>
  <r>
    <s v="2025-06-09"/>
    <x v="5"/>
    <x v="10"/>
    <x v="3"/>
    <s v="Operational Cost"/>
    <x v="12"/>
    <n v="4565.8999999999996"/>
    <s v=""/>
    <n v="4565.8999999999996"/>
  </r>
  <r>
    <s v="2025-06-10"/>
    <x v="5"/>
    <x v="19"/>
    <x v="8"/>
    <s v="Sales General &amp; Administration "/>
    <x v="9"/>
    <n v="44"/>
    <s v=""/>
    <n v="44"/>
  </r>
  <r>
    <s v="2025-06-11"/>
    <x v="5"/>
    <x v="19"/>
    <x v="8"/>
    <s v="Sales General &amp; Administration "/>
    <x v="55"/>
    <n v="3855"/>
    <s v=""/>
    <n v="3855"/>
  </r>
  <r>
    <s v="2025-06-11"/>
    <x v="5"/>
    <x v="16"/>
    <x v="6"/>
    <s v="Operational Cost"/>
    <x v="15"/>
    <n v="994"/>
    <s v=""/>
    <n v="994"/>
  </r>
  <r>
    <s v="2025-06-12"/>
    <x v="5"/>
    <x v="2"/>
    <x v="1"/>
    <s v="Sales General &amp; Administration "/>
    <x v="1"/>
    <n v="29052"/>
    <s v=""/>
    <n v="29052"/>
  </r>
  <r>
    <s v="2025-06-12"/>
    <x v="5"/>
    <x v="2"/>
    <x v="1"/>
    <s v="Sales General &amp; Administration "/>
    <x v="1"/>
    <n v="22902"/>
    <s v=""/>
    <n v="22902"/>
  </r>
  <r>
    <s v="2025-06-12"/>
    <x v="5"/>
    <x v="10"/>
    <x v="3"/>
    <s v="Operational Cost"/>
    <x v="12"/>
    <n v="9624.9"/>
    <s v=""/>
    <n v="9624.9"/>
  </r>
  <r>
    <s v="2025-06-13"/>
    <x v="5"/>
    <x v="13"/>
    <x v="2"/>
    <s v="Operational Cost"/>
    <x v="21"/>
    <n v="2793.06"/>
    <s v=""/>
    <n v="2793.06"/>
  </r>
  <r>
    <s v="2025-06-13"/>
    <x v="5"/>
    <x v="14"/>
    <x v="3"/>
    <s v="Sales General &amp; Administration "/>
    <x v="12"/>
    <n v="21214"/>
    <s v=""/>
    <n v="21214"/>
  </r>
  <r>
    <s v="2025-06-14"/>
    <x v="5"/>
    <x v="13"/>
    <x v="2"/>
    <s v="Operational Cost"/>
    <x v="14"/>
    <n v="1499"/>
    <s v=""/>
    <n v="1499"/>
  </r>
  <r>
    <s v="2025-06-15"/>
    <x v="5"/>
    <x v="13"/>
    <x v="2"/>
    <s v="Operational Cost"/>
    <x v="14"/>
    <n v="8913"/>
    <s v=""/>
    <n v="8913"/>
  </r>
  <r>
    <s v="2025-06-16"/>
    <x v="5"/>
    <x v="10"/>
    <x v="3"/>
    <s v="Operational Cost"/>
    <x v="12"/>
    <n v="2935.99"/>
    <s v=""/>
    <n v="2935.99"/>
  </r>
  <r>
    <s v="2025-06-16"/>
    <x v="5"/>
    <x v="16"/>
    <x v="6"/>
    <s v="Operational Cost"/>
    <x v="15"/>
    <n v="1190"/>
    <s v=""/>
    <n v="1190"/>
  </r>
  <r>
    <s v="2025-06-18"/>
    <x v="5"/>
    <x v="14"/>
    <x v="3"/>
    <s v="Sales General &amp; Administration "/>
    <x v="12"/>
    <n v="10000"/>
    <s v=""/>
    <n v="10000"/>
  </r>
  <r>
    <s v="2025-06-18"/>
    <x v="5"/>
    <x v="8"/>
    <x v="5"/>
    <s v="Indirect Income"/>
    <x v="7"/>
    <s v=""/>
    <n v="55995.8"/>
    <n v="-55995.8"/>
  </r>
  <r>
    <s v="2025-06-18"/>
    <x v="5"/>
    <x v="16"/>
    <x v="6"/>
    <s v="Operational Cost"/>
    <x v="15"/>
    <n v="896"/>
    <s v=""/>
    <n v="896"/>
  </r>
  <r>
    <s v="2025-06-19"/>
    <x v="5"/>
    <x v="21"/>
    <x v="0"/>
    <s v="Operational Cost"/>
    <x v="20"/>
    <n v="140575"/>
    <s v=""/>
    <n v="140575"/>
  </r>
  <r>
    <s v="2025-06-19"/>
    <x v="5"/>
    <x v="13"/>
    <x v="2"/>
    <s v="Operational Cost"/>
    <x v="22"/>
    <n v="6299.14"/>
    <s v=""/>
    <n v="6299.14"/>
  </r>
  <r>
    <s v="2025-06-19"/>
    <x v="5"/>
    <x v="16"/>
    <x v="6"/>
    <s v="Operational Cost"/>
    <x v="15"/>
    <n v="789"/>
    <s v=""/>
    <n v="789"/>
  </r>
  <r>
    <s v="2025-06-20"/>
    <x v="5"/>
    <x v="16"/>
    <x v="6"/>
    <s v="Operational Cost"/>
    <x v="15"/>
    <n v="5533"/>
    <s v=""/>
    <n v="5533"/>
  </r>
  <r>
    <s v="2025-06-20"/>
    <x v="5"/>
    <x v="13"/>
    <x v="2"/>
    <s v="Operational Cost"/>
    <x v="21"/>
    <n v="2367"/>
    <s v=""/>
    <n v="2367"/>
  </r>
  <r>
    <s v="2025-06-20"/>
    <x v="5"/>
    <x v="14"/>
    <x v="3"/>
    <s v="Sales General &amp; Administration "/>
    <x v="12"/>
    <n v="7500"/>
    <s v=""/>
    <n v="7500"/>
  </r>
  <r>
    <s v="2025-06-20"/>
    <x v="5"/>
    <x v="14"/>
    <x v="3"/>
    <s v="Sales General &amp; Administration "/>
    <x v="9"/>
    <n v="7035"/>
    <s v=""/>
    <n v="7035"/>
  </r>
  <r>
    <s v="2025-06-22"/>
    <x v="5"/>
    <x v="13"/>
    <x v="2"/>
    <s v="Operational Cost"/>
    <x v="14"/>
    <n v="5372"/>
    <s v=""/>
    <n v="5372"/>
  </r>
  <r>
    <s v="2025-06-23"/>
    <x v="5"/>
    <x v="14"/>
    <x v="3"/>
    <s v="Sales General &amp; Administration "/>
    <x v="12"/>
    <n v="9450"/>
    <s v=""/>
    <n v="9450"/>
  </r>
  <r>
    <s v="2025-06-23"/>
    <x v="5"/>
    <x v="10"/>
    <x v="3"/>
    <s v="Operational Cost"/>
    <x v="12"/>
    <n v="682.5"/>
    <s v=""/>
    <n v="682.5"/>
  </r>
  <r>
    <s v="2025-06-24"/>
    <x v="5"/>
    <x v="19"/>
    <x v="8"/>
    <s v="Sales General &amp; Administration "/>
    <x v="12"/>
    <n v="23.67"/>
    <s v=""/>
    <n v="23.67"/>
  </r>
  <r>
    <s v="2025-06-24"/>
    <x v="5"/>
    <x v="10"/>
    <x v="3"/>
    <s v="Operational Cost"/>
    <x v="51"/>
    <s v=""/>
    <n v="9.9"/>
    <n v="-9.9"/>
  </r>
  <r>
    <s v="2025-06-24"/>
    <x v="5"/>
    <x v="10"/>
    <x v="3"/>
    <s v="Operational Cost"/>
    <x v="51"/>
    <s v=""/>
    <n v="10.02"/>
    <n v="-10.02"/>
  </r>
  <r>
    <s v="2025-06-24"/>
    <x v="5"/>
    <x v="10"/>
    <x v="3"/>
    <s v="Operational Cost"/>
    <x v="51"/>
    <n v="1000"/>
    <s v=""/>
    <n v="1000"/>
  </r>
  <r>
    <s v="2025-06-24"/>
    <x v="5"/>
    <x v="10"/>
    <x v="3"/>
    <s v="Operational Cost"/>
    <x v="51"/>
    <n v="1011.8"/>
    <s v=""/>
    <n v="1011.8"/>
  </r>
  <r>
    <s v="2025-06-24"/>
    <x v="5"/>
    <x v="10"/>
    <x v="3"/>
    <s v="Operational Cost"/>
    <x v="77"/>
    <n v="2271.71"/>
    <s v=""/>
    <n v="2271.71"/>
  </r>
  <r>
    <s v="2025-06-24"/>
    <x v="5"/>
    <x v="10"/>
    <x v="3"/>
    <s v="Operational Cost"/>
    <x v="12"/>
    <s v=""/>
    <n v="1530.72"/>
    <n v="-1530.72"/>
  </r>
  <r>
    <s v="2025-06-25"/>
    <x v="5"/>
    <x v="13"/>
    <x v="2"/>
    <s v="Operational Cost"/>
    <x v="23"/>
    <n v="50000"/>
    <s v=""/>
    <n v="50000"/>
  </r>
  <r>
    <s v="2025-06-25"/>
    <x v="5"/>
    <x v="10"/>
    <x v="3"/>
    <s v="Operational Cost"/>
    <x v="12"/>
    <s v=""/>
    <n v="765.36"/>
    <n v="-765.36"/>
  </r>
  <r>
    <s v="2025-06-25"/>
    <x v="5"/>
    <x v="47"/>
    <x v="3"/>
    <s v="Sales General &amp; Administration "/>
    <x v="78"/>
    <n v="2409.8200000000002"/>
    <s v=""/>
    <n v="2409.8200000000002"/>
  </r>
  <r>
    <s v="2025-06-26"/>
    <x v="5"/>
    <x v="11"/>
    <x v="6"/>
    <s v="Operational Cost"/>
    <x v="51"/>
    <n v="1150"/>
    <s v=""/>
    <n v="1150"/>
  </r>
  <r>
    <s v="2025-06-26"/>
    <x v="5"/>
    <x v="14"/>
    <x v="3"/>
    <s v="Sales General &amp; Administration "/>
    <x v="12"/>
    <n v="1452"/>
    <s v=""/>
    <n v="1452"/>
  </r>
  <r>
    <s v="2025-06-27"/>
    <x v="5"/>
    <x v="10"/>
    <x v="3"/>
    <s v="Operational Cost"/>
    <x v="12"/>
    <s v=""/>
    <n v="10"/>
    <n v="-10"/>
  </r>
  <r>
    <s v="2025-06-27"/>
    <x v="5"/>
    <x v="10"/>
    <x v="3"/>
    <s v="Operational Cost"/>
    <x v="12"/>
    <n v="1010"/>
    <s v=""/>
    <n v="1010"/>
  </r>
  <r>
    <s v="2025-06-27"/>
    <x v="5"/>
    <x v="14"/>
    <x v="3"/>
    <s v="Sales General &amp; Administration "/>
    <x v="12"/>
    <n v="3820"/>
    <s v=""/>
    <n v="3820"/>
  </r>
  <r>
    <s v="2025-06-27"/>
    <x v="5"/>
    <x v="13"/>
    <x v="2"/>
    <s v="Operational Cost"/>
    <x v="21"/>
    <n v="1499"/>
    <s v=""/>
    <n v="1499"/>
  </r>
  <r>
    <s v="2025-06-29"/>
    <x v="5"/>
    <x v="10"/>
    <x v="3"/>
    <s v="Operational Cost"/>
    <x v="12"/>
    <n v="2020"/>
    <s v=""/>
    <n v="2020"/>
  </r>
  <r>
    <s v="2025-06-29"/>
    <x v="5"/>
    <x v="10"/>
    <x v="3"/>
    <s v="Operational Cost"/>
    <x v="12"/>
    <s v=""/>
    <n v="20"/>
    <n v="-20"/>
  </r>
  <r>
    <s v="2025-06-29"/>
    <x v="5"/>
    <x v="10"/>
    <x v="3"/>
    <s v="Operational Cost"/>
    <x v="51"/>
    <s v=""/>
    <n v="10"/>
    <n v="-10"/>
  </r>
  <r>
    <s v="2025-06-29"/>
    <x v="5"/>
    <x v="10"/>
    <x v="3"/>
    <s v="Operational Cost"/>
    <x v="51"/>
    <n v="1010"/>
    <s v=""/>
    <n v="1010"/>
  </r>
  <r>
    <s v="2025-06-29"/>
    <x v="5"/>
    <x v="14"/>
    <x v="3"/>
    <s v="Sales General &amp; Administration "/>
    <x v="12"/>
    <n v="1820"/>
    <s v=""/>
    <n v="1820"/>
  </r>
  <r>
    <s v="2025-06-29"/>
    <x v="5"/>
    <x v="47"/>
    <x v="3"/>
    <s v="Sales General &amp; Administration "/>
    <x v="78"/>
    <n v="2678.58"/>
    <s v=""/>
    <n v="2678.58"/>
  </r>
  <r>
    <s v="2025-06-29"/>
    <x v="5"/>
    <x v="47"/>
    <x v="3"/>
    <s v="Sales General &amp; Administration "/>
    <x v="78"/>
    <n v="11782.16"/>
    <s v=""/>
    <n v="11782.16"/>
  </r>
  <r>
    <s v="2025-06-30"/>
    <x v="5"/>
    <x v="23"/>
    <x v="2"/>
    <s v="Operational Cost"/>
    <x v="25"/>
    <n v="1000"/>
    <s v=""/>
    <n v="1000"/>
  </r>
  <r>
    <s v="2025-06-30"/>
    <x v="5"/>
    <x v="24"/>
    <x v="9"/>
    <s v="Sales General &amp; Administration "/>
    <x v="26"/>
    <n v="160000"/>
    <s v=""/>
    <n v="160000"/>
  </r>
  <r>
    <s v="2025-06-30"/>
    <x v="5"/>
    <x v="24"/>
    <x v="9"/>
    <s v="Sales General &amp; Administration "/>
    <x v="26"/>
    <n v="160000"/>
    <s v=""/>
    <n v="160000"/>
  </r>
  <r>
    <s v="2025-06-30"/>
    <x v="5"/>
    <x v="24"/>
    <x v="9"/>
    <s v="Sales General &amp; Administration "/>
    <x v="26"/>
    <n v="60000"/>
    <s v=""/>
    <n v="60000"/>
  </r>
  <r>
    <s v="2025-06-30"/>
    <x v="5"/>
    <x v="24"/>
    <x v="9"/>
    <s v="Sales General &amp; Administration "/>
    <x v="26"/>
    <n v="268000"/>
    <s v=""/>
    <n v="268000"/>
  </r>
  <r>
    <s v="2025-06-30"/>
    <x v="5"/>
    <x v="31"/>
    <x v="3"/>
    <s v="Sales General &amp; Administration "/>
    <x v="33"/>
    <n v="12000"/>
    <s v=""/>
    <n v="12000"/>
  </r>
  <r>
    <s v="2025-06-30"/>
    <x v="5"/>
    <x v="32"/>
    <x v="3"/>
    <s v="Sales General &amp; Administration "/>
    <x v="34"/>
    <n v="12000"/>
    <s v=""/>
    <n v="12000"/>
  </r>
  <r>
    <s v="2025-06-30"/>
    <x v="5"/>
    <x v="24"/>
    <x v="9"/>
    <s v="Sales General &amp; Administration "/>
    <x v="26"/>
    <n v="561843"/>
    <s v=""/>
    <n v="561843"/>
  </r>
  <r>
    <s v="2025-06-30"/>
    <x v="5"/>
    <x v="31"/>
    <x v="3"/>
    <s v="Sales General &amp; Administration "/>
    <x v="33"/>
    <n v="6000"/>
    <s v=""/>
    <n v="6000"/>
  </r>
  <r>
    <s v="2025-06-30"/>
    <x v="5"/>
    <x v="32"/>
    <x v="3"/>
    <s v="Sales General &amp; Administration "/>
    <x v="34"/>
    <n v="6000"/>
    <s v=""/>
    <n v="6000"/>
  </r>
  <r>
    <s v="2025-06-30"/>
    <x v="5"/>
    <x v="25"/>
    <x v="7"/>
    <s v="Operational Cost"/>
    <x v="27"/>
    <n v="12000"/>
    <s v=""/>
    <n v="12000"/>
  </r>
  <r>
    <s v="2025-06-30"/>
    <x v="5"/>
    <x v="50"/>
    <x v="1"/>
    <s v="Sales General &amp; Administration "/>
    <x v="66"/>
    <n v="165000"/>
    <s v=""/>
    <n v="165000"/>
  </r>
  <r>
    <s v="2025-06-30"/>
    <x v="5"/>
    <x v="41"/>
    <x v="1"/>
    <s v="Sales General &amp; Administration "/>
    <x v="79"/>
    <n v="81000"/>
    <s v=""/>
    <n v="81000"/>
  </r>
  <r>
    <s v="2025-06-30"/>
    <x v="5"/>
    <x v="41"/>
    <x v="1"/>
    <s v="Sales General &amp; Administration "/>
    <x v="79"/>
    <n v="25000"/>
    <s v=""/>
    <n v="25000"/>
  </r>
  <r>
    <s v="2025-06-30"/>
    <x v="5"/>
    <x v="41"/>
    <x v="1"/>
    <s v="Sales General &amp; Administration "/>
    <x v="79"/>
    <n v="25000"/>
    <s v=""/>
    <n v="25000"/>
  </r>
  <r>
    <s v="2025-06-30"/>
    <x v="5"/>
    <x v="51"/>
    <x v="0"/>
    <s v="Operational Cost"/>
    <x v="80"/>
    <n v="7000"/>
    <s v=""/>
    <n v="7000"/>
  </r>
  <r>
    <s v="2025-06-30"/>
    <x v="5"/>
    <x v="7"/>
    <x v="3"/>
    <s v="Sales General &amp; Administration "/>
    <x v="42"/>
    <n v="7620"/>
    <s v=""/>
    <n v="7620"/>
  </r>
  <r>
    <s v="2025-06-30"/>
    <x v="5"/>
    <x v="11"/>
    <x v="6"/>
    <s v="Operational Cost"/>
    <x v="45"/>
    <n v="13000"/>
    <s v=""/>
    <n v="13000"/>
  </r>
  <r>
    <s v="2025-06-30"/>
    <x v="5"/>
    <x v="7"/>
    <x v="3"/>
    <s v="Sales General &amp; Administration "/>
    <x v="42"/>
    <n v="19637"/>
    <s v=""/>
    <n v="19637"/>
  </r>
  <r>
    <s v="2025-06-30"/>
    <x v="5"/>
    <x v="14"/>
    <x v="3"/>
    <s v="Sales General &amp; Administration "/>
    <x v="81"/>
    <n v="41390"/>
    <s v=""/>
    <n v="41390"/>
  </r>
  <r>
    <s v="2025-06-30"/>
    <x v="5"/>
    <x v="26"/>
    <x v="3"/>
    <s v="Sales General &amp; Administration "/>
    <x v="28"/>
    <n v="32000"/>
    <s v=""/>
    <n v="32000"/>
  </r>
  <r>
    <s v="2025-06-30"/>
    <x v="5"/>
    <x v="27"/>
    <x v="3"/>
    <s v="Sales General &amp; Administration "/>
    <x v="29"/>
    <n v="27635"/>
    <s v=""/>
    <n v="27635"/>
  </r>
  <r>
    <s v="2025-06-30"/>
    <x v="5"/>
    <x v="28"/>
    <x v="3"/>
    <s v="Sales General &amp; Administration "/>
    <x v="30"/>
    <n v="229828"/>
    <s v=""/>
    <n v="229828"/>
  </r>
  <r>
    <s v="2025-06-30"/>
    <x v="5"/>
    <x v="29"/>
    <x v="7"/>
    <s v="Operational Cost"/>
    <x v="31"/>
    <n v="5065520"/>
    <s v=""/>
    <n v="5065520"/>
  </r>
  <r>
    <s v="2025-06-30"/>
    <x v="5"/>
    <x v="30"/>
    <x v="7"/>
    <s v="Operational Cost"/>
    <x v="32"/>
    <n v="2220435"/>
    <s v=""/>
    <n v="2220435"/>
  </r>
  <r>
    <s v="2025-06-30"/>
    <x v="5"/>
    <x v="31"/>
    <x v="3"/>
    <s v="Sales General &amp; Administration "/>
    <x v="33"/>
    <n v="320763"/>
    <s v=""/>
    <n v="320763"/>
  </r>
  <r>
    <s v="2025-06-30"/>
    <x v="5"/>
    <x v="32"/>
    <x v="3"/>
    <s v="Sales General &amp; Administration "/>
    <x v="34"/>
    <n v="320763"/>
    <s v=""/>
    <n v="320763"/>
  </r>
  <r>
    <s v="2025-06-30"/>
    <x v="5"/>
    <x v="33"/>
    <x v="3"/>
    <s v="Sales General &amp; Administration "/>
    <x v="35"/>
    <n v="20620"/>
    <s v=""/>
    <n v="20620"/>
  </r>
  <r>
    <s v="2025-06-30"/>
    <x v="5"/>
    <x v="34"/>
    <x v="3"/>
    <s v="Sales General &amp; Administration "/>
    <x v="36"/>
    <n v="4708"/>
    <s v=""/>
    <n v="4708"/>
  </r>
  <r>
    <s v="2025-06-30"/>
    <x v="5"/>
    <x v="35"/>
    <x v="10"/>
    <s v="Sales General &amp; Administration "/>
    <x v="37"/>
    <n v="19867"/>
    <s v=""/>
    <n v="19867"/>
  </r>
  <r>
    <s v="2025-06-30"/>
    <x v="5"/>
    <x v="36"/>
    <x v="9"/>
    <s v="Sales General &amp; Administration "/>
    <x v="38"/>
    <n v="28800"/>
    <s v=""/>
    <n v="28800"/>
  </r>
  <r>
    <s v="2025-06-30"/>
    <x v="5"/>
    <x v="37"/>
    <x v="9"/>
    <s v="Sales General &amp; Administration "/>
    <x v="39"/>
    <n v="74488"/>
    <s v=""/>
    <n v="74488"/>
  </r>
  <r>
    <s v="2025-06-30"/>
    <x v="5"/>
    <x v="38"/>
    <x v="9"/>
    <s v="Sales General &amp; Administration "/>
    <x v="40"/>
    <n v="63878"/>
    <s v=""/>
    <n v="63878"/>
  </r>
  <r>
    <s v="2025-06-30"/>
    <x v="5"/>
    <x v="39"/>
    <x v="3"/>
    <s v="Sales General &amp; Administration "/>
    <x v="41"/>
    <n v="50500"/>
    <s v=""/>
    <n v="50500"/>
  </r>
  <r>
    <s v="2025-06-30"/>
    <x v="5"/>
    <x v="7"/>
    <x v="3"/>
    <s v="Sales General &amp; Administration "/>
    <x v="58"/>
    <n v="2265"/>
    <s v=""/>
    <n v="2265"/>
  </r>
  <r>
    <s v="2025-06-30"/>
    <x v="5"/>
    <x v="7"/>
    <x v="3"/>
    <s v="Sales General &amp; Administration "/>
    <x v="58"/>
    <n v="57565"/>
    <s v=""/>
    <n v="57565"/>
  </r>
  <r>
    <s v="2025-07-01"/>
    <x v="6"/>
    <x v="0"/>
    <x v="0"/>
    <s v="Operational Cost"/>
    <x v="0"/>
    <n v="376923"/>
    <s v=""/>
    <n v="376923"/>
  </r>
  <r>
    <s v="2025-07-01"/>
    <x v="6"/>
    <x v="1"/>
    <x v="0"/>
    <s v="Operational Cost"/>
    <x v="0"/>
    <n v="65105"/>
    <s v=""/>
    <n v="65105"/>
  </r>
  <r>
    <s v="2025-07-01"/>
    <x v="6"/>
    <x v="50"/>
    <x v="1"/>
    <s v="Sales General &amp; Administration "/>
    <x v="66"/>
    <n v="30000"/>
    <s v=""/>
    <n v="30000"/>
  </r>
  <r>
    <s v="2025-07-01"/>
    <x v="6"/>
    <x v="52"/>
    <x v="0"/>
    <s v="Operational Cost"/>
    <x v="82"/>
    <n v="400000"/>
    <s v=""/>
    <n v="400000"/>
  </r>
  <r>
    <s v="2025-07-01"/>
    <x v="6"/>
    <x v="7"/>
    <x v="3"/>
    <s v="Sales General &amp; Administration "/>
    <x v="6"/>
    <n v="15465"/>
    <s v=""/>
    <n v="15465"/>
  </r>
  <r>
    <s v="2025-07-01"/>
    <x v="6"/>
    <x v="6"/>
    <x v="4"/>
    <s v="Operational Cost"/>
    <x v="5"/>
    <n v="228800"/>
    <s v=""/>
    <n v="228800"/>
  </r>
  <r>
    <s v="2025-07-01"/>
    <x v="6"/>
    <x v="4"/>
    <x v="2"/>
    <s v="Operational Cost"/>
    <x v="3"/>
    <n v="15100"/>
    <s v=""/>
    <n v="15100"/>
  </r>
  <r>
    <s v="2025-07-01"/>
    <x v="6"/>
    <x v="46"/>
    <x v="8"/>
    <s v="Sales General &amp; Administration "/>
    <x v="55"/>
    <n v="2"/>
    <s v=""/>
    <n v="2"/>
  </r>
  <r>
    <s v="2025-07-01"/>
    <x v="6"/>
    <x v="3"/>
    <x v="1"/>
    <s v="Sales General &amp; Administration "/>
    <x v="2"/>
    <n v="125000"/>
    <s v=""/>
    <n v="125000"/>
  </r>
  <r>
    <s v="2025-07-01"/>
    <x v="6"/>
    <x v="53"/>
    <x v="1"/>
    <s v="Sales General &amp; Administration "/>
    <x v="2"/>
    <n v="300"/>
    <s v=""/>
    <n v="300"/>
  </r>
  <r>
    <s v="2025-07-01"/>
    <x v="6"/>
    <x v="13"/>
    <x v="2"/>
    <s v="Operational Cost"/>
    <x v="14"/>
    <n v="2817"/>
    <s v=""/>
    <n v="2817"/>
  </r>
  <r>
    <s v="2025-07-02"/>
    <x v="6"/>
    <x v="17"/>
    <x v="0"/>
    <s v="Operational Cost"/>
    <x v="16"/>
    <n v="222710.11"/>
    <s v=""/>
    <n v="222710.11"/>
  </r>
  <r>
    <s v="2025-07-02"/>
    <x v="6"/>
    <x v="7"/>
    <x v="3"/>
    <s v="Sales General &amp; Administration "/>
    <x v="9"/>
    <n v="20273"/>
    <s v=""/>
    <n v="20273"/>
  </r>
  <r>
    <s v="2025-07-03"/>
    <x v="6"/>
    <x v="9"/>
    <x v="2"/>
    <s v="Operational Cost"/>
    <x v="8"/>
    <n v="23333"/>
    <s v=""/>
    <n v="23333"/>
  </r>
  <r>
    <s v="2025-07-03"/>
    <x v="6"/>
    <x v="9"/>
    <x v="2"/>
    <s v="Operational Cost"/>
    <x v="8"/>
    <n v="10417"/>
    <s v=""/>
    <n v="10417"/>
  </r>
  <r>
    <s v="2025-07-04"/>
    <x v="6"/>
    <x v="7"/>
    <x v="3"/>
    <s v="Sales General &amp; Administration "/>
    <x v="83"/>
    <n v="11495"/>
    <s v=""/>
    <n v="11495"/>
  </r>
  <r>
    <s v="2025-07-05"/>
    <x v="6"/>
    <x v="7"/>
    <x v="3"/>
    <s v="Sales General &amp; Administration "/>
    <x v="83"/>
    <n v="5204"/>
    <s v=""/>
    <n v="5204"/>
  </r>
  <r>
    <s v="2025-07-05"/>
    <x v="6"/>
    <x v="13"/>
    <x v="2"/>
    <s v="Operational Cost"/>
    <x v="14"/>
    <n v="2834"/>
    <s v=""/>
    <n v="2834"/>
  </r>
  <r>
    <s v="2025-07-05"/>
    <x v="6"/>
    <x v="16"/>
    <x v="6"/>
    <s v="Operational Cost"/>
    <x v="15"/>
    <n v="40833"/>
    <s v=""/>
    <n v="40833"/>
  </r>
  <r>
    <s v="2025-07-06"/>
    <x v="6"/>
    <x v="13"/>
    <x v="2"/>
    <s v="Operational Cost"/>
    <x v="14"/>
    <n v="2479"/>
    <s v=""/>
    <n v="2479"/>
  </r>
  <r>
    <s v="2025-07-07"/>
    <x v="6"/>
    <x v="18"/>
    <x v="0"/>
    <s v="Operational Cost"/>
    <x v="17"/>
    <n v="26250"/>
    <s v=""/>
    <n v="26250"/>
  </r>
  <r>
    <s v="2025-07-07"/>
    <x v="6"/>
    <x v="7"/>
    <x v="3"/>
    <s v="Sales General &amp; Administration "/>
    <x v="84"/>
    <n v="2240"/>
    <s v=""/>
    <n v="2240"/>
  </r>
  <r>
    <s v="2025-07-07"/>
    <x v="6"/>
    <x v="13"/>
    <x v="2"/>
    <s v="Operational Cost"/>
    <x v="14"/>
    <n v="572"/>
    <s v=""/>
    <n v="572"/>
  </r>
  <r>
    <s v="2025-07-08"/>
    <x v="6"/>
    <x v="10"/>
    <x v="3"/>
    <s v="Operational Cost"/>
    <x v="12"/>
    <s v=""/>
    <n v="50.9"/>
    <n v="-50.9"/>
  </r>
  <r>
    <s v="2025-07-08"/>
    <x v="6"/>
    <x v="10"/>
    <x v="3"/>
    <s v="Operational Cost"/>
    <x v="12"/>
    <n v="5160.67"/>
    <s v=""/>
    <n v="5160.67"/>
  </r>
  <r>
    <s v="2025-07-08"/>
    <x v="6"/>
    <x v="11"/>
    <x v="6"/>
    <s v="Operational Cost"/>
    <x v="9"/>
    <n v="100"/>
    <s v=""/>
    <n v="100"/>
  </r>
  <r>
    <s v="2025-07-08"/>
    <x v="6"/>
    <x v="8"/>
    <x v="5"/>
    <s v="Indirect Income"/>
    <x v="7"/>
    <n v="6863.23"/>
    <s v=""/>
    <n v="6863.23"/>
  </r>
  <r>
    <s v="2025-07-08"/>
    <x v="6"/>
    <x v="8"/>
    <x v="5"/>
    <s v="Indirect Income"/>
    <x v="7"/>
    <n v="7752.07"/>
    <s v=""/>
    <n v="7752.07"/>
  </r>
  <r>
    <s v="2025-07-09"/>
    <x v="6"/>
    <x v="15"/>
    <x v="2"/>
    <s v="Operational Cost"/>
    <x v="19"/>
    <n v="1298"/>
    <s v=""/>
    <n v="1298"/>
  </r>
  <r>
    <s v="2025-07-11"/>
    <x v="6"/>
    <x v="16"/>
    <x v="6"/>
    <s v="Operational Cost"/>
    <x v="15"/>
    <n v="994"/>
    <s v=""/>
    <n v="994"/>
  </r>
  <r>
    <s v="2025-07-13"/>
    <x v="6"/>
    <x v="13"/>
    <x v="2"/>
    <s v="Operational Cost"/>
    <x v="21"/>
    <n v="2793.06"/>
    <s v=""/>
    <n v="2793.06"/>
  </r>
  <r>
    <s v="2025-07-15"/>
    <x v="6"/>
    <x v="13"/>
    <x v="2"/>
    <s v="Operational Cost"/>
    <x v="14"/>
    <n v="8913"/>
    <s v=""/>
    <n v="8913"/>
  </r>
  <r>
    <s v="2025-07-16"/>
    <x v="6"/>
    <x v="15"/>
    <x v="2"/>
    <s v="Operational Cost"/>
    <x v="19"/>
    <n v="746.82"/>
    <s v=""/>
    <n v="746.82"/>
  </r>
  <r>
    <s v="2025-07-16"/>
    <x v="6"/>
    <x v="16"/>
    <x v="6"/>
    <s v="Operational Cost"/>
    <x v="15"/>
    <n v="1190"/>
    <s v=""/>
    <n v="1190"/>
  </r>
  <r>
    <s v="2025-07-17"/>
    <x v="6"/>
    <x v="10"/>
    <x v="3"/>
    <s v="Operational Cost"/>
    <x v="77"/>
    <n v="945"/>
    <s v=""/>
    <n v="945"/>
  </r>
  <r>
    <s v="2025-07-18"/>
    <x v="6"/>
    <x v="13"/>
    <x v="2"/>
    <s v="Operational Cost"/>
    <x v="14"/>
    <n v="1499"/>
    <s v=""/>
    <n v="1499"/>
  </r>
  <r>
    <s v="2025-07-18"/>
    <x v="6"/>
    <x v="16"/>
    <x v="6"/>
    <s v="Operational Cost"/>
    <x v="15"/>
    <n v="896"/>
    <s v=""/>
    <n v="896"/>
  </r>
  <r>
    <s v="2025-07-19"/>
    <x v="6"/>
    <x v="21"/>
    <x v="0"/>
    <s v="Operational Cost"/>
    <x v="20"/>
    <n v="151460"/>
    <s v=""/>
    <n v="151460"/>
  </r>
  <r>
    <s v="2025-07-19"/>
    <x v="6"/>
    <x v="13"/>
    <x v="2"/>
    <s v="Operational Cost"/>
    <x v="22"/>
    <n v="6299.14"/>
    <s v=""/>
    <n v="6299.14"/>
  </r>
  <r>
    <s v="2025-07-19"/>
    <x v="6"/>
    <x v="16"/>
    <x v="6"/>
    <s v="Operational Cost"/>
    <x v="15"/>
    <n v="789"/>
    <s v=""/>
    <n v="789"/>
  </r>
  <r>
    <s v="2025-07-20"/>
    <x v="6"/>
    <x v="16"/>
    <x v="6"/>
    <s v="Operational Cost"/>
    <x v="15"/>
    <n v="5533"/>
    <s v=""/>
    <n v="5533"/>
  </r>
  <r>
    <s v="2025-07-20"/>
    <x v="6"/>
    <x v="13"/>
    <x v="2"/>
    <s v="Operational Cost"/>
    <x v="21"/>
    <n v="2367"/>
    <s v=""/>
    <n v="2367"/>
  </r>
  <r>
    <s v="2025-07-21"/>
    <x v="6"/>
    <x v="10"/>
    <x v="3"/>
    <s v="Operational Cost"/>
    <x v="12"/>
    <n v="1121.96"/>
    <s v=""/>
    <n v="1121.96"/>
  </r>
  <r>
    <s v="2025-07-22"/>
    <x v="6"/>
    <x v="13"/>
    <x v="2"/>
    <s v="Operational Cost"/>
    <x v="14"/>
    <n v="5372"/>
    <s v=""/>
    <n v="5372"/>
  </r>
  <r>
    <s v="2025-07-24"/>
    <x v="6"/>
    <x v="19"/>
    <x v="8"/>
    <s v="Sales General &amp; Administration "/>
    <x v="12"/>
    <n v="23.67"/>
    <s v=""/>
    <n v="23.67"/>
  </r>
  <r>
    <s v="2025-07-24"/>
    <x v="6"/>
    <x v="10"/>
    <x v="3"/>
    <s v="Operational Cost"/>
    <x v="12"/>
    <n v="1975.86"/>
    <s v=""/>
    <n v="1975.86"/>
  </r>
  <r>
    <s v="2025-07-24"/>
    <x v="6"/>
    <x v="40"/>
    <x v="3"/>
    <s v="Sales General &amp; Administration "/>
    <x v="46"/>
    <n v="16095"/>
    <s v=""/>
    <n v="16095"/>
  </r>
  <r>
    <s v="2025-07-24"/>
    <x v="6"/>
    <x v="16"/>
    <x v="6"/>
    <s v="Operational Cost"/>
    <x v="15"/>
    <n v="10600"/>
    <s v=""/>
    <n v="10600"/>
  </r>
  <r>
    <s v="2025-07-25"/>
    <x v="6"/>
    <x v="19"/>
    <x v="8"/>
    <s v="Sales General &amp; Administration "/>
    <x v="12"/>
    <n v="2001.96"/>
    <s v=""/>
    <n v="2001.96"/>
  </r>
  <r>
    <s v="2025-07-26"/>
    <x v="6"/>
    <x v="11"/>
    <x v="6"/>
    <s v="Operational Cost"/>
    <x v="58"/>
    <n v="3160"/>
    <s v=""/>
    <n v="3160"/>
  </r>
  <r>
    <s v="2025-07-27"/>
    <x v="6"/>
    <x v="10"/>
    <x v="3"/>
    <s v="Operational Cost"/>
    <x v="12"/>
    <n v="3035.4"/>
    <s v=""/>
    <n v="3035.4"/>
  </r>
  <r>
    <s v="2025-07-27"/>
    <x v="6"/>
    <x v="10"/>
    <x v="3"/>
    <s v="Operational Cost"/>
    <x v="12"/>
    <s v=""/>
    <n v="30.05"/>
    <n v="-30.05"/>
  </r>
  <r>
    <s v="2025-07-28"/>
    <x v="6"/>
    <x v="14"/>
    <x v="3"/>
    <s v="Sales General &amp; Administration "/>
    <x v="12"/>
    <n v="1428"/>
    <s v=""/>
    <n v="1428"/>
  </r>
  <r>
    <s v="2025-07-28"/>
    <x v="6"/>
    <x v="13"/>
    <x v="2"/>
    <s v="Operational Cost"/>
    <x v="21"/>
    <n v="1499"/>
    <s v=""/>
    <n v="1499"/>
  </r>
  <r>
    <s v="2025-07-28"/>
    <x v="6"/>
    <x v="13"/>
    <x v="2"/>
    <s v="Operational Cost"/>
    <x v="23"/>
    <n v="50000"/>
    <s v=""/>
    <n v="50000"/>
  </r>
  <r>
    <s v="2025-07-28"/>
    <x v="6"/>
    <x v="47"/>
    <x v="3"/>
    <s v="Sales General &amp; Administration "/>
    <x v="78"/>
    <n v="2677.68"/>
    <s v=""/>
    <n v="2677.68"/>
  </r>
  <r>
    <s v="2025-07-28"/>
    <x v="6"/>
    <x v="8"/>
    <x v="5"/>
    <s v="Indirect Income"/>
    <x v="7"/>
    <s v=""/>
    <n v="77785"/>
    <n v="-77785"/>
  </r>
  <r>
    <s v="2025-07-28"/>
    <x v="6"/>
    <x v="8"/>
    <x v="5"/>
    <s v="Indirect Income"/>
    <x v="7"/>
    <s v=""/>
    <n v="31975.47"/>
    <n v="-31975.47"/>
  </r>
  <r>
    <s v="2025-07-29"/>
    <x v="6"/>
    <x v="14"/>
    <x v="3"/>
    <s v="Sales General &amp; Administration "/>
    <x v="12"/>
    <n v="700"/>
    <s v=""/>
    <n v="700"/>
  </r>
  <r>
    <s v="2025-07-29"/>
    <x v="6"/>
    <x v="14"/>
    <x v="3"/>
    <s v="Sales General &amp; Administration "/>
    <x v="12"/>
    <n v="150"/>
    <s v=""/>
    <n v="150"/>
  </r>
  <r>
    <s v="2025-07-30"/>
    <x v="6"/>
    <x v="10"/>
    <x v="3"/>
    <s v="Operational Cost"/>
    <x v="12"/>
    <s v=""/>
    <n v="10.02"/>
    <n v="-10.02"/>
  </r>
  <r>
    <s v="2025-07-30"/>
    <x v="6"/>
    <x v="10"/>
    <x v="3"/>
    <s v="Operational Cost"/>
    <x v="12"/>
    <n v="1011.8"/>
    <s v=""/>
    <n v="1011.8"/>
  </r>
  <r>
    <s v="2025-07-30"/>
    <x v="6"/>
    <x v="23"/>
    <x v="2"/>
    <s v="Operational Cost"/>
    <x v="25"/>
    <n v="1000"/>
    <s v=""/>
    <n v="1000"/>
  </r>
  <r>
    <s v="2025-07-30"/>
    <x v="6"/>
    <x v="14"/>
    <x v="3"/>
    <s v="Sales General &amp; Administration "/>
    <x v="12"/>
    <n v="820"/>
    <s v=""/>
    <n v="820"/>
  </r>
  <r>
    <s v="2025-07-31"/>
    <x v="6"/>
    <x v="26"/>
    <x v="3"/>
    <s v="Sales General &amp; Administration "/>
    <x v="28"/>
    <n v="32000"/>
    <s v=""/>
    <n v="32000"/>
  </r>
  <r>
    <s v="2025-07-31"/>
    <x v="6"/>
    <x v="24"/>
    <x v="9"/>
    <s v="Sales General &amp; Administration "/>
    <x v="26"/>
    <n v="160000"/>
    <s v=""/>
    <n v="160000"/>
  </r>
  <r>
    <s v="2025-07-31"/>
    <x v="6"/>
    <x v="24"/>
    <x v="9"/>
    <s v="Sales General &amp; Administration "/>
    <x v="26"/>
    <n v="160000"/>
    <s v=""/>
    <n v="160000"/>
  </r>
  <r>
    <s v="2025-07-31"/>
    <x v="6"/>
    <x v="24"/>
    <x v="9"/>
    <s v="Sales General &amp; Administration "/>
    <x v="26"/>
    <n v="268000"/>
    <s v=""/>
    <n v="268000"/>
  </r>
  <r>
    <s v="2025-07-31"/>
    <x v="6"/>
    <x v="31"/>
    <x v="3"/>
    <s v="Sales General &amp; Administration "/>
    <x v="33"/>
    <n v="12000"/>
    <s v=""/>
    <n v="12000"/>
  </r>
  <r>
    <s v="2025-07-31"/>
    <x v="6"/>
    <x v="32"/>
    <x v="3"/>
    <s v="Sales General &amp; Administration "/>
    <x v="34"/>
    <n v="12000"/>
    <s v=""/>
    <n v="12000"/>
  </r>
  <r>
    <s v="2025-07-31"/>
    <x v="6"/>
    <x v="24"/>
    <x v="9"/>
    <s v="Sales General &amp; Administration "/>
    <x v="26"/>
    <n v="60000"/>
    <s v=""/>
    <n v="60000"/>
  </r>
  <r>
    <s v="2025-07-31"/>
    <x v="6"/>
    <x v="24"/>
    <x v="9"/>
    <s v="Sales General &amp; Administration "/>
    <x v="26"/>
    <n v="247074"/>
    <s v=""/>
    <n v="247074"/>
  </r>
  <r>
    <s v="2025-07-31"/>
    <x v="6"/>
    <x v="31"/>
    <x v="3"/>
    <s v="Sales General &amp; Administration "/>
    <x v="33"/>
    <n v="6000"/>
    <s v=""/>
    <n v="6000"/>
  </r>
  <r>
    <s v="2025-07-31"/>
    <x v="6"/>
    <x v="32"/>
    <x v="3"/>
    <s v="Sales General &amp; Administration "/>
    <x v="34"/>
    <n v="6000"/>
    <s v=""/>
    <n v="6000"/>
  </r>
  <r>
    <s v="2025-07-31"/>
    <x v="6"/>
    <x v="25"/>
    <x v="7"/>
    <s v="Operational Cost"/>
    <x v="27"/>
    <n v="12000"/>
    <s v=""/>
    <n v="12000"/>
  </r>
  <r>
    <s v="2025-07-31"/>
    <x v="6"/>
    <x v="7"/>
    <x v="3"/>
    <s v="Sales General &amp; Administration "/>
    <x v="42"/>
    <n v="14000"/>
    <s v=""/>
    <n v="14000"/>
  </r>
  <r>
    <s v="2025-07-31"/>
    <x v="6"/>
    <x v="20"/>
    <x v="3"/>
    <s v="Sales General &amp; Administration "/>
    <x v="57"/>
    <n v="1140"/>
    <s v=""/>
    <n v="1140"/>
  </r>
  <r>
    <s v="2025-07-31"/>
    <x v="6"/>
    <x v="14"/>
    <x v="3"/>
    <s v="Sales General &amp; Administration "/>
    <x v="81"/>
    <n v="6417"/>
    <s v=""/>
    <n v="6417"/>
  </r>
  <r>
    <s v="2025-07-31"/>
    <x v="6"/>
    <x v="11"/>
    <x v="6"/>
    <s v="Operational Cost"/>
    <x v="45"/>
    <n v="31833"/>
    <s v=""/>
    <n v="31833"/>
  </r>
  <r>
    <s v="2025-07-31"/>
    <x v="6"/>
    <x v="14"/>
    <x v="3"/>
    <s v="Sales General &amp; Administration "/>
    <x v="12"/>
    <n v="1575"/>
    <s v=""/>
    <n v="1575"/>
  </r>
  <r>
    <s v="2025-07-31"/>
    <x v="6"/>
    <x v="11"/>
    <x v="6"/>
    <s v="Operational Cost"/>
    <x v="70"/>
    <n v="10932.28"/>
    <s v=""/>
    <n v="10932.28"/>
  </r>
  <r>
    <s v="2025-07-31"/>
    <x v="6"/>
    <x v="47"/>
    <x v="3"/>
    <s v="Sales General &amp; Administration "/>
    <x v="78"/>
    <n v="12854.46"/>
    <s v=""/>
    <n v="12854.46"/>
  </r>
  <r>
    <s v="2025-07-31"/>
    <x v="6"/>
    <x v="47"/>
    <x v="3"/>
    <s v="Sales General &amp; Administration "/>
    <x v="78"/>
    <n v="4284.82"/>
    <s v=""/>
    <n v="4284.82"/>
  </r>
  <r>
    <s v="2025-07-31"/>
    <x v="6"/>
    <x v="10"/>
    <x v="3"/>
    <s v="Operational Cost"/>
    <x v="77"/>
    <n v="875.45"/>
    <s v=""/>
    <n v="875.45"/>
  </r>
  <r>
    <s v="2025-07-31"/>
    <x v="6"/>
    <x v="10"/>
    <x v="3"/>
    <s v="Operational Cost"/>
    <x v="77"/>
    <n v="927"/>
    <s v=""/>
    <n v="927"/>
  </r>
  <r>
    <s v="2025-07-31"/>
    <x v="6"/>
    <x v="7"/>
    <x v="3"/>
    <s v="Sales General &amp; Administration "/>
    <x v="12"/>
    <n v="603"/>
    <s v=""/>
    <n v="603"/>
  </r>
  <r>
    <s v="2025-07-31"/>
    <x v="6"/>
    <x v="27"/>
    <x v="3"/>
    <s v="Sales General &amp; Administration "/>
    <x v="29"/>
    <n v="29152"/>
    <s v=""/>
    <n v="29152"/>
  </r>
  <r>
    <s v="2025-07-31"/>
    <x v="6"/>
    <x v="28"/>
    <x v="3"/>
    <s v="Sales General &amp; Administration "/>
    <x v="30"/>
    <n v="297205"/>
    <s v=""/>
    <n v="297205"/>
  </r>
  <r>
    <s v="2025-07-31"/>
    <x v="6"/>
    <x v="29"/>
    <x v="7"/>
    <s v="Operational Cost"/>
    <x v="31"/>
    <n v="5158862"/>
    <s v=""/>
    <n v="5158862"/>
  </r>
  <r>
    <s v="2025-07-31"/>
    <x v="6"/>
    <x v="30"/>
    <x v="7"/>
    <s v="Operational Cost"/>
    <x v="32"/>
    <n v="2498763"/>
    <s v=""/>
    <n v="2498763"/>
  </r>
  <r>
    <s v="2025-07-31"/>
    <x v="6"/>
    <x v="31"/>
    <x v="3"/>
    <s v="Sales General &amp; Administration "/>
    <x v="33"/>
    <n v="338938"/>
    <s v=""/>
    <n v="338938"/>
  </r>
  <r>
    <s v="2025-07-31"/>
    <x v="6"/>
    <x v="32"/>
    <x v="3"/>
    <s v="Sales General &amp; Administration "/>
    <x v="34"/>
    <n v="338938"/>
    <s v=""/>
    <n v="338938"/>
  </r>
  <r>
    <s v="2025-07-31"/>
    <x v="6"/>
    <x v="33"/>
    <x v="3"/>
    <s v="Sales General &amp; Administration "/>
    <x v="35"/>
    <n v="19208"/>
    <s v=""/>
    <n v="19208"/>
  </r>
  <r>
    <s v="2025-07-31"/>
    <x v="6"/>
    <x v="34"/>
    <x v="3"/>
    <s v="Sales General &amp; Administration "/>
    <x v="36"/>
    <n v="4421"/>
    <s v=""/>
    <n v="4421"/>
  </r>
  <r>
    <s v="2025-07-31"/>
    <x v="6"/>
    <x v="35"/>
    <x v="10"/>
    <s v="Sales General &amp; Administration "/>
    <x v="37"/>
    <n v="19867"/>
    <s v=""/>
    <n v="19867"/>
  </r>
  <r>
    <s v="2025-07-31"/>
    <x v="6"/>
    <x v="36"/>
    <x v="9"/>
    <s v="Sales General &amp; Administration "/>
    <x v="38"/>
    <n v="44729"/>
    <s v=""/>
    <n v="44729"/>
  </r>
  <r>
    <s v="2025-07-31"/>
    <x v="6"/>
    <x v="37"/>
    <x v="9"/>
    <s v="Sales General &amp; Administration "/>
    <x v="39"/>
    <n v="74488"/>
    <s v=""/>
    <n v="74488"/>
  </r>
  <r>
    <s v="2025-07-31"/>
    <x v="6"/>
    <x v="38"/>
    <x v="9"/>
    <s v="Sales General &amp; Administration "/>
    <x v="40"/>
    <n v="63878"/>
    <s v=""/>
    <n v="63878"/>
  </r>
  <r>
    <s v="2025-07-31"/>
    <x v="6"/>
    <x v="39"/>
    <x v="3"/>
    <s v="Sales General &amp; Administration "/>
    <x v="41"/>
    <n v="51405"/>
    <s v=""/>
    <n v="51405"/>
  </r>
  <r>
    <s v="2025-08-01"/>
    <x v="7"/>
    <x v="1"/>
    <x v="0"/>
    <s v="Operational Cost"/>
    <x v="0"/>
    <n v="65105"/>
    <s v=""/>
    <n v="65105"/>
  </r>
  <r>
    <s v="2025-08-01"/>
    <x v="7"/>
    <x v="0"/>
    <x v="0"/>
    <s v="Operational Cost"/>
    <x v="0"/>
    <n v="376923"/>
    <s v=""/>
    <n v="376923"/>
  </r>
  <r>
    <s v="2025-08-01"/>
    <x v="7"/>
    <x v="17"/>
    <x v="0"/>
    <s v="Operational Cost"/>
    <x v="16"/>
    <n v="216296.3"/>
    <s v=""/>
    <n v="216296.3"/>
  </r>
  <r>
    <s v="2025-08-01"/>
    <x v="7"/>
    <x v="52"/>
    <x v="0"/>
    <s v="Operational Cost"/>
    <x v="82"/>
    <n v="400000"/>
    <s v=""/>
    <n v="400000"/>
  </r>
  <r>
    <s v="2025-08-01"/>
    <x v="7"/>
    <x v="6"/>
    <x v="4"/>
    <s v="Operational Cost"/>
    <x v="5"/>
    <n v="250200"/>
    <s v=""/>
    <n v="250200"/>
  </r>
  <r>
    <s v="2025-08-01"/>
    <x v="7"/>
    <x v="17"/>
    <x v="0"/>
    <s v="Operational Cost"/>
    <x v="16"/>
    <n v="65177.85"/>
    <s v=""/>
    <n v="65177.85"/>
  </r>
  <r>
    <s v="2025-08-01"/>
    <x v="7"/>
    <x v="10"/>
    <x v="3"/>
    <s v="Operational Cost"/>
    <x v="12"/>
    <s v=""/>
    <n v="19.8"/>
    <n v="-19.8"/>
  </r>
  <r>
    <s v="2025-08-01"/>
    <x v="7"/>
    <x v="10"/>
    <x v="3"/>
    <s v="Operational Cost"/>
    <x v="12"/>
    <n v="2000"/>
    <s v=""/>
    <n v="2000"/>
  </r>
  <r>
    <s v="2025-08-01"/>
    <x v="7"/>
    <x v="3"/>
    <x v="1"/>
    <s v="Sales General &amp; Administration "/>
    <x v="2"/>
    <n v="125000"/>
    <s v=""/>
    <n v="125000"/>
  </r>
  <r>
    <s v="2025-08-01"/>
    <x v="7"/>
    <x v="4"/>
    <x v="2"/>
    <s v="Operational Cost"/>
    <x v="3"/>
    <n v="16300"/>
    <s v=""/>
    <n v="16300"/>
  </r>
  <r>
    <s v="2025-08-01"/>
    <x v="7"/>
    <x v="13"/>
    <x v="2"/>
    <s v="Operational Cost"/>
    <x v="14"/>
    <n v="2817"/>
    <s v=""/>
    <n v="2817"/>
  </r>
  <r>
    <s v="2025-08-01"/>
    <x v="7"/>
    <x v="13"/>
    <x v="2"/>
    <s v="Operational Cost"/>
    <x v="14"/>
    <n v="533"/>
    <s v=""/>
    <n v="533"/>
  </r>
  <r>
    <s v="2025-08-03"/>
    <x v="7"/>
    <x v="9"/>
    <x v="2"/>
    <s v="Operational Cost"/>
    <x v="85"/>
    <n v="5000"/>
    <s v=""/>
    <n v="5000"/>
  </r>
  <r>
    <s v="2025-08-03"/>
    <x v="7"/>
    <x v="9"/>
    <x v="2"/>
    <s v="Operational Cost"/>
    <x v="8"/>
    <n v="23333"/>
    <s v=""/>
    <n v="23333"/>
  </r>
  <r>
    <s v="2025-08-03"/>
    <x v="7"/>
    <x v="9"/>
    <x v="2"/>
    <s v="Operational Cost"/>
    <x v="8"/>
    <n v="10417"/>
    <s v=""/>
    <n v="10417"/>
  </r>
  <r>
    <s v="2025-08-03"/>
    <x v="7"/>
    <x v="9"/>
    <x v="2"/>
    <s v="Operational Cost"/>
    <x v="8"/>
    <n v="9167"/>
    <s v=""/>
    <n v="9167"/>
  </r>
  <r>
    <s v="2025-08-03"/>
    <x v="7"/>
    <x v="19"/>
    <x v="8"/>
    <s v="Sales General &amp; Administration "/>
    <x v="55"/>
    <n v="5134.62"/>
    <s v=""/>
    <n v="5134.62"/>
  </r>
  <r>
    <s v="2025-08-04"/>
    <x v="7"/>
    <x v="7"/>
    <x v="3"/>
    <s v="Sales General &amp; Administration "/>
    <x v="6"/>
    <n v="23548.5"/>
    <s v=""/>
    <n v="23548.5"/>
  </r>
  <r>
    <s v="2025-08-05"/>
    <x v="7"/>
    <x v="13"/>
    <x v="2"/>
    <s v="Operational Cost"/>
    <x v="14"/>
    <n v="2834"/>
    <s v=""/>
    <n v="2834"/>
  </r>
  <r>
    <s v="2025-08-05"/>
    <x v="7"/>
    <x v="16"/>
    <x v="6"/>
    <s v="Operational Cost"/>
    <x v="15"/>
    <n v="40833"/>
    <s v=""/>
    <n v="40833"/>
  </r>
  <r>
    <s v="2025-08-06"/>
    <x v="7"/>
    <x v="17"/>
    <x v="0"/>
    <s v="Operational Cost"/>
    <x v="82"/>
    <n v="15396"/>
    <s v=""/>
    <n v="15396"/>
  </r>
  <r>
    <s v="2025-08-06"/>
    <x v="7"/>
    <x v="18"/>
    <x v="0"/>
    <s v="Operational Cost"/>
    <x v="17"/>
    <n v="26250"/>
    <s v=""/>
    <n v="26250"/>
  </r>
  <r>
    <s v="2025-08-06"/>
    <x v="7"/>
    <x v="13"/>
    <x v="2"/>
    <s v="Operational Cost"/>
    <x v="14"/>
    <n v="2479"/>
    <s v=""/>
    <n v="2479"/>
  </r>
  <r>
    <s v="2025-08-07"/>
    <x v="7"/>
    <x v="13"/>
    <x v="2"/>
    <s v="Operational Cost"/>
    <x v="14"/>
    <n v="572"/>
    <s v=""/>
    <n v="572"/>
  </r>
  <r>
    <s v="2025-08-08"/>
    <x v="7"/>
    <x v="11"/>
    <x v="6"/>
    <s v="Operational Cost"/>
    <x v="86"/>
    <n v="770"/>
    <s v=""/>
    <n v="770"/>
  </r>
  <r>
    <s v="2025-08-08"/>
    <x v="7"/>
    <x v="11"/>
    <x v="6"/>
    <s v="Operational Cost"/>
    <x v="86"/>
    <n v="1093.46"/>
    <s v=""/>
    <n v="1093.46"/>
  </r>
  <r>
    <s v="2025-08-09"/>
    <x v="7"/>
    <x v="15"/>
    <x v="2"/>
    <s v="Operational Cost"/>
    <x v="19"/>
    <n v="1298"/>
    <s v=""/>
    <n v="1298"/>
  </r>
  <r>
    <s v="2025-08-09"/>
    <x v="7"/>
    <x v="47"/>
    <x v="3"/>
    <s v="Sales General &amp; Administration "/>
    <x v="78"/>
    <n v="11156.25"/>
    <s v=""/>
    <n v="11156.25"/>
  </r>
  <r>
    <s v="2025-08-11"/>
    <x v="7"/>
    <x v="11"/>
    <x v="6"/>
    <s v="Operational Cost"/>
    <x v="86"/>
    <n v="650"/>
    <s v=""/>
    <n v="650"/>
  </r>
  <r>
    <s v="2025-08-11"/>
    <x v="7"/>
    <x v="11"/>
    <x v="6"/>
    <s v="Operational Cost"/>
    <x v="86"/>
    <n v="551.39"/>
    <s v=""/>
    <n v="551.39"/>
  </r>
  <r>
    <s v="2025-08-11"/>
    <x v="7"/>
    <x v="11"/>
    <x v="6"/>
    <s v="Operational Cost"/>
    <x v="86"/>
    <n v="961.16"/>
    <s v=""/>
    <n v="961.16"/>
  </r>
  <r>
    <s v="2025-08-11"/>
    <x v="7"/>
    <x v="16"/>
    <x v="6"/>
    <s v="Operational Cost"/>
    <x v="15"/>
    <n v="994"/>
    <s v=""/>
    <n v="994"/>
  </r>
  <r>
    <s v="2025-08-12"/>
    <x v="7"/>
    <x v="14"/>
    <x v="3"/>
    <s v="Sales General &amp; Administration "/>
    <x v="81"/>
    <n v="4333"/>
    <s v=""/>
    <n v="4333"/>
  </r>
  <r>
    <s v="2025-08-12"/>
    <x v="7"/>
    <x v="10"/>
    <x v="3"/>
    <s v="Operational Cost"/>
    <x v="43"/>
    <n v="4730"/>
    <s v=""/>
    <n v="4730"/>
  </r>
  <r>
    <s v="2025-08-12"/>
    <x v="7"/>
    <x v="47"/>
    <x v="3"/>
    <s v="Sales General &amp; Administration "/>
    <x v="87"/>
    <n v="2500"/>
    <s v=""/>
    <n v="2500"/>
  </r>
  <r>
    <s v="2025-08-13"/>
    <x v="7"/>
    <x v="10"/>
    <x v="3"/>
    <s v="Operational Cost"/>
    <x v="12"/>
    <n v="5328.73"/>
    <s v=""/>
    <n v="5328.73"/>
  </r>
  <r>
    <s v="2025-08-13"/>
    <x v="7"/>
    <x v="10"/>
    <x v="3"/>
    <s v="Operational Cost"/>
    <x v="12"/>
    <s v=""/>
    <n v="50.9"/>
    <n v="-50.9"/>
  </r>
  <r>
    <s v="2025-08-13"/>
    <x v="7"/>
    <x v="47"/>
    <x v="3"/>
    <s v="Sales General &amp; Administration "/>
    <x v="78"/>
    <n v="4107.1400000000003"/>
    <s v=""/>
    <n v="4107.1400000000003"/>
  </r>
  <r>
    <s v="2025-08-13"/>
    <x v="7"/>
    <x v="13"/>
    <x v="2"/>
    <s v="Operational Cost"/>
    <x v="21"/>
    <n v="2793.06"/>
    <s v=""/>
    <n v="2793.06"/>
  </r>
  <r>
    <s v="2025-08-13"/>
    <x v="7"/>
    <x v="13"/>
    <x v="2"/>
    <s v="Operational Cost"/>
    <x v="21"/>
    <n v="3382"/>
    <s v=""/>
    <n v="3382"/>
  </r>
  <r>
    <s v="2025-08-13"/>
    <x v="7"/>
    <x v="13"/>
    <x v="2"/>
    <s v="Operational Cost"/>
    <x v="21"/>
    <n v="202"/>
    <s v=""/>
    <n v="202"/>
  </r>
  <r>
    <s v="2025-08-14"/>
    <x v="7"/>
    <x v="17"/>
    <x v="0"/>
    <s v="Operational Cost"/>
    <x v="16"/>
    <n v="635.67999999999995"/>
    <s v=""/>
    <n v="635.67999999999995"/>
  </r>
  <r>
    <s v="2025-08-15"/>
    <x v="7"/>
    <x v="13"/>
    <x v="2"/>
    <s v="Operational Cost"/>
    <x v="14"/>
    <n v="8913"/>
    <s v=""/>
    <n v="8913"/>
  </r>
  <r>
    <s v="2025-08-15"/>
    <x v="7"/>
    <x v="19"/>
    <x v="8"/>
    <s v="Sales General &amp; Administration "/>
    <x v="12"/>
    <n v="35.840000000000003"/>
    <s v=""/>
    <n v="35.840000000000003"/>
  </r>
  <r>
    <s v="2025-08-15"/>
    <x v="7"/>
    <x v="13"/>
    <x v="2"/>
    <s v="Operational Cost"/>
    <x v="14"/>
    <n v="3535"/>
    <s v=""/>
    <n v="3535"/>
  </r>
  <r>
    <s v="2025-08-16"/>
    <x v="7"/>
    <x v="16"/>
    <x v="6"/>
    <s v="Operational Cost"/>
    <x v="15"/>
    <n v="1190"/>
    <s v=""/>
    <n v="1190"/>
  </r>
  <r>
    <s v="2025-08-18"/>
    <x v="7"/>
    <x v="13"/>
    <x v="2"/>
    <s v="Operational Cost"/>
    <x v="14"/>
    <n v="1499"/>
    <s v=""/>
    <n v="1499"/>
  </r>
  <r>
    <s v="2025-08-18"/>
    <x v="7"/>
    <x v="10"/>
    <x v="3"/>
    <s v="Operational Cost"/>
    <x v="12"/>
    <n v="582.05999999999995"/>
    <s v=""/>
    <n v="582.05999999999995"/>
  </r>
  <r>
    <s v="2025-08-18"/>
    <x v="7"/>
    <x v="11"/>
    <x v="6"/>
    <s v="Operational Cost"/>
    <x v="86"/>
    <n v="820"/>
    <s v=""/>
    <n v="820"/>
  </r>
  <r>
    <s v="2025-08-18"/>
    <x v="7"/>
    <x v="11"/>
    <x v="6"/>
    <s v="Operational Cost"/>
    <x v="86"/>
    <n v="236.19"/>
    <s v=""/>
    <n v="236.19"/>
  </r>
  <r>
    <s v="2025-08-18"/>
    <x v="7"/>
    <x v="16"/>
    <x v="6"/>
    <s v="Operational Cost"/>
    <x v="15"/>
    <n v="896"/>
    <s v=""/>
    <n v="896"/>
  </r>
  <r>
    <s v="2025-08-19"/>
    <x v="7"/>
    <x v="13"/>
    <x v="2"/>
    <s v="Operational Cost"/>
    <x v="22"/>
    <n v="6299.14"/>
    <s v=""/>
    <n v="6299.14"/>
  </r>
  <r>
    <s v="2025-08-19"/>
    <x v="7"/>
    <x v="16"/>
    <x v="6"/>
    <s v="Operational Cost"/>
    <x v="15"/>
    <n v="789"/>
    <s v=""/>
    <n v="789"/>
  </r>
  <r>
    <s v="2025-08-20"/>
    <x v="7"/>
    <x v="16"/>
    <x v="6"/>
    <s v="Operational Cost"/>
    <x v="15"/>
    <n v="5533"/>
    <s v=""/>
    <n v="5533"/>
  </r>
  <r>
    <s v="2025-08-20"/>
    <x v="7"/>
    <x v="13"/>
    <x v="2"/>
    <s v="Operational Cost"/>
    <x v="21"/>
    <n v="2367"/>
    <s v=""/>
    <n v="2367"/>
  </r>
  <r>
    <s v="2025-08-21"/>
    <x v="7"/>
    <x v="11"/>
    <x v="6"/>
    <s v="Operational Cost"/>
    <x v="86"/>
    <n v="1900"/>
    <s v=""/>
    <n v="1900"/>
  </r>
  <r>
    <s v="2025-08-21"/>
    <x v="7"/>
    <x v="11"/>
    <x v="6"/>
    <s v="Operational Cost"/>
    <x v="86"/>
    <n v="1532.55"/>
    <s v=""/>
    <n v="1532.55"/>
  </r>
  <r>
    <s v="2025-08-22"/>
    <x v="7"/>
    <x v="13"/>
    <x v="2"/>
    <s v="Operational Cost"/>
    <x v="14"/>
    <n v="5372"/>
    <s v=""/>
    <n v="5372"/>
  </r>
  <r>
    <s v="2025-08-22"/>
    <x v="7"/>
    <x v="7"/>
    <x v="3"/>
    <s v="Sales General &amp; Administration "/>
    <x v="42"/>
    <n v="250"/>
    <s v=""/>
    <n v="250"/>
  </r>
  <r>
    <s v="2025-08-22"/>
    <x v="7"/>
    <x v="14"/>
    <x v="3"/>
    <s v="Sales General &amp; Administration "/>
    <x v="81"/>
    <n v="7189"/>
    <s v=""/>
    <n v="7189"/>
  </r>
  <r>
    <s v="2025-08-22"/>
    <x v="7"/>
    <x v="10"/>
    <x v="3"/>
    <s v="Operational Cost"/>
    <x v="43"/>
    <n v="2500"/>
    <s v=""/>
    <n v="2500"/>
  </r>
  <r>
    <s v="2025-08-23"/>
    <x v="7"/>
    <x v="47"/>
    <x v="3"/>
    <s v="Sales General &amp; Administration "/>
    <x v="88"/>
    <n v="14732.08"/>
    <s v=""/>
    <n v="14732.08"/>
  </r>
  <r>
    <s v="2025-08-24"/>
    <x v="7"/>
    <x v="19"/>
    <x v="8"/>
    <s v="Sales General &amp; Administration "/>
    <x v="12"/>
    <n v="23.67"/>
    <s v=""/>
    <n v="23.67"/>
  </r>
  <r>
    <s v="2025-08-24"/>
    <x v="7"/>
    <x v="16"/>
    <x v="6"/>
    <s v="Operational Cost"/>
    <x v="15"/>
    <n v="10600"/>
    <s v=""/>
    <n v="10600"/>
  </r>
  <r>
    <s v="2025-08-27"/>
    <x v="7"/>
    <x v="13"/>
    <x v="2"/>
    <s v="Operational Cost"/>
    <x v="21"/>
    <n v="1499"/>
    <s v=""/>
    <n v="1499"/>
  </r>
  <r>
    <s v="2025-08-28"/>
    <x v="7"/>
    <x v="13"/>
    <x v="2"/>
    <s v="Operational Cost"/>
    <x v="23"/>
    <n v="50000"/>
    <s v=""/>
    <n v="50000"/>
  </r>
  <r>
    <s v="2025-08-29"/>
    <x v="7"/>
    <x v="24"/>
    <x v="9"/>
    <s v="Sales General &amp; Administration "/>
    <x v="26"/>
    <n v="160000"/>
    <s v=""/>
    <n v="160000"/>
  </r>
  <r>
    <s v="2025-08-29"/>
    <x v="7"/>
    <x v="24"/>
    <x v="9"/>
    <s v="Sales General &amp; Administration "/>
    <x v="26"/>
    <n v="160000"/>
    <s v=""/>
    <n v="160000"/>
  </r>
  <r>
    <s v="2025-08-29"/>
    <x v="7"/>
    <x v="24"/>
    <x v="9"/>
    <s v="Sales General &amp; Administration "/>
    <x v="26"/>
    <n v="268000"/>
    <s v=""/>
    <n v="268000"/>
  </r>
  <r>
    <s v="2025-08-29"/>
    <x v="7"/>
    <x v="31"/>
    <x v="3"/>
    <s v="Sales General &amp; Administration "/>
    <x v="33"/>
    <n v="12000"/>
    <s v=""/>
    <n v="12000"/>
  </r>
  <r>
    <s v="2025-08-29"/>
    <x v="7"/>
    <x v="32"/>
    <x v="3"/>
    <s v="Sales General &amp; Administration "/>
    <x v="34"/>
    <n v="12000"/>
    <s v=""/>
    <n v="12000"/>
  </r>
  <r>
    <s v="2025-08-29"/>
    <x v="7"/>
    <x v="24"/>
    <x v="9"/>
    <s v="Sales General &amp; Administration "/>
    <x v="26"/>
    <n v="60000"/>
    <s v=""/>
    <n v="60000"/>
  </r>
  <r>
    <s v="2025-08-29"/>
    <x v="7"/>
    <x v="24"/>
    <x v="9"/>
    <s v="Sales General &amp; Administration "/>
    <x v="26"/>
    <n v="247074"/>
    <s v=""/>
    <n v="247074"/>
  </r>
  <r>
    <s v="2025-08-29"/>
    <x v="7"/>
    <x v="31"/>
    <x v="3"/>
    <s v="Sales General &amp; Administration "/>
    <x v="33"/>
    <n v="6000"/>
    <s v=""/>
    <n v="6000"/>
  </r>
  <r>
    <s v="2025-08-29"/>
    <x v="7"/>
    <x v="32"/>
    <x v="3"/>
    <s v="Sales General &amp; Administration "/>
    <x v="34"/>
    <n v="6000"/>
    <s v=""/>
    <n v="6000"/>
  </r>
  <r>
    <s v="2025-08-29"/>
    <x v="7"/>
    <x v="25"/>
    <x v="7"/>
    <s v="Operational Cost"/>
    <x v="27"/>
    <n v="12000"/>
    <s v=""/>
    <n v="12000"/>
  </r>
  <r>
    <s v="2025-08-29"/>
    <x v="7"/>
    <x v="15"/>
    <x v="2"/>
    <s v="Operational Cost"/>
    <x v="19"/>
    <n v="746.82"/>
    <s v=""/>
    <n v="746.82"/>
  </r>
  <r>
    <s v="2025-08-29"/>
    <x v="7"/>
    <x v="23"/>
    <x v="2"/>
    <s v="Operational Cost"/>
    <x v="89"/>
    <n v="1936"/>
    <s v=""/>
    <n v="1936"/>
  </r>
  <r>
    <s v="2025-08-29"/>
    <x v="7"/>
    <x v="27"/>
    <x v="3"/>
    <s v="Sales General &amp; Administration "/>
    <x v="29"/>
    <n v="31963"/>
    <s v=""/>
    <n v="31963"/>
  </r>
  <r>
    <s v="2025-08-29"/>
    <x v="7"/>
    <x v="28"/>
    <x v="3"/>
    <s v="Sales General &amp; Administration "/>
    <x v="30"/>
    <n v="273626"/>
    <s v=""/>
    <n v="273626"/>
  </r>
  <r>
    <s v="2025-08-29"/>
    <x v="7"/>
    <x v="29"/>
    <x v="7"/>
    <s v="Operational Cost"/>
    <x v="31"/>
    <n v="5788065"/>
    <s v=""/>
    <n v="5788065"/>
  </r>
  <r>
    <s v="2025-08-29"/>
    <x v="7"/>
    <x v="30"/>
    <x v="7"/>
    <s v="Operational Cost"/>
    <x v="32"/>
    <n v="2762127"/>
    <s v=""/>
    <n v="2762127"/>
  </r>
  <r>
    <s v="2025-08-29"/>
    <x v="7"/>
    <x v="31"/>
    <x v="3"/>
    <s v="Sales General &amp; Administration "/>
    <x v="33"/>
    <n v="372653"/>
    <s v=""/>
    <n v="372653"/>
  </r>
  <r>
    <s v="2025-08-29"/>
    <x v="7"/>
    <x v="32"/>
    <x v="3"/>
    <s v="Sales General &amp; Administration "/>
    <x v="34"/>
    <n v="372653"/>
    <s v=""/>
    <n v="372653"/>
  </r>
  <r>
    <s v="2025-08-29"/>
    <x v="7"/>
    <x v="33"/>
    <x v="3"/>
    <s v="Sales General &amp; Administration "/>
    <x v="35"/>
    <n v="18757"/>
    <s v=""/>
    <n v="18757"/>
  </r>
  <r>
    <s v="2025-08-29"/>
    <x v="7"/>
    <x v="34"/>
    <x v="3"/>
    <s v="Sales General &amp; Administration "/>
    <x v="36"/>
    <n v="4345"/>
    <s v=""/>
    <n v="4345"/>
  </r>
  <r>
    <s v="2025-08-29"/>
    <x v="7"/>
    <x v="35"/>
    <x v="10"/>
    <s v="Sales General &amp; Administration "/>
    <x v="37"/>
    <n v="125076"/>
    <s v=""/>
    <n v="125076"/>
  </r>
  <r>
    <s v="2025-08-29"/>
    <x v="7"/>
    <x v="36"/>
    <x v="9"/>
    <s v="Sales General &amp; Administration "/>
    <x v="38"/>
    <n v="48600"/>
    <s v=""/>
    <n v="48600"/>
  </r>
  <r>
    <s v="2025-08-29"/>
    <x v="7"/>
    <x v="37"/>
    <x v="9"/>
    <s v="Sales General &amp; Administration "/>
    <x v="39"/>
    <n v="89843"/>
    <s v=""/>
    <n v="89843"/>
  </r>
  <r>
    <s v="2025-08-29"/>
    <x v="7"/>
    <x v="38"/>
    <x v="9"/>
    <s v="Sales General &amp; Administration "/>
    <x v="40"/>
    <n v="63878"/>
    <s v=""/>
    <n v="63878"/>
  </r>
  <r>
    <s v="2025-08-29"/>
    <x v="7"/>
    <x v="39"/>
    <x v="3"/>
    <s v="Sales General &amp; Administration "/>
    <x v="41"/>
    <n v="56800"/>
    <s v=""/>
    <n v="56800"/>
  </r>
  <r>
    <s v="2025-08-30"/>
    <x v="7"/>
    <x v="23"/>
    <x v="2"/>
    <s v="Operational Cost"/>
    <x v="25"/>
    <n v="1000"/>
    <s v=""/>
    <n v="1000"/>
  </r>
  <r>
    <s v="2025-08-30"/>
    <x v="7"/>
    <x v="11"/>
    <x v="6"/>
    <s v="Operational Cost"/>
    <x v="90"/>
    <n v="15000"/>
    <s v=""/>
    <n v="15000"/>
  </r>
  <r>
    <s v="2025-08-30"/>
    <x v="7"/>
    <x v="21"/>
    <x v="0"/>
    <s v="Operational Cost"/>
    <x v="20"/>
    <n v="150740"/>
    <s v=""/>
    <n v="150740"/>
  </r>
  <r>
    <s v="2025-08-30"/>
    <x v="7"/>
    <x v="11"/>
    <x v="6"/>
    <s v="Operational Cost"/>
    <x v="9"/>
    <n v="90000"/>
    <s v=""/>
    <n v="90000"/>
  </r>
  <r>
    <s v="2025-08-30"/>
    <x v="7"/>
    <x v="16"/>
    <x v="6"/>
    <s v="Operational Cost"/>
    <x v="91"/>
    <n v="9326"/>
    <s v=""/>
    <n v="9326"/>
  </r>
  <r>
    <s v="2025-08-31"/>
    <x v="7"/>
    <x v="7"/>
    <x v="3"/>
    <s v="Sales General &amp; Administration "/>
    <x v="42"/>
    <n v="4180"/>
    <s v=""/>
    <n v="4180"/>
  </r>
  <r>
    <s v="2025-08-31"/>
    <x v="7"/>
    <x v="14"/>
    <x v="3"/>
    <s v="Sales General &amp; Administration "/>
    <x v="81"/>
    <n v="435"/>
    <s v=""/>
    <n v="435"/>
  </r>
  <r>
    <s v="2025-08-31"/>
    <x v="7"/>
    <x v="10"/>
    <x v="3"/>
    <s v="Operational Cost"/>
    <x v="43"/>
    <n v="367"/>
    <s v=""/>
    <n v="367"/>
  </r>
  <r>
    <s v="2025-08-31"/>
    <x v="7"/>
    <x v="11"/>
    <x v="6"/>
    <s v="Operational Cost"/>
    <x v="45"/>
    <n v="47348"/>
    <s v=""/>
    <n v="47348"/>
  </r>
  <r>
    <s v="2025-08-31"/>
    <x v="7"/>
    <x v="26"/>
    <x v="3"/>
    <s v="Sales General &amp; Administration "/>
    <x v="28"/>
    <n v="32000"/>
    <s v=""/>
    <n v="32000"/>
  </r>
  <r>
    <s v="2025-08-31"/>
    <x v="7"/>
    <x v="26"/>
    <x v="3"/>
    <s v="Sales General &amp; Administration "/>
    <x v="92"/>
    <n v="9040"/>
    <s v=""/>
    <n v="9040"/>
  </r>
  <r>
    <s v="2025-08-31"/>
    <x v="7"/>
    <x v="11"/>
    <x v="6"/>
    <s v="Operational Cost"/>
    <x v="58"/>
    <n v="5750"/>
    <s v=""/>
    <n v="5750"/>
  </r>
  <r>
    <s v="2025-09-01"/>
    <x v="8"/>
    <x v="0"/>
    <x v="0"/>
    <s v="Operational Cost"/>
    <x v="0"/>
    <n v="376923"/>
    <s v=""/>
    <n v="376923"/>
  </r>
  <r>
    <s v="2025-09-01"/>
    <x v="8"/>
    <x v="1"/>
    <x v="0"/>
    <s v="Operational Cost"/>
    <x v="0"/>
    <n v="65105"/>
    <s v=""/>
    <n v="65105"/>
  </r>
  <r>
    <s v="2025-09-01"/>
    <x v="8"/>
    <x v="52"/>
    <x v="0"/>
    <s v="Operational Cost"/>
    <x v="82"/>
    <n v="400000"/>
    <s v=""/>
    <n v="400000"/>
  </r>
  <r>
    <s v="2025-09-01"/>
    <x v="8"/>
    <x v="4"/>
    <x v="2"/>
    <s v="Operational Cost"/>
    <x v="3"/>
    <n v="15900"/>
    <s v=""/>
    <n v="15900"/>
  </r>
  <r>
    <s v="2025-09-01"/>
    <x v="8"/>
    <x v="46"/>
    <x v="8"/>
    <s v="Sales General &amp; Administration "/>
    <x v="55"/>
    <n v="5880"/>
    <s v=""/>
    <n v="5880"/>
  </r>
  <r>
    <s v="2025-09-01"/>
    <x v="8"/>
    <x v="7"/>
    <x v="3"/>
    <s v="Sales General &amp; Administration "/>
    <x v="6"/>
    <n v="6161"/>
    <s v=""/>
    <n v="6161"/>
  </r>
  <r>
    <s v="2025-09-01"/>
    <x v="8"/>
    <x v="7"/>
    <x v="3"/>
    <s v="Sales General &amp; Administration "/>
    <x v="6"/>
    <n v="16363"/>
    <s v=""/>
    <n v="16363"/>
  </r>
  <r>
    <s v="2025-09-01"/>
    <x v="8"/>
    <x v="6"/>
    <x v="4"/>
    <s v="Operational Cost"/>
    <x v="5"/>
    <n v="218400"/>
    <s v=""/>
    <n v="218400"/>
  </r>
  <r>
    <s v="2025-09-01"/>
    <x v="8"/>
    <x v="3"/>
    <x v="1"/>
    <s v="Sales General &amp; Administration "/>
    <x v="2"/>
    <n v="125000"/>
    <s v=""/>
    <n v="125000"/>
  </r>
  <r>
    <s v="2025-09-01"/>
    <x v="8"/>
    <x v="13"/>
    <x v="2"/>
    <s v="Operational Cost"/>
    <x v="14"/>
    <n v="2817"/>
    <s v=""/>
    <n v="2817"/>
  </r>
  <r>
    <s v="2025-09-01"/>
    <x v="8"/>
    <x v="13"/>
    <x v="2"/>
    <s v="Operational Cost"/>
    <x v="14"/>
    <n v="533"/>
    <s v=""/>
    <n v="533"/>
  </r>
  <r>
    <s v="2025-09-02"/>
    <x v="8"/>
    <x v="16"/>
    <x v="6"/>
    <s v="Operational Cost"/>
    <x v="91"/>
    <n v="252.5"/>
    <s v=""/>
    <n v="252.5"/>
  </r>
  <r>
    <s v="2025-09-03"/>
    <x v="8"/>
    <x v="9"/>
    <x v="2"/>
    <s v="Operational Cost"/>
    <x v="8"/>
    <n v="23333"/>
    <s v=""/>
    <n v="23333"/>
  </r>
  <r>
    <s v="2025-09-03"/>
    <x v="8"/>
    <x v="9"/>
    <x v="2"/>
    <s v="Operational Cost"/>
    <x v="8"/>
    <n v="10417"/>
    <s v=""/>
    <n v="10417"/>
  </r>
  <r>
    <s v="2025-09-03"/>
    <x v="8"/>
    <x v="9"/>
    <x v="2"/>
    <s v="Operational Cost"/>
    <x v="8"/>
    <n v="9167"/>
    <s v=""/>
    <n v="9167"/>
  </r>
  <r>
    <s v="2025-09-05"/>
    <x v="8"/>
    <x v="13"/>
    <x v="2"/>
    <s v="Operational Cost"/>
    <x v="14"/>
    <n v="2834"/>
    <s v=""/>
    <n v="2834"/>
  </r>
  <r>
    <s v="2025-09-05"/>
    <x v="8"/>
    <x v="16"/>
    <x v="6"/>
    <s v="Operational Cost"/>
    <x v="15"/>
    <n v="40833"/>
    <s v=""/>
    <n v="40833"/>
  </r>
  <r>
    <s v="2025-09-05"/>
    <x v="8"/>
    <x v="18"/>
    <x v="0"/>
    <s v="Operational Cost"/>
    <x v="17"/>
    <n v="26250"/>
    <s v=""/>
    <n v="26250"/>
  </r>
  <r>
    <s v="2025-09-05"/>
    <x v="8"/>
    <x v="11"/>
    <x v="6"/>
    <s v="Operational Cost"/>
    <x v="9"/>
    <n v="2750"/>
    <s v=""/>
    <n v="2750"/>
  </r>
  <r>
    <s v="2025-09-06"/>
    <x v="8"/>
    <x v="13"/>
    <x v="2"/>
    <s v="Operational Cost"/>
    <x v="14"/>
    <n v="2479"/>
    <s v=""/>
    <n v="2479"/>
  </r>
  <r>
    <s v="2025-09-07"/>
    <x v="8"/>
    <x v="13"/>
    <x v="2"/>
    <s v="Operational Cost"/>
    <x v="14"/>
    <n v="572"/>
    <s v=""/>
    <n v="572"/>
  </r>
  <r>
    <s v="2025-09-08"/>
    <x v="8"/>
    <x v="10"/>
    <x v="3"/>
    <s v="Operational Cost"/>
    <x v="9"/>
    <n v="37150"/>
    <s v=""/>
    <n v="37150"/>
  </r>
  <r>
    <s v="2025-09-09"/>
    <x v="8"/>
    <x v="15"/>
    <x v="2"/>
    <s v="Operational Cost"/>
    <x v="19"/>
    <n v="1298"/>
    <s v=""/>
    <n v="1298"/>
  </r>
  <r>
    <s v="2025-09-09"/>
    <x v="8"/>
    <x v="7"/>
    <x v="3"/>
    <s v="Sales General &amp; Administration "/>
    <x v="80"/>
    <n v="32406"/>
    <s v=""/>
    <n v="32406"/>
  </r>
  <r>
    <s v="2025-09-09"/>
    <x v="8"/>
    <x v="11"/>
    <x v="6"/>
    <s v="Operational Cost"/>
    <x v="86"/>
    <n v="7019"/>
    <s v=""/>
    <n v="7019"/>
  </r>
  <r>
    <s v="2025-09-09"/>
    <x v="8"/>
    <x v="6"/>
    <x v="4"/>
    <s v="Operational Cost"/>
    <x v="5"/>
    <n v="43600"/>
    <s v=""/>
    <n v="43600"/>
  </r>
  <r>
    <s v="2025-09-11"/>
    <x v="8"/>
    <x v="16"/>
    <x v="6"/>
    <s v="Operational Cost"/>
    <x v="15"/>
    <n v="994"/>
    <s v=""/>
    <n v="994"/>
  </r>
  <r>
    <s v="2025-09-12"/>
    <x v="8"/>
    <x v="23"/>
    <x v="2"/>
    <s v="Operational Cost"/>
    <x v="89"/>
    <n v="15000"/>
    <s v=""/>
    <n v="15000"/>
  </r>
  <r>
    <s v="2025-09-13"/>
    <x v="8"/>
    <x v="17"/>
    <x v="0"/>
    <s v="Operational Cost"/>
    <x v="82"/>
    <n v="33468"/>
    <s v=""/>
    <n v="33468"/>
  </r>
  <r>
    <s v="2025-09-15"/>
    <x v="8"/>
    <x v="13"/>
    <x v="2"/>
    <s v="Operational Cost"/>
    <x v="14"/>
    <n v="8913"/>
    <s v=""/>
    <n v="8913"/>
  </r>
  <r>
    <s v="2025-09-15"/>
    <x v="8"/>
    <x v="13"/>
    <x v="2"/>
    <s v="Operational Cost"/>
    <x v="14"/>
    <n v="3535"/>
    <s v=""/>
    <n v="3535"/>
  </r>
  <r>
    <s v="2025-09-15"/>
    <x v="8"/>
    <x v="13"/>
    <x v="2"/>
    <s v="Operational Cost"/>
    <x v="21"/>
    <n v="2793.06"/>
    <s v=""/>
    <n v="2793.06"/>
  </r>
  <r>
    <s v="2025-09-15"/>
    <x v="8"/>
    <x v="17"/>
    <x v="0"/>
    <s v="Operational Cost"/>
    <x v="16"/>
    <n v="219561"/>
    <s v=""/>
    <n v="219561"/>
  </r>
  <r>
    <s v="2025-09-16"/>
    <x v="8"/>
    <x v="16"/>
    <x v="6"/>
    <s v="Operational Cost"/>
    <x v="15"/>
    <n v="1190"/>
    <s v=""/>
    <n v="1190"/>
  </r>
  <r>
    <s v="2025-09-16"/>
    <x v="8"/>
    <x v="8"/>
    <x v="5"/>
    <s v="Indirect Income"/>
    <x v="7"/>
    <s v=""/>
    <n v="62294.46"/>
    <n v="-62294.46"/>
  </r>
  <r>
    <s v="2025-09-16"/>
    <x v="8"/>
    <x v="8"/>
    <x v="5"/>
    <s v="Indirect Income"/>
    <x v="7"/>
    <s v=""/>
    <n v="126176.4"/>
    <n v="-126176.4"/>
  </r>
  <r>
    <s v="2025-09-16"/>
    <x v="8"/>
    <x v="15"/>
    <x v="2"/>
    <s v="Operational Cost"/>
    <x v="19"/>
    <n v="1041.82"/>
    <s v=""/>
    <n v="1041.82"/>
  </r>
  <r>
    <s v="2025-09-16"/>
    <x v="8"/>
    <x v="13"/>
    <x v="2"/>
    <s v="Operational Cost"/>
    <x v="21"/>
    <n v="3382"/>
    <s v=""/>
    <n v="3382"/>
  </r>
  <r>
    <s v="2025-09-16"/>
    <x v="8"/>
    <x v="6"/>
    <x v="4"/>
    <s v="Operational Cost"/>
    <x v="9"/>
    <n v="4"/>
    <s v=""/>
    <n v="4"/>
  </r>
  <r>
    <s v="2025-09-17"/>
    <x v="8"/>
    <x v="19"/>
    <x v="8"/>
    <s v="Sales General &amp; Administration "/>
    <x v="12"/>
    <n v="33.82"/>
    <s v=""/>
    <n v="33.82"/>
  </r>
  <r>
    <s v="2025-09-17"/>
    <x v="8"/>
    <x v="13"/>
    <x v="2"/>
    <s v="Operational Cost"/>
    <x v="14"/>
    <n v="547"/>
    <s v=""/>
    <n v="547"/>
  </r>
  <r>
    <s v="2025-09-17"/>
    <x v="8"/>
    <x v="13"/>
    <x v="2"/>
    <s v="Operational Cost"/>
    <x v="14"/>
    <n v="8870"/>
    <s v=""/>
    <n v="8870"/>
  </r>
  <r>
    <s v="2025-09-18"/>
    <x v="8"/>
    <x v="16"/>
    <x v="6"/>
    <s v="Operational Cost"/>
    <x v="15"/>
    <n v="896"/>
    <s v=""/>
    <n v="896"/>
  </r>
  <r>
    <s v="2025-09-18"/>
    <x v="8"/>
    <x v="13"/>
    <x v="2"/>
    <s v="Operational Cost"/>
    <x v="14"/>
    <n v="1499"/>
    <s v=""/>
    <n v="1499"/>
  </r>
  <r>
    <s v="2025-09-18"/>
    <x v="8"/>
    <x v="16"/>
    <x v="6"/>
    <s v="Operational Cost"/>
    <x v="91"/>
    <n v="8021"/>
    <s v=""/>
    <n v="8021"/>
  </r>
  <r>
    <s v="2025-09-19"/>
    <x v="8"/>
    <x v="16"/>
    <x v="6"/>
    <s v="Operational Cost"/>
    <x v="15"/>
    <n v="789"/>
    <s v=""/>
    <n v="789"/>
  </r>
  <r>
    <s v="2025-09-19"/>
    <x v="8"/>
    <x v="11"/>
    <x v="6"/>
    <s v="Operational Cost"/>
    <x v="93"/>
    <n v="400"/>
    <s v=""/>
    <n v="400"/>
  </r>
  <r>
    <s v="2025-09-20"/>
    <x v="8"/>
    <x v="16"/>
    <x v="6"/>
    <s v="Operational Cost"/>
    <x v="15"/>
    <n v="4833"/>
    <s v=""/>
    <n v="4833"/>
  </r>
  <r>
    <s v="2025-09-22"/>
    <x v="8"/>
    <x v="13"/>
    <x v="2"/>
    <s v="Operational Cost"/>
    <x v="14"/>
    <n v="5372"/>
    <s v=""/>
    <n v="5372"/>
  </r>
  <r>
    <s v="2025-09-22"/>
    <x v="8"/>
    <x v="13"/>
    <x v="2"/>
    <s v="Operational Cost"/>
    <x v="22"/>
    <n v="6299.14"/>
    <s v=""/>
    <n v="6299.14"/>
  </r>
  <r>
    <s v="2025-09-23"/>
    <x v="8"/>
    <x v="13"/>
    <x v="2"/>
    <s v="Operational Cost"/>
    <x v="21"/>
    <n v="2367"/>
    <s v=""/>
    <n v="2367"/>
  </r>
  <r>
    <s v="2025-09-24"/>
    <x v="8"/>
    <x v="16"/>
    <x v="6"/>
    <s v="Operational Cost"/>
    <x v="15"/>
    <n v="10600"/>
    <s v=""/>
    <n v="10600"/>
  </r>
  <r>
    <s v="2025-09-24"/>
    <x v="8"/>
    <x v="19"/>
    <x v="8"/>
    <s v="Sales General &amp; Administration "/>
    <x v="12"/>
    <n v="23.67"/>
    <s v=""/>
    <n v="23.67"/>
  </r>
  <r>
    <s v="2025-09-25"/>
    <x v="8"/>
    <x v="47"/>
    <x v="3"/>
    <s v="Sales General &amp; Administration "/>
    <x v="78"/>
    <n v="2408.5700000000002"/>
    <s v=""/>
    <n v="2408.5700000000002"/>
  </r>
  <r>
    <s v="2025-09-26"/>
    <x v="8"/>
    <x v="47"/>
    <x v="3"/>
    <s v="Sales General &amp; Administration "/>
    <x v="78"/>
    <n v="2237.14"/>
    <s v=""/>
    <n v="2237.14"/>
  </r>
  <r>
    <s v="2025-09-27"/>
    <x v="8"/>
    <x v="13"/>
    <x v="2"/>
    <s v="Operational Cost"/>
    <x v="21"/>
    <n v="1499"/>
    <s v=""/>
    <n v="1499"/>
  </r>
  <r>
    <s v="2025-09-29"/>
    <x v="8"/>
    <x v="13"/>
    <x v="2"/>
    <s v="Operational Cost"/>
    <x v="23"/>
    <n v="6153"/>
    <s v=""/>
    <n v="6153"/>
  </r>
  <r>
    <s v="2025-09-29"/>
    <x v="8"/>
    <x v="8"/>
    <x v="5"/>
    <s v="Indirect Income"/>
    <x v="7"/>
    <s v=""/>
    <n v="67593.37"/>
    <n v="-67593.37"/>
  </r>
  <r>
    <s v="2025-09-30"/>
    <x v="8"/>
    <x v="7"/>
    <x v="3"/>
    <s v="Sales General &amp; Administration "/>
    <x v="80"/>
    <n v="6271.19"/>
    <s v=""/>
    <n v="6271.19"/>
  </r>
  <r>
    <s v="2025-09-30"/>
    <x v="8"/>
    <x v="23"/>
    <x v="2"/>
    <s v="Operational Cost"/>
    <x v="25"/>
    <n v="1000"/>
    <s v=""/>
    <n v="1000"/>
  </r>
  <r>
    <s v="2025-09-30"/>
    <x v="8"/>
    <x v="26"/>
    <x v="3"/>
    <s v="Sales General &amp; Administration "/>
    <x v="92"/>
    <n v="14000"/>
    <s v=""/>
    <n v="14000"/>
  </r>
  <r>
    <s v="2025-09-30"/>
    <x v="8"/>
    <x v="26"/>
    <x v="3"/>
    <s v="Sales General &amp; Administration "/>
    <x v="28"/>
    <n v="32000"/>
    <s v=""/>
    <n v="32000"/>
  </r>
  <r>
    <s v="2025-09-30"/>
    <x v="8"/>
    <x v="24"/>
    <x v="9"/>
    <s v="Sales General &amp; Administration "/>
    <x v="26"/>
    <n v="160000"/>
    <s v=""/>
    <n v="160000"/>
  </r>
  <r>
    <s v="2025-09-30"/>
    <x v="8"/>
    <x v="24"/>
    <x v="9"/>
    <s v="Sales General &amp; Administration "/>
    <x v="26"/>
    <n v="160000"/>
    <s v=""/>
    <n v="160000"/>
  </r>
  <r>
    <s v="2025-09-30"/>
    <x v="8"/>
    <x v="24"/>
    <x v="9"/>
    <s v="Sales General &amp; Administration "/>
    <x v="26"/>
    <n v="268000"/>
    <s v=""/>
    <n v="268000"/>
  </r>
  <r>
    <s v="2025-09-30"/>
    <x v="8"/>
    <x v="31"/>
    <x v="3"/>
    <s v="Sales General &amp; Administration "/>
    <x v="33"/>
    <n v="12000"/>
    <s v=""/>
    <n v="12000"/>
  </r>
  <r>
    <s v="2025-09-30"/>
    <x v="8"/>
    <x v="32"/>
    <x v="3"/>
    <s v="Sales General &amp; Administration "/>
    <x v="34"/>
    <n v="12000"/>
    <s v=""/>
    <n v="12000"/>
  </r>
  <r>
    <s v="2025-09-30"/>
    <x v="8"/>
    <x v="24"/>
    <x v="9"/>
    <s v="Sales General &amp; Administration "/>
    <x v="26"/>
    <n v="60000"/>
    <s v=""/>
    <n v="60000"/>
  </r>
  <r>
    <s v="2025-09-30"/>
    <x v="8"/>
    <x v="24"/>
    <x v="9"/>
    <s v="Sales General &amp; Administration "/>
    <x v="26"/>
    <n v="247074"/>
    <s v=""/>
    <n v="247074"/>
  </r>
  <r>
    <s v="2025-09-30"/>
    <x v="8"/>
    <x v="31"/>
    <x v="3"/>
    <s v="Sales General &amp; Administration "/>
    <x v="33"/>
    <n v="6000"/>
    <s v=""/>
    <n v="6000"/>
  </r>
  <r>
    <s v="2025-09-30"/>
    <x v="8"/>
    <x v="32"/>
    <x v="3"/>
    <s v="Sales General &amp; Administration "/>
    <x v="34"/>
    <n v="6000"/>
    <s v=""/>
    <n v="6000"/>
  </r>
  <r>
    <s v="2025-09-30"/>
    <x v="8"/>
    <x v="25"/>
    <x v="7"/>
    <s v="Operational Cost"/>
    <x v="27"/>
    <n v="12000"/>
    <s v=""/>
    <n v="12000"/>
  </r>
  <r>
    <s v="2025-09-30"/>
    <x v="8"/>
    <x v="11"/>
    <x v="6"/>
    <s v="Operational Cost"/>
    <x v="45"/>
    <n v="7649"/>
    <s v=""/>
    <n v="7649"/>
  </r>
  <r>
    <s v="2025-09-30"/>
    <x v="8"/>
    <x v="13"/>
    <x v="2"/>
    <s v="Operational Cost"/>
    <x v="23"/>
    <n v="50000"/>
    <s v=""/>
    <n v="50000"/>
  </r>
  <r>
    <s v="2025-09-30"/>
    <x v="8"/>
    <x v="19"/>
    <x v="8"/>
    <s v="Sales General &amp; Administration "/>
    <x v="55"/>
    <n v="3210"/>
    <s v=""/>
    <n v="3210"/>
  </r>
  <r>
    <s v="2025-09-30"/>
    <x v="8"/>
    <x v="11"/>
    <x v="6"/>
    <s v="Operational Cost"/>
    <x v="58"/>
    <n v="1325"/>
    <s v=""/>
    <n v="1325"/>
  </r>
  <r>
    <s v="2025-09-30"/>
    <x v="8"/>
    <x v="11"/>
    <x v="6"/>
    <s v="Operational Cost"/>
    <x v="45"/>
    <n v="10465"/>
    <s v=""/>
    <n v="10465"/>
  </r>
  <r>
    <s v="2025-09-30"/>
    <x v="8"/>
    <x v="14"/>
    <x v="3"/>
    <s v="Sales General &amp; Administration "/>
    <x v="81"/>
    <n v="1784"/>
    <s v=""/>
    <n v="1784"/>
  </r>
  <r>
    <s v="2025-09-30"/>
    <x v="8"/>
    <x v="10"/>
    <x v="3"/>
    <s v="Operational Cost"/>
    <x v="43"/>
    <n v="6731"/>
    <s v=""/>
    <n v="6731"/>
  </r>
  <r>
    <s v="2025-09-30"/>
    <x v="8"/>
    <x v="11"/>
    <x v="6"/>
    <s v="Operational Cost"/>
    <x v="45"/>
    <n v="8954"/>
    <s v=""/>
    <n v="8954"/>
  </r>
  <r>
    <s v="2025-09-30"/>
    <x v="8"/>
    <x v="47"/>
    <x v="3"/>
    <s v="Sales General &amp; Administration "/>
    <x v="87"/>
    <n v="14275"/>
    <s v=""/>
    <n v="14275"/>
  </r>
  <r>
    <s v="2025-09-30"/>
    <x v="8"/>
    <x v="14"/>
    <x v="3"/>
    <s v="Sales General &amp; Administration "/>
    <x v="81"/>
    <n v="2898"/>
    <s v=""/>
    <n v="2898"/>
  </r>
  <r>
    <s v="2025-09-30"/>
    <x v="8"/>
    <x v="14"/>
    <x v="3"/>
    <s v="Sales General &amp; Administration "/>
    <x v="81"/>
    <n v="13080"/>
    <s v=""/>
    <n v="13080"/>
  </r>
  <r>
    <s v="2025-09-30"/>
    <x v="8"/>
    <x v="11"/>
    <x v="6"/>
    <s v="Operational Cost"/>
    <x v="45"/>
    <n v="12263"/>
    <s v=""/>
    <n v="12263"/>
  </r>
  <r>
    <s v="2025-09-30"/>
    <x v="8"/>
    <x v="21"/>
    <x v="0"/>
    <s v="Operational Cost"/>
    <x v="20"/>
    <n v="152855.09"/>
    <s v=""/>
    <n v="152855.09"/>
  </r>
  <r>
    <s v="2025-09-30"/>
    <x v="8"/>
    <x v="7"/>
    <x v="3"/>
    <s v="Sales General &amp; Administration "/>
    <x v="42"/>
    <n v="3200"/>
    <s v=""/>
    <n v="3200"/>
  </r>
  <r>
    <s v="2025-09-30"/>
    <x v="8"/>
    <x v="11"/>
    <x v="6"/>
    <s v="Operational Cost"/>
    <x v="45"/>
    <n v="35400"/>
    <s v=""/>
    <n v="35400"/>
  </r>
  <r>
    <s v="2025-09-30"/>
    <x v="8"/>
    <x v="11"/>
    <x v="6"/>
    <s v="Operational Cost"/>
    <x v="9"/>
    <n v="1000"/>
    <s v=""/>
    <n v="1000"/>
  </r>
  <r>
    <s v="2025-09-30"/>
    <x v="8"/>
    <x v="27"/>
    <x v="3"/>
    <s v="Sales General &amp; Administration "/>
    <x v="29"/>
    <n v="34272"/>
    <s v=""/>
    <n v="34272"/>
  </r>
  <r>
    <s v="2025-09-30"/>
    <x v="8"/>
    <x v="28"/>
    <x v="3"/>
    <s v="Sales General &amp; Administration "/>
    <x v="30"/>
    <n v="277256"/>
    <s v=""/>
    <n v="277256"/>
  </r>
  <r>
    <s v="2025-09-30"/>
    <x v="8"/>
    <x v="29"/>
    <x v="7"/>
    <s v="Operational Cost"/>
    <x v="31"/>
    <n v="5991910"/>
    <s v=""/>
    <n v="5991910"/>
  </r>
  <r>
    <s v="2025-09-30"/>
    <x v="8"/>
    <x v="30"/>
    <x v="7"/>
    <s v="Operational Cost"/>
    <x v="32"/>
    <n v="2796629"/>
    <s v=""/>
    <n v="2796629"/>
  </r>
  <r>
    <s v="2025-09-30"/>
    <x v="8"/>
    <x v="31"/>
    <x v="3"/>
    <s v="Sales General &amp; Administration "/>
    <x v="33"/>
    <n v="400465"/>
    <s v=""/>
    <n v="400465"/>
  </r>
  <r>
    <s v="2025-09-30"/>
    <x v="8"/>
    <x v="32"/>
    <x v="3"/>
    <s v="Sales General &amp; Administration "/>
    <x v="34"/>
    <n v="400465"/>
    <s v=""/>
    <n v="400465"/>
  </r>
  <r>
    <s v="2025-09-30"/>
    <x v="8"/>
    <x v="33"/>
    <x v="3"/>
    <s v="Sales General &amp; Administration "/>
    <x v="35"/>
    <n v="19188"/>
    <s v=""/>
    <n v="19188"/>
  </r>
  <r>
    <s v="2025-09-30"/>
    <x v="8"/>
    <x v="34"/>
    <x v="3"/>
    <s v="Sales General &amp; Administration "/>
    <x v="36"/>
    <n v="4446"/>
    <s v=""/>
    <n v="4446"/>
  </r>
  <r>
    <s v="2025-09-30"/>
    <x v="8"/>
    <x v="35"/>
    <x v="10"/>
    <s v="Sales General &amp; Administration "/>
    <x v="37"/>
    <n v="112295"/>
    <s v=""/>
    <n v="112295"/>
  </r>
  <r>
    <s v="2025-09-30"/>
    <x v="8"/>
    <x v="36"/>
    <x v="9"/>
    <s v="Sales General &amp; Administration "/>
    <x v="38"/>
    <n v="49705"/>
    <s v=""/>
    <n v="49705"/>
  </r>
  <r>
    <s v="2025-09-30"/>
    <x v="8"/>
    <x v="37"/>
    <x v="9"/>
    <s v="Sales General &amp; Administration "/>
    <x v="39"/>
    <n v="92772"/>
    <s v=""/>
    <n v="92772"/>
  </r>
  <r>
    <s v="2025-09-30"/>
    <x v="8"/>
    <x v="38"/>
    <x v="9"/>
    <s v="Sales General &amp; Administration "/>
    <x v="40"/>
    <n v="66558"/>
    <s v=""/>
    <n v="66558"/>
  </r>
  <r>
    <s v="2025-09-30"/>
    <x v="8"/>
    <x v="39"/>
    <x v="3"/>
    <s v="Sales General &amp; Administration "/>
    <x v="41"/>
    <n v="101380"/>
    <s v=""/>
    <n v="101380"/>
  </r>
  <r>
    <s v="2025-10-01"/>
    <x v="9"/>
    <x v="1"/>
    <x v="0"/>
    <s v="Operational Cost"/>
    <x v="0"/>
    <n v="68360"/>
    <s v=""/>
    <n v="68360"/>
  </r>
  <r>
    <s v="2025-10-01"/>
    <x v="9"/>
    <x v="0"/>
    <x v="0"/>
    <s v="Operational Cost"/>
    <x v="0"/>
    <n v="395769"/>
    <s v=""/>
    <n v="395769"/>
  </r>
  <r>
    <s v="2025-10-01"/>
    <x v="9"/>
    <x v="52"/>
    <x v="0"/>
    <s v="Operational Cost"/>
    <x v="82"/>
    <n v="400000"/>
    <s v=""/>
    <n v="400000"/>
  </r>
  <r>
    <s v="2025-10-01"/>
    <x v="9"/>
    <x v="7"/>
    <x v="3"/>
    <s v="Sales General &amp; Administration "/>
    <x v="6"/>
    <n v="5871.5"/>
    <s v=""/>
    <n v="5871.5"/>
  </r>
  <r>
    <s v="2025-10-01"/>
    <x v="9"/>
    <x v="7"/>
    <x v="3"/>
    <s v="Sales General &amp; Administration "/>
    <x v="6"/>
    <n v="15963.5"/>
    <s v=""/>
    <n v="15963.5"/>
  </r>
  <r>
    <s v="2025-10-01"/>
    <x v="9"/>
    <x v="11"/>
    <x v="6"/>
    <s v="Operational Cost"/>
    <x v="9"/>
    <n v="843"/>
    <s v=""/>
    <n v="843"/>
  </r>
  <r>
    <s v="2025-10-01"/>
    <x v="9"/>
    <x v="46"/>
    <x v="8"/>
    <s v="Sales General &amp; Administration "/>
    <x v="55"/>
    <n v="31039"/>
    <s v=""/>
    <n v="31039"/>
  </r>
  <r>
    <s v="2025-10-01"/>
    <x v="9"/>
    <x v="3"/>
    <x v="1"/>
    <s v="Sales General &amp; Administration "/>
    <x v="2"/>
    <n v="125000"/>
    <s v=""/>
    <n v="125000"/>
  </r>
  <r>
    <s v="2025-10-01"/>
    <x v="9"/>
    <x v="13"/>
    <x v="2"/>
    <s v="Operational Cost"/>
    <x v="14"/>
    <n v="533"/>
    <s v=""/>
    <n v="533"/>
  </r>
  <r>
    <s v="2025-10-01"/>
    <x v="9"/>
    <x v="13"/>
    <x v="2"/>
    <s v="Operational Cost"/>
    <x v="14"/>
    <n v="2817"/>
    <s v=""/>
    <n v="2817"/>
  </r>
  <r>
    <s v="2025-10-01"/>
    <x v="9"/>
    <x v="47"/>
    <x v="3"/>
    <s v="Sales General &amp; Administration "/>
    <x v="78"/>
    <n v="13422.86"/>
    <s v=""/>
    <n v="13422.86"/>
  </r>
  <r>
    <s v="2025-10-01"/>
    <x v="9"/>
    <x v="6"/>
    <x v="4"/>
    <s v="Operational Cost"/>
    <x v="5"/>
    <n v="302876"/>
    <s v=""/>
    <n v="302876"/>
  </r>
  <r>
    <s v="2025-10-03"/>
    <x v="9"/>
    <x v="4"/>
    <x v="2"/>
    <s v="Operational Cost"/>
    <x v="3"/>
    <n v="15900"/>
    <s v=""/>
    <n v="15900"/>
  </r>
  <r>
    <s v="2025-10-03"/>
    <x v="9"/>
    <x v="8"/>
    <x v="5"/>
    <s v="Indirect Income"/>
    <x v="7"/>
    <s v=""/>
    <n v="183326.14"/>
    <n v="-183326.14"/>
  </r>
  <r>
    <s v="2025-10-03"/>
    <x v="9"/>
    <x v="8"/>
    <x v="5"/>
    <s v="Indirect Income"/>
    <x v="7"/>
    <s v=""/>
    <n v="94476.01"/>
    <n v="-94476.01"/>
  </r>
  <r>
    <s v="2025-10-03"/>
    <x v="9"/>
    <x v="9"/>
    <x v="2"/>
    <s v="Operational Cost"/>
    <x v="8"/>
    <n v="9167"/>
    <s v=""/>
    <n v="9167"/>
  </r>
  <r>
    <s v="2025-10-03"/>
    <x v="9"/>
    <x v="9"/>
    <x v="2"/>
    <s v="Operational Cost"/>
    <x v="8"/>
    <n v="10417"/>
    <s v=""/>
    <n v="10417"/>
  </r>
  <r>
    <s v="2025-10-03"/>
    <x v="9"/>
    <x v="9"/>
    <x v="2"/>
    <s v="Operational Cost"/>
    <x v="8"/>
    <n v="23333"/>
    <s v=""/>
    <n v="23333"/>
  </r>
  <r>
    <s v="2025-10-03"/>
    <x v="9"/>
    <x v="9"/>
    <x v="2"/>
    <s v="Operational Cost"/>
    <x v="8"/>
    <n v="9167"/>
    <s v=""/>
    <n v="9167"/>
  </r>
  <r>
    <s v="2025-10-04"/>
    <x v="9"/>
    <x v="7"/>
    <x v="3"/>
    <s v="Sales General &amp; Administration "/>
    <x v="94"/>
    <n v="40400"/>
    <s v=""/>
    <n v="40400"/>
  </r>
  <r>
    <s v="2025-10-06"/>
    <x v="9"/>
    <x v="13"/>
    <x v="2"/>
    <s v="Operational Cost"/>
    <x v="14"/>
    <n v="2479"/>
    <s v=""/>
    <n v="2479"/>
  </r>
  <r>
    <s v="2025-10-07"/>
    <x v="9"/>
    <x v="23"/>
    <x v="2"/>
    <s v="Operational Cost"/>
    <x v="89"/>
    <n v="15000"/>
    <s v=""/>
    <n v="15000"/>
  </r>
  <r>
    <s v="2025-10-07"/>
    <x v="9"/>
    <x v="8"/>
    <x v="5"/>
    <s v="Indirect Income"/>
    <x v="7"/>
    <s v=""/>
    <n v="68920.960000000006"/>
    <n v="-68920.960000000006"/>
  </r>
  <r>
    <s v="2025-10-07"/>
    <x v="9"/>
    <x v="13"/>
    <x v="2"/>
    <s v="Operational Cost"/>
    <x v="14"/>
    <n v="572"/>
    <s v=""/>
    <n v="572"/>
  </r>
  <r>
    <s v="2025-10-07"/>
    <x v="9"/>
    <x v="16"/>
    <x v="6"/>
    <s v="Operational Cost"/>
    <x v="15"/>
    <n v="59099"/>
    <s v=""/>
    <n v="59099"/>
  </r>
  <r>
    <s v="2025-10-09"/>
    <x v="9"/>
    <x v="15"/>
    <x v="2"/>
    <s v="Operational Cost"/>
    <x v="19"/>
    <n v="1298"/>
    <s v=""/>
    <n v="1298"/>
  </r>
  <r>
    <s v="2025-10-09"/>
    <x v="9"/>
    <x v="18"/>
    <x v="0"/>
    <s v="Operational Cost"/>
    <x v="17"/>
    <n v="26250"/>
    <s v=""/>
    <n v="26250"/>
  </r>
  <r>
    <s v="2025-10-09"/>
    <x v="9"/>
    <x v="23"/>
    <x v="2"/>
    <s v="Operational Cost"/>
    <x v="9"/>
    <n v="20997"/>
    <s v=""/>
    <n v="20997"/>
  </r>
  <r>
    <s v="2025-10-09"/>
    <x v="9"/>
    <x v="23"/>
    <x v="2"/>
    <s v="Operational Cost"/>
    <x v="95"/>
    <n v="11400"/>
    <s v=""/>
    <n v="11400"/>
  </r>
  <r>
    <s v="2025-10-10"/>
    <x v="9"/>
    <x v="17"/>
    <x v="0"/>
    <s v="Operational Cost"/>
    <x v="16"/>
    <n v="59994"/>
    <s v=""/>
    <n v="59994"/>
  </r>
  <r>
    <s v="2025-10-10"/>
    <x v="9"/>
    <x v="19"/>
    <x v="8"/>
    <s v="Sales General &amp; Administration "/>
    <x v="12"/>
    <n v="114"/>
    <s v=""/>
    <n v="114"/>
  </r>
  <r>
    <s v="2025-10-10"/>
    <x v="9"/>
    <x v="13"/>
    <x v="2"/>
    <s v="Operational Cost"/>
    <x v="14"/>
    <n v="2455"/>
    <s v=""/>
    <n v="2455"/>
  </r>
  <r>
    <s v="2025-10-10"/>
    <x v="9"/>
    <x v="13"/>
    <x v="2"/>
    <s v="Operational Cost"/>
    <x v="14"/>
    <n v="514"/>
    <s v=""/>
    <n v="514"/>
  </r>
  <r>
    <s v="2025-10-13"/>
    <x v="9"/>
    <x v="10"/>
    <x v="3"/>
    <s v="Operational Cost"/>
    <x v="12"/>
    <n v="3611.54"/>
    <s v=""/>
    <n v="3611.54"/>
  </r>
  <r>
    <s v="2025-10-13"/>
    <x v="9"/>
    <x v="10"/>
    <x v="3"/>
    <s v="Operational Cost"/>
    <x v="12"/>
    <s v=""/>
    <n v="35.76"/>
    <n v="-35.76"/>
  </r>
  <r>
    <s v="2025-10-13"/>
    <x v="9"/>
    <x v="11"/>
    <x v="6"/>
    <s v="Operational Cost"/>
    <x v="9"/>
    <n v="1500"/>
    <s v=""/>
    <n v="1500"/>
  </r>
  <r>
    <s v="2025-10-14"/>
    <x v="9"/>
    <x v="14"/>
    <x v="3"/>
    <s v="Sales General &amp; Administration "/>
    <x v="96"/>
    <n v="6249"/>
    <s v=""/>
    <n v="6249"/>
  </r>
  <r>
    <s v="2025-10-15"/>
    <x v="9"/>
    <x v="17"/>
    <x v="0"/>
    <s v="Operational Cost"/>
    <x v="16"/>
    <n v="218078"/>
    <s v=""/>
    <n v="218078"/>
  </r>
  <r>
    <s v="2025-10-15"/>
    <x v="9"/>
    <x v="7"/>
    <x v="3"/>
    <s v="Sales General &amp; Administration "/>
    <x v="97"/>
    <n v="2653"/>
    <s v=""/>
    <n v="2653"/>
  </r>
  <r>
    <s v="2025-10-15"/>
    <x v="9"/>
    <x v="13"/>
    <x v="2"/>
    <s v="Operational Cost"/>
    <x v="21"/>
    <n v="2793.06"/>
    <s v=""/>
    <n v="2793.06"/>
  </r>
  <r>
    <s v="2025-10-15"/>
    <x v="9"/>
    <x v="13"/>
    <x v="2"/>
    <s v="Operational Cost"/>
    <x v="14"/>
    <n v="3535"/>
    <s v=""/>
    <n v="3535"/>
  </r>
  <r>
    <s v="2025-10-15"/>
    <x v="9"/>
    <x v="13"/>
    <x v="2"/>
    <s v="Operational Cost"/>
    <x v="14"/>
    <n v="8913"/>
    <s v=""/>
    <n v="8913"/>
  </r>
  <r>
    <s v="2025-10-16"/>
    <x v="9"/>
    <x v="11"/>
    <x v="6"/>
    <s v="Operational Cost"/>
    <x v="93"/>
    <n v="800"/>
    <s v=""/>
    <n v="800"/>
  </r>
  <r>
    <s v="2025-10-16"/>
    <x v="9"/>
    <x v="10"/>
    <x v="3"/>
    <s v="Operational Cost"/>
    <x v="12"/>
    <n v="1120"/>
    <s v=""/>
    <n v="1120"/>
  </r>
  <r>
    <s v="2025-10-16"/>
    <x v="9"/>
    <x v="10"/>
    <x v="3"/>
    <s v="Operational Cost"/>
    <x v="12"/>
    <s v=""/>
    <n v="11.09"/>
    <n v="-11.09"/>
  </r>
  <r>
    <s v="2025-10-16"/>
    <x v="9"/>
    <x v="13"/>
    <x v="2"/>
    <s v="Operational Cost"/>
    <x v="21"/>
    <n v="3382"/>
    <s v=""/>
    <n v="3382"/>
  </r>
  <r>
    <s v="2025-10-16"/>
    <x v="9"/>
    <x v="15"/>
    <x v="2"/>
    <s v="Operational Cost"/>
    <x v="19"/>
    <n v="923.82"/>
    <s v=""/>
    <n v="923.82"/>
  </r>
  <r>
    <s v="2025-10-16"/>
    <x v="9"/>
    <x v="11"/>
    <x v="6"/>
    <s v="Operational Cost"/>
    <x v="9"/>
    <n v="206250"/>
    <s v=""/>
    <n v="206250"/>
  </r>
  <r>
    <s v="2025-10-16"/>
    <x v="9"/>
    <x v="7"/>
    <x v="3"/>
    <s v="Sales General &amp; Administration "/>
    <x v="9"/>
    <n v="3400"/>
    <s v=""/>
    <n v="3400"/>
  </r>
  <r>
    <s v="2025-10-17"/>
    <x v="9"/>
    <x v="19"/>
    <x v="8"/>
    <s v="Sales General &amp; Administration "/>
    <x v="12"/>
    <n v="33.82"/>
    <s v=""/>
    <n v="33.82"/>
  </r>
  <r>
    <s v="2025-10-17"/>
    <x v="9"/>
    <x v="13"/>
    <x v="2"/>
    <s v="Operational Cost"/>
    <x v="14"/>
    <n v="8870"/>
    <s v=""/>
    <n v="8870"/>
  </r>
  <r>
    <s v="2025-10-17"/>
    <x v="9"/>
    <x v="13"/>
    <x v="2"/>
    <s v="Operational Cost"/>
    <x v="14"/>
    <n v="547"/>
    <s v=""/>
    <n v="547"/>
  </r>
  <r>
    <s v="2025-10-17"/>
    <x v="9"/>
    <x v="11"/>
    <x v="6"/>
    <s v="Operational Cost"/>
    <x v="45"/>
    <n v="40750"/>
    <s v=""/>
    <n v="40750"/>
  </r>
  <r>
    <s v="2025-10-18"/>
    <x v="9"/>
    <x v="13"/>
    <x v="2"/>
    <s v="Operational Cost"/>
    <x v="14"/>
    <n v="1499"/>
    <s v=""/>
    <n v="1499"/>
  </r>
  <r>
    <s v="2025-10-20"/>
    <x v="9"/>
    <x v="16"/>
    <x v="6"/>
    <s v="Operational Cost"/>
    <x v="15"/>
    <n v="4833"/>
    <s v=""/>
    <n v="4833"/>
  </r>
  <r>
    <s v="2025-10-21"/>
    <x v="9"/>
    <x v="10"/>
    <x v="3"/>
    <s v="Operational Cost"/>
    <x v="12"/>
    <n v="4674.5200000000004"/>
    <s v=""/>
    <n v="4674.5200000000004"/>
  </r>
  <r>
    <s v="2025-10-21"/>
    <x v="9"/>
    <x v="10"/>
    <x v="3"/>
    <s v="Operational Cost"/>
    <x v="12"/>
    <s v=""/>
    <n v="46.28"/>
    <n v="-46.28"/>
  </r>
  <r>
    <s v="2025-10-21"/>
    <x v="9"/>
    <x v="14"/>
    <x v="3"/>
    <s v="Sales General &amp; Administration "/>
    <x v="98"/>
    <n v="150"/>
    <s v=""/>
    <n v="150"/>
  </r>
  <r>
    <s v="2025-10-21"/>
    <x v="9"/>
    <x v="11"/>
    <x v="6"/>
    <s v="Operational Cost"/>
    <x v="98"/>
    <n v="160"/>
    <s v=""/>
    <n v="160"/>
  </r>
  <r>
    <s v="2025-10-22"/>
    <x v="9"/>
    <x v="13"/>
    <x v="2"/>
    <s v="Operational Cost"/>
    <x v="22"/>
    <n v="6299.14"/>
    <s v=""/>
    <n v="6299.14"/>
  </r>
  <r>
    <s v="2025-10-22"/>
    <x v="9"/>
    <x v="13"/>
    <x v="2"/>
    <s v="Operational Cost"/>
    <x v="14"/>
    <n v="5372"/>
    <s v=""/>
    <n v="5372"/>
  </r>
  <r>
    <s v="2025-10-22"/>
    <x v="9"/>
    <x v="14"/>
    <x v="3"/>
    <s v="Sales General &amp; Administration "/>
    <x v="98"/>
    <n v="126"/>
    <s v=""/>
    <n v="126"/>
  </r>
  <r>
    <s v="2025-10-22"/>
    <x v="9"/>
    <x v="14"/>
    <x v="3"/>
    <s v="Sales General &amp; Administration "/>
    <x v="98"/>
    <n v="140"/>
    <s v=""/>
    <n v="140"/>
  </r>
  <r>
    <s v="2025-10-22"/>
    <x v="9"/>
    <x v="10"/>
    <x v="3"/>
    <s v="Operational Cost"/>
    <x v="51"/>
    <n v="2424.5700000000002"/>
    <s v=""/>
    <n v="2424.5700000000002"/>
  </r>
  <r>
    <s v="2025-10-22"/>
    <x v="9"/>
    <x v="10"/>
    <x v="3"/>
    <s v="Operational Cost"/>
    <x v="51"/>
    <n v="2293.04"/>
    <s v=""/>
    <n v="2293.04"/>
  </r>
  <r>
    <s v="2025-10-23"/>
    <x v="9"/>
    <x v="13"/>
    <x v="2"/>
    <s v="Operational Cost"/>
    <x v="21"/>
    <n v="2367"/>
    <s v=""/>
    <n v="2367"/>
  </r>
  <r>
    <s v="2025-10-23"/>
    <x v="9"/>
    <x v="54"/>
    <x v="3"/>
    <s v="Sales General &amp; Administration "/>
    <x v="55"/>
    <n v="5000"/>
    <s v=""/>
    <n v="5000"/>
  </r>
  <r>
    <s v="2025-10-23"/>
    <x v="9"/>
    <x v="14"/>
    <x v="3"/>
    <s v="Sales General &amp; Administration "/>
    <x v="98"/>
    <n v="60"/>
    <s v=""/>
    <n v="60"/>
  </r>
  <r>
    <s v="2025-10-23"/>
    <x v="9"/>
    <x v="14"/>
    <x v="3"/>
    <s v="Sales General &amp; Administration "/>
    <x v="98"/>
    <n v="1380"/>
    <s v=""/>
    <n v="1380"/>
  </r>
  <r>
    <s v="2025-10-23"/>
    <x v="9"/>
    <x v="14"/>
    <x v="3"/>
    <s v="Sales General &amp; Administration "/>
    <x v="98"/>
    <n v="95"/>
    <s v=""/>
    <n v="95"/>
  </r>
  <r>
    <s v="2025-10-23"/>
    <x v="9"/>
    <x v="10"/>
    <x v="3"/>
    <s v="Operational Cost"/>
    <x v="98"/>
    <n v="1369.41"/>
    <s v=""/>
    <n v="1369.41"/>
  </r>
  <r>
    <s v="2025-10-24"/>
    <x v="9"/>
    <x v="19"/>
    <x v="8"/>
    <s v="Sales General &amp; Administration "/>
    <x v="12"/>
    <n v="23.67"/>
    <s v=""/>
    <n v="23.67"/>
  </r>
  <r>
    <s v="2025-10-24"/>
    <x v="9"/>
    <x v="14"/>
    <x v="3"/>
    <s v="Sales General &amp; Administration "/>
    <x v="98"/>
    <n v="96"/>
    <s v=""/>
    <n v="96"/>
  </r>
  <r>
    <s v="2025-10-24"/>
    <x v="9"/>
    <x v="14"/>
    <x v="3"/>
    <s v="Sales General &amp; Administration "/>
    <x v="98"/>
    <n v="96"/>
    <s v=""/>
    <n v="96"/>
  </r>
  <r>
    <s v="2025-10-24"/>
    <x v="9"/>
    <x v="10"/>
    <x v="3"/>
    <s v="Operational Cost"/>
    <x v="98"/>
    <n v="778.56"/>
    <s v=""/>
    <n v="778.56"/>
  </r>
  <r>
    <s v="2025-10-24"/>
    <x v="9"/>
    <x v="7"/>
    <x v="3"/>
    <s v="Sales General &amp; Administration "/>
    <x v="99"/>
    <n v="3602.3"/>
    <s v=""/>
    <n v="3602.3"/>
  </r>
  <r>
    <s v="2025-10-25"/>
    <x v="9"/>
    <x v="23"/>
    <x v="2"/>
    <s v="Operational Cost"/>
    <x v="95"/>
    <n v="11387.23"/>
    <s v=""/>
    <n v="11387.23"/>
  </r>
  <r>
    <s v="2025-10-27"/>
    <x v="9"/>
    <x v="19"/>
    <x v="8"/>
    <s v="Sales General &amp; Administration "/>
    <x v="12"/>
    <n v="113.87"/>
    <s v=""/>
    <n v="113.87"/>
  </r>
  <r>
    <s v="2025-10-27"/>
    <x v="9"/>
    <x v="14"/>
    <x v="3"/>
    <s v="Sales General &amp; Administration "/>
    <x v="98"/>
    <n v="144"/>
    <s v=""/>
    <n v="144"/>
  </r>
  <r>
    <s v="2025-10-27"/>
    <x v="9"/>
    <x v="13"/>
    <x v="2"/>
    <s v="Operational Cost"/>
    <x v="21"/>
    <n v="1499"/>
    <s v=""/>
    <n v="1499"/>
  </r>
  <r>
    <s v="2025-10-28"/>
    <x v="9"/>
    <x v="11"/>
    <x v="6"/>
    <s v="Operational Cost"/>
    <x v="12"/>
    <n v="150"/>
    <s v=""/>
    <n v="150"/>
  </r>
  <r>
    <s v="2025-10-28"/>
    <x v="9"/>
    <x v="11"/>
    <x v="6"/>
    <s v="Operational Cost"/>
    <x v="12"/>
    <n v="455"/>
    <s v=""/>
    <n v="455"/>
  </r>
  <r>
    <s v="2025-10-28"/>
    <x v="9"/>
    <x v="11"/>
    <x v="6"/>
    <s v="Operational Cost"/>
    <x v="12"/>
    <n v="397.91"/>
    <s v=""/>
    <n v="397.91"/>
  </r>
  <r>
    <s v="2025-10-28"/>
    <x v="9"/>
    <x v="11"/>
    <x v="6"/>
    <s v="Operational Cost"/>
    <x v="12"/>
    <n v="500"/>
    <s v=""/>
    <n v="500"/>
  </r>
  <r>
    <s v="2025-10-28"/>
    <x v="9"/>
    <x v="11"/>
    <x v="6"/>
    <s v="Operational Cost"/>
    <x v="12"/>
    <n v="396.2"/>
    <s v=""/>
    <n v="396.2"/>
  </r>
  <r>
    <s v="2025-10-28"/>
    <x v="9"/>
    <x v="14"/>
    <x v="3"/>
    <s v="Sales General &amp; Administration "/>
    <x v="98"/>
    <n v="126"/>
    <s v=""/>
    <n v="126"/>
  </r>
  <r>
    <s v="2025-10-28"/>
    <x v="9"/>
    <x v="14"/>
    <x v="3"/>
    <s v="Sales General &amp; Administration "/>
    <x v="98"/>
    <n v="100"/>
    <s v=""/>
    <n v="100"/>
  </r>
  <r>
    <s v="2025-10-28"/>
    <x v="9"/>
    <x v="7"/>
    <x v="3"/>
    <s v="Sales General &amp; Administration "/>
    <x v="100"/>
    <n v="1186.44"/>
    <s v=""/>
    <n v="1186.44"/>
  </r>
  <r>
    <s v="2025-10-29"/>
    <x v="9"/>
    <x v="14"/>
    <x v="3"/>
    <s v="Sales General &amp; Administration "/>
    <x v="98"/>
    <n v="100"/>
    <s v=""/>
    <n v="100"/>
  </r>
  <r>
    <s v="2025-10-29"/>
    <x v="9"/>
    <x v="8"/>
    <x v="5"/>
    <s v="Indirect Income"/>
    <x v="7"/>
    <s v=""/>
    <n v="117347.5"/>
    <n v="-117347.5"/>
  </r>
  <r>
    <s v="2025-10-29"/>
    <x v="9"/>
    <x v="11"/>
    <x v="6"/>
    <s v="Operational Cost"/>
    <x v="10"/>
    <n v="1143"/>
    <s v=""/>
    <n v="1143"/>
  </r>
  <r>
    <s v="2025-10-30"/>
    <x v="9"/>
    <x v="7"/>
    <x v="3"/>
    <s v="Sales General &amp; Administration "/>
    <x v="93"/>
    <n v="100"/>
    <s v=""/>
    <n v="100"/>
  </r>
  <r>
    <s v="2025-10-30"/>
    <x v="9"/>
    <x v="23"/>
    <x v="2"/>
    <s v="Operational Cost"/>
    <x v="25"/>
    <n v="1000"/>
    <s v=""/>
    <n v="1000"/>
  </r>
  <r>
    <s v="2025-10-30"/>
    <x v="9"/>
    <x v="14"/>
    <x v="3"/>
    <s v="Sales General &amp; Administration "/>
    <x v="98"/>
    <n v="156"/>
    <s v=""/>
    <n v="156"/>
  </r>
  <r>
    <s v="2025-10-30"/>
    <x v="9"/>
    <x v="14"/>
    <x v="3"/>
    <s v="Sales General &amp; Administration "/>
    <x v="98"/>
    <n v="96"/>
    <s v=""/>
    <n v="96"/>
  </r>
  <r>
    <s v="2025-10-30"/>
    <x v="9"/>
    <x v="10"/>
    <x v="3"/>
    <s v="Operational Cost"/>
    <x v="98"/>
    <n v="1015.91"/>
    <s v=""/>
    <n v="1015.91"/>
  </r>
  <r>
    <s v="2025-10-30"/>
    <x v="9"/>
    <x v="8"/>
    <x v="5"/>
    <s v="Indirect Income"/>
    <x v="7"/>
    <s v=""/>
    <n v="131717.74"/>
    <n v="-131717.74"/>
  </r>
  <r>
    <s v="2025-10-31"/>
    <x v="9"/>
    <x v="26"/>
    <x v="3"/>
    <s v="Sales General &amp; Administration "/>
    <x v="92"/>
    <n v="14464"/>
    <s v=""/>
    <n v="14464"/>
  </r>
  <r>
    <s v="2025-10-31"/>
    <x v="9"/>
    <x v="26"/>
    <x v="3"/>
    <s v="Sales General &amp; Administration "/>
    <x v="28"/>
    <n v="32000"/>
    <s v=""/>
    <n v="32000"/>
  </r>
  <r>
    <s v="2025-10-31"/>
    <x v="9"/>
    <x v="21"/>
    <x v="0"/>
    <s v="Operational Cost"/>
    <x v="20"/>
    <n v="159250.09"/>
    <s v=""/>
    <n v="159250.09"/>
  </r>
  <r>
    <s v="2025-10-31"/>
    <x v="9"/>
    <x v="24"/>
    <x v="9"/>
    <s v="Sales General &amp; Administration "/>
    <x v="26"/>
    <n v="160000"/>
    <s v=""/>
    <n v="160000"/>
  </r>
  <r>
    <s v="2025-10-31"/>
    <x v="9"/>
    <x v="24"/>
    <x v="9"/>
    <s v="Sales General &amp; Administration "/>
    <x v="26"/>
    <n v="160000"/>
    <s v=""/>
    <n v="160000"/>
  </r>
  <r>
    <s v="2025-10-31"/>
    <x v="9"/>
    <x v="24"/>
    <x v="9"/>
    <s v="Sales General &amp; Administration "/>
    <x v="26"/>
    <n v="268000"/>
    <s v=""/>
    <n v="268000"/>
  </r>
  <r>
    <s v="2025-10-31"/>
    <x v="9"/>
    <x v="31"/>
    <x v="3"/>
    <s v="Sales General &amp; Administration "/>
    <x v="33"/>
    <n v="12000"/>
    <s v=""/>
    <n v="12000"/>
  </r>
  <r>
    <s v="2025-10-31"/>
    <x v="9"/>
    <x v="32"/>
    <x v="3"/>
    <s v="Sales General &amp; Administration "/>
    <x v="34"/>
    <n v="12000"/>
    <s v=""/>
    <n v="12000"/>
  </r>
  <r>
    <s v="2025-10-31"/>
    <x v="9"/>
    <x v="24"/>
    <x v="9"/>
    <s v="Sales General &amp; Administration "/>
    <x v="26"/>
    <n v="60000"/>
    <s v=""/>
    <n v="60000"/>
  </r>
  <r>
    <s v="2025-10-31"/>
    <x v="9"/>
    <x v="24"/>
    <x v="9"/>
    <s v="Sales General &amp; Administration "/>
    <x v="26"/>
    <n v="247074"/>
    <s v=""/>
    <n v="247074"/>
  </r>
  <r>
    <s v="2025-10-31"/>
    <x v="9"/>
    <x v="31"/>
    <x v="3"/>
    <s v="Sales General &amp; Administration "/>
    <x v="33"/>
    <n v="6000"/>
    <s v=""/>
    <n v="6000"/>
  </r>
  <r>
    <s v="2025-10-31"/>
    <x v="9"/>
    <x v="32"/>
    <x v="3"/>
    <s v="Sales General &amp; Administration "/>
    <x v="34"/>
    <n v="6000"/>
    <s v=""/>
    <n v="6000"/>
  </r>
  <r>
    <s v="2025-10-31"/>
    <x v="9"/>
    <x v="25"/>
    <x v="7"/>
    <s v="Operational Cost"/>
    <x v="27"/>
    <n v="12000"/>
    <s v=""/>
    <n v="12000"/>
  </r>
  <r>
    <s v="2025-10-31"/>
    <x v="9"/>
    <x v="14"/>
    <x v="3"/>
    <s v="Sales General &amp; Administration "/>
    <x v="98"/>
    <n v="111"/>
    <s v=""/>
    <n v="111"/>
  </r>
  <r>
    <s v="2025-10-31"/>
    <x v="9"/>
    <x v="7"/>
    <x v="3"/>
    <s v="Sales General &amp; Administration "/>
    <x v="42"/>
    <n v="12000"/>
    <s v=""/>
    <n v="12000"/>
  </r>
  <r>
    <s v="2025-10-31"/>
    <x v="9"/>
    <x v="11"/>
    <x v="6"/>
    <s v="Operational Cost"/>
    <x v="45"/>
    <n v="33000"/>
    <s v=""/>
    <n v="33000"/>
  </r>
  <r>
    <s v="2025-10-31"/>
    <x v="9"/>
    <x v="27"/>
    <x v="3"/>
    <s v="Sales General &amp; Administration "/>
    <x v="29"/>
    <n v="35244"/>
    <s v=""/>
    <n v="35244"/>
  </r>
  <r>
    <s v="2025-10-31"/>
    <x v="9"/>
    <x v="28"/>
    <x v="3"/>
    <s v="Sales General &amp; Administration "/>
    <x v="30"/>
    <n v="289438"/>
    <s v=""/>
    <n v="289438"/>
  </r>
  <r>
    <s v="2025-10-31"/>
    <x v="9"/>
    <x v="29"/>
    <x v="7"/>
    <s v="Operational Cost"/>
    <x v="31"/>
    <n v="6270781"/>
    <s v=""/>
    <n v="6270781"/>
  </r>
  <r>
    <s v="2025-10-31"/>
    <x v="9"/>
    <x v="30"/>
    <x v="7"/>
    <s v="Operational Cost"/>
    <x v="32"/>
    <n v="3187170"/>
    <s v=""/>
    <n v="3187170"/>
  </r>
  <r>
    <s v="2025-10-31"/>
    <x v="9"/>
    <x v="31"/>
    <x v="3"/>
    <s v="Sales General &amp; Administration "/>
    <x v="33"/>
    <n v="412132"/>
    <s v=""/>
    <n v="412132"/>
  </r>
  <r>
    <s v="2025-10-31"/>
    <x v="9"/>
    <x v="32"/>
    <x v="3"/>
    <s v="Sales General &amp; Administration "/>
    <x v="34"/>
    <n v="412132"/>
    <s v=""/>
    <n v="412132"/>
  </r>
  <r>
    <s v="2025-10-31"/>
    <x v="9"/>
    <x v="33"/>
    <x v="3"/>
    <s v="Sales General &amp; Administration "/>
    <x v="35"/>
    <n v="19803"/>
    <s v=""/>
    <n v="19803"/>
  </r>
  <r>
    <s v="2025-10-31"/>
    <x v="9"/>
    <x v="34"/>
    <x v="3"/>
    <s v="Sales General &amp; Administration "/>
    <x v="36"/>
    <n v="4591"/>
    <s v=""/>
    <n v="4591"/>
  </r>
  <r>
    <s v="2025-10-31"/>
    <x v="9"/>
    <x v="35"/>
    <x v="10"/>
    <s v="Sales General &amp; Administration "/>
    <x v="37"/>
    <n v="130598"/>
    <s v=""/>
    <n v="130598"/>
  </r>
  <r>
    <s v="2025-10-31"/>
    <x v="9"/>
    <x v="36"/>
    <x v="9"/>
    <s v="Sales General &amp; Administration "/>
    <x v="38"/>
    <n v="48600"/>
    <s v=""/>
    <n v="48600"/>
  </r>
  <r>
    <s v="2025-10-31"/>
    <x v="9"/>
    <x v="37"/>
    <x v="9"/>
    <s v="Sales General &amp; Administration "/>
    <x v="39"/>
    <n v="91488"/>
    <s v=""/>
    <n v="91488"/>
  </r>
  <r>
    <s v="2025-10-31"/>
    <x v="9"/>
    <x v="38"/>
    <x v="9"/>
    <s v="Sales General &amp; Administration "/>
    <x v="40"/>
    <n v="63878"/>
    <s v=""/>
    <n v="63878"/>
  </r>
  <r>
    <s v="2025-10-31"/>
    <x v="9"/>
    <x v="39"/>
    <x v="3"/>
    <s v="Sales General &amp; Administration "/>
    <x v="41"/>
    <n v="57910"/>
    <s v=""/>
    <n v="57910"/>
  </r>
  <r>
    <s v="2025-11-01"/>
    <x v="10"/>
    <x v="0"/>
    <x v="0"/>
    <s v="Operational Cost"/>
    <x v="0"/>
    <n v="395769"/>
    <s v=""/>
    <n v="395769"/>
  </r>
  <r>
    <s v="2025-11-01"/>
    <x v="10"/>
    <x v="1"/>
    <x v="0"/>
    <s v="Operational Cost"/>
    <x v="0"/>
    <n v="68360"/>
    <s v=""/>
    <n v="68360"/>
  </r>
  <r>
    <s v="2025-11-01"/>
    <x v="10"/>
    <x v="4"/>
    <x v="2"/>
    <s v="Operational Cost"/>
    <x v="3"/>
    <n v="18100"/>
    <s v=""/>
    <n v="18100"/>
  </r>
  <r>
    <s v="2025-11-01"/>
    <x v="10"/>
    <x v="52"/>
    <x v="0"/>
    <s v="Operational Cost"/>
    <x v="82"/>
    <n v="400000"/>
    <s v=""/>
    <n v="400000"/>
  </r>
  <r>
    <s v="2025-11-01"/>
    <x v="10"/>
    <x v="3"/>
    <x v="1"/>
    <s v="Sales General &amp; Administration "/>
    <x v="2"/>
    <n v="125000"/>
    <s v=""/>
    <n v="125000"/>
  </r>
  <r>
    <s v="2025-11-01"/>
    <x v="10"/>
    <x v="46"/>
    <x v="8"/>
    <s v="Sales General &amp; Administration "/>
    <x v="55"/>
    <n v="6623"/>
    <s v=""/>
    <n v="6623"/>
  </r>
  <r>
    <s v="2025-11-01"/>
    <x v="10"/>
    <x v="10"/>
    <x v="3"/>
    <s v="Operational Cost"/>
    <x v="98"/>
    <n v="778.56"/>
    <s v=""/>
    <n v="778.56"/>
  </r>
  <r>
    <s v="2025-11-01"/>
    <x v="10"/>
    <x v="13"/>
    <x v="2"/>
    <s v="Operational Cost"/>
    <x v="14"/>
    <n v="2817"/>
    <s v=""/>
    <n v="2817"/>
  </r>
  <r>
    <s v="2025-11-01"/>
    <x v="10"/>
    <x v="13"/>
    <x v="2"/>
    <s v="Operational Cost"/>
    <x v="14"/>
    <n v="533"/>
    <s v=""/>
    <n v="533"/>
  </r>
  <r>
    <s v="2025-11-03"/>
    <x v="10"/>
    <x v="13"/>
    <x v="2"/>
    <s v="Operational Cost"/>
    <x v="23"/>
    <n v="50000"/>
    <s v=""/>
    <n v="50000"/>
  </r>
  <r>
    <s v="2025-11-03"/>
    <x v="10"/>
    <x v="6"/>
    <x v="4"/>
    <s v="Operational Cost"/>
    <x v="5"/>
    <n v="303800"/>
    <s v=""/>
    <n v="303800"/>
  </r>
  <r>
    <s v="2025-11-03"/>
    <x v="10"/>
    <x v="9"/>
    <x v="2"/>
    <s v="Operational Cost"/>
    <x v="8"/>
    <n v="9167"/>
    <s v=""/>
    <n v="9167"/>
  </r>
  <r>
    <s v="2025-11-03"/>
    <x v="10"/>
    <x v="9"/>
    <x v="2"/>
    <s v="Operational Cost"/>
    <x v="8"/>
    <n v="10417"/>
    <s v=""/>
    <n v="10417"/>
  </r>
  <r>
    <s v="2025-11-03"/>
    <x v="10"/>
    <x v="9"/>
    <x v="2"/>
    <s v="Operational Cost"/>
    <x v="8"/>
    <n v="23333"/>
    <s v=""/>
    <n v="23333"/>
  </r>
  <r>
    <s v="2025-11-04"/>
    <x v="10"/>
    <x v="23"/>
    <x v="2"/>
    <s v="Operational Cost"/>
    <x v="89"/>
    <n v="15000"/>
    <s v=""/>
    <n v="15000"/>
  </r>
  <r>
    <s v="2025-11-04"/>
    <x v="10"/>
    <x v="14"/>
    <x v="3"/>
    <s v="Sales General &amp; Administration "/>
    <x v="98"/>
    <n v="156"/>
    <s v=""/>
    <n v="156"/>
  </r>
  <r>
    <s v="2025-11-05"/>
    <x v="10"/>
    <x v="18"/>
    <x v="0"/>
    <s v="Operational Cost"/>
    <x v="17"/>
    <n v="26250"/>
    <s v=""/>
    <n v="26250"/>
  </r>
  <r>
    <s v="2025-11-05"/>
    <x v="10"/>
    <x v="14"/>
    <x v="3"/>
    <s v="Sales General &amp; Administration "/>
    <x v="98"/>
    <n v="180"/>
    <s v=""/>
    <n v="180"/>
  </r>
  <r>
    <s v="2025-11-05"/>
    <x v="10"/>
    <x v="7"/>
    <x v="3"/>
    <s v="Sales General &amp; Administration "/>
    <x v="6"/>
    <n v="23086"/>
    <s v=""/>
    <n v="23086"/>
  </r>
  <r>
    <s v="2025-11-05"/>
    <x v="10"/>
    <x v="7"/>
    <x v="3"/>
    <s v="Sales General &amp; Administration "/>
    <x v="6"/>
    <n v="3296"/>
    <s v=""/>
    <n v="3296"/>
  </r>
  <r>
    <s v="2025-11-06"/>
    <x v="10"/>
    <x v="14"/>
    <x v="3"/>
    <s v="Sales General &amp; Administration "/>
    <x v="98"/>
    <n v="124"/>
    <s v=""/>
    <n v="124"/>
  </r>
  <r>
    <s v="2025-11-06"/>
    <x v="10"/>
    <x v="10"/>
    <x v="3"/>
    <s v="Operational Cost"/>
    <x v="98"/>
    <n v="1015.91"/>
    <s v=""/>
    <n v="1015.91"/>
  </r>
  <r>
    <s v="2025-11-06"/>
    <x v="10"/>
    <x v="10"/>
    <x v="3"/>
    <s v="Operational Cost"/>
    <x v="98"/>
    <n v="899.76"/>
    <s v=""/>
    <n v="899.76"/>
  </r>
  <r>
    <s v="2025-11-06"/>
    <x v="10"/>
    <x v="13"/>
    <x v="2"/>
    <s v="Operational Cost"/>
    <x v="14"/>
    <n v="2479"/>
    <s v=""/>
    <n v="2479"/>
  </r>
  <r>
    <s v="2025-11-07"/>
    <x v="10"/>
    <x v="14"/>
    <x v="3"/>
    <s v="Sales General &amp; Administration "/>
    <x v="98"/>
    <n v="136"/>
    <s v=""/>
    <n v="136"/>
  </r>
  <r>
    <s v="2025-11-07"/>
    <x v="10"/>
    <x v="55"/>
    <x v="0"/>
    <s v="Operational Cost"/>
    <x v="101"/>
    <n v="25000"/>
    <s v=""/>
    <n v="25000"/>
  </r>
  <r>
    <s v="2025-11-07"/>
    <x v="10"/>
    <x v="7"/>
    <x v="3"/>
    <s v="Sales General &amp; Administration "/>
    <x v="9"/>
    <n v="350"/>
    <s v=""/>
    <n v="350"/>
  </r>
  <r>
    <s v="2025-11-07"/>
    <x v="10"/>
    <x v="7"/>
    <x v="3"/>
    <s v="Sales General &amp; Administration "/>
    <x v="9"/>
    <n v="1000"/>
    <s v=""/>
    <n v="1000"/>
  </r>
  <r>
    <s v="2025-11-07"/>
    <x v="10"/>
    <x v="10"/>
    <x v="3"/>
    <s v="Operational Cost"/>
    <x v="9"/>
    <n v="1772"/>
    <s v=""/>
    <n v="1772"/>
  </r>
  <r>
    <s v="2025-11-07"/>
    <x v="10"/>
    <x v="16"/>
    <x v="6"/>
    <s v="Operational Cost"/>
    <x v="15"/>
    <n v="59099"/>
    <s v=""/>
    <n v="59099"/>
  </r>
  <r>
    <s v="2025-11-07"/>
    <x v="10"/>
    <x v="13"/>
    <x v="2"/>
    <s v="Operational Cost"/>
    <x v="14"/>
    <n v="572"/>
    <s v=""/>
    <n v="572"/>
  </r>
  <r>
    <s v="2025-11-07"/>
    <x v="10"/>
    <x v="11"/>
    <x v="6"/>
    <s v="Operational Cost"/>
    <x v="9"/>
    <n v="16662"/>
    <s v=""/>
    <n v="16662"/>
  </r>
  <r>
    <s v="2025-11-07"/>
    <x v="10"/>
    <x v="11"/>
    <x v="6"/>
    <s v="Operational Cost"/>
    <x v="9"/>
    <n v="900"/>
    <s v=""/>
    <n v="900"/>
  </r>
  <r>
    <s v="2025-11-09"/>
    <x v="10"/>
    <x v="15"/>
    <x v="2"/>
    <s v="Operational Cost"/>
    <x v="19"/>
    <n v="1298"/>
    <s v=""/>
    <n v="1298"/>
  </r>
  <r>
    <s v="2025-11-10"/>
    <x v="10"/>
    <x v="14"/>
    <x v="3"/>
    <s v="Sales General &amp; Administration "/>
    <x v="98"/>
    <n v="126"/>
    <s v=""/>
    <n v="126"/>
  </r>
  <r>
    <s v="2025-11-10"/>
    <x v="10"/>
    <x v="14"/>
    <x v="3"/>
    <s v="Sales General &amp; Administration "/>
    <x v="98"/>
    <n v="140"/>
    <s v=""/>
    <n v="140"/>
  </r>
  <r>
    <s v="2025-11-10"/>
    <x v="10"/>
    <x v="13"/>
    <x v="2"/>
    <s v="Operational Cost"/>
    <x v="14"/>
    <n v="2455"/>
    <s v=""/>
    <n v="2455"/>
  </r>
  <r>
    <s v="2025-11-10"/>
    <x v="10"/>
    <x v="13"/>
    <x v="2"/>
    <s v="Operational Cost"/>
    <x v="14"/>
    <n v="514"/>
    <s v=""/>
    <n v="514"/>
  </r>
  <r>
    <s v="2025-11-11"/>
    <x v="10"/>
    <x v="14"/>
    <x v="3"/>
    <s v="Sales General &amp; Administration "/>
    <x v="98"/>
    <n v="136"/>
    <s v=""/>
    <n v="136"/>
  </r>
  <r>
    <s v="2025-11-11"/>
    <x v="10"/>
    <x v="14"/>
    <x v="3"/>
    <s v="Sales General &amp; Administration "/>
    <x v="98"/>
    <n v="100"/>
    <s v=""/>
    <n v="100"/>
  </r>
  <r>
    <s v="2025-11-12"/>
    <x v="10"/>
    <x v="17"/>
    <x v="0"/>
    <s v="Operational Cost"/>
    <x v="82"/>
    <n v="47724"/>
    <s v=""/>
    <n v="47724"/>
  </r>
  <r>
    <s v="2025-11-12"/>
    <x v="10"/>
    <x v="7"/>
    <x v="3"/>
    <s v="Sales General &amp; Administration "/>
    <x v="102"/>
    <n v="78810"/>
    <s v=""/>
    <n v="78810"/>
  </r>
  <r>
    <s v="2025-11-12"/>
    <x v="10"/>
    <x v="13"/>
    <x v="2"/>
    <s v="Operational Cost"/>
    <x v="14"/>
    <n v="473"/>
    <s v=""/>
    <n v="473"/>
  </r>
  <r>
    <s v="2025-11-12"/>
    <x v="10"/>
    <x v="13"/>
    <x v="2"/>
    <s v="Operational Cost"/>
    <x v="14"/>
    <n v="2775"/>
    <s v=""/>
    <n v="2775"/>
  </r>
  <r>
    <s v="2025-11-12"/>
    <x v="10"/>
    <x v="14"/>
    <x v="3"/>
    <s v="Sales General &amp; Administration "/>
    <x v="98"/>
    <n v="150"/>
    <s v=""/>
    <n v="150"/>
  </r>
  <r>
    <s v="2025-11-12"/>
    <x v="10"/>
    <x v="14"/>
    <x v="3"/>
    <s v="Sales General &amp; Administration "/>
    <x v="98"/>
    <n v="106"/>
    <s v=""/>
    <n v="106"/>
  </r>
  <r>
    <s v="2025-11-13"/>
    <x v="10"/>
    <x v="17"/>
    <x v="0"/>
    <s v="Operational Cost"/>
    <x v="16"/>
    <n v="200256"/>
    <s v=""/>
    <n v="200256"/>
  </r>
  <r>
    <s v="2025-11-13"/>
    <x v="10"/>
    <x v="14"/>
    <x v="3"/>
    <s v="Sales General &amp; Administration "/>
    <x v="98"/>
    <n v="100"/>
    <s v=""/>
    <n v="100"/>
  </r>
  <r>
    <s v="2025-11-13"/>
    <x v="10"/>
    <x v="10"/>
    <x v="3"/>
    <s v="Operational Cost"/>
    <x v="98"/>
    <n v="1015.91"/>
    <s v=""/>
    <n v="1015.91"/>
  </r>
  <r>
    <s v="2025-11-14"/>
    <x v="10"/>
    <x v="14"/>
    <x v="3"/>
    <s v="Sales General &amp; Administration "/>
    <x v="98"/>
    <n v="110"/>
    <s v=""/>
    <n v="110"/>
  </r>
  <r>
    <s v="2025-11-14"/>
    <x v="10"/>
    <x v="14"/>
    <x v="3"/>
    <s v="Sales General &amp; Administration "/>
    <x v="98"/>
    <n v="106"/>
    <s v=""/>
    <n v="106"/>
  </r>
  <r>
    <s v="2025-11-14"/>
    <x v="10"/>
    <x v="10"/>
    <x v="3"/>
    <s v="Operational Cost"/>
    <x v="98"/>
    <n v="899.76"/>
    <s v=""/>
    <n v="899.76"/>
  </r>
  <r>
    <s v="2025-11-15"/>
    <x v="10"/>
    <x v="13"/>
    <x v="2"/>
    <s v="Operational Cost"/>
    <x v="14"/>
    <n v="8913"/>
    <s v=""/>
    <n v="8913"/>
  </r>
  <r>
    <s v="2025-11-15"/>
    <x v="10"/>
    <x v="13"/>
    <x v="2"/>
    <s v="Operational Cost"/>
    <x v="14"/>
    <n v="3535"/>
    <s v=""/>
    <n v="3535"/>
  </r>
  <r>
    <s v="2025-11-15"/>
    <x v="10"/>
    <x v="13"/>
    <x v="2"/>
    <s v="Operational Cost"/>
    <x v="21"/>
    <n v="2793.06"/>
    <s v=""/>
    <n v="2793.06"/>
  </r>
  <r>
    <s v="2025-11-15"/>
    <x v="10"/>
    <x v="15"/>
    <x v="2"/>
    <s v="Operational Cost"/>
    <x v="19"/>
    <n v="923.82"/>
    <s v=""/>
    <n v="923.82"/>
  </r>
  <r>
    <s v="2025-11-15"/>
    <x v="10"/>
    <x v="10"/>
    <x v="3"/>
    <s v="Operational Cost"/>
    <x v="98"/>
    <n v="2221.3000000000002"/>
    <s v=""/>
    <n v="2221.3000000000002"/>
  </r>
  <r>
    <s v="2025-11-16"/>
    <x v="10"/>
    <x v="13"/>
    <x v="2"/>
    <s v="Operational Cost"/>
    <x v="21"/>
    <n v="3382"/>
    <s v=""/>
    <n v="3382"/>
  </r>
  <r>
    <s v="2025-11-17"/>
    <x v="10"/>
    <x v="13"/>
    <x v="2"/>
    <s v="Operational Cost"/>
    <x v="14"/>
    <n v="547"/>
    <s v=""/>
    <n v="547"/>
  </r>
  <r>
    <s v="2025-11-17"/>
    <x v="10"/>
    <x v="13"/>
    <x v="2"/>
    <s v="Operational Cost"/>
    <x v="14"/>
    <n v="8870"/>
    <s v=""/>
    <n v="8870"/>
  </r>
  <r>
    <s v="2025-11-17"/>
    <x v="10"/>
    <x v="14"/>
    <x v="3"/>
    <s v="Sales General &amp; Administration "/>
    <x v="98"/>
    <n v="524"/>
    <s v=""/>
    <n v="524"/>
  </r>
  <r>
    <s v="2025-11-18"/>
    <x v="10"/>
    <x v="10"/>
    <x v="3"/>
    <s v="Operational Cost"/>
    <x v="9"/>
    <n v="5600"/>
    <s v=""/>
    <n v="5600"/>
  </r>
  <r>
    <s v="2025-11-18"/>
    <x v="10"/>
    <x v="13"/>
    <x v="2"/>
    <s v="Operational Cost"/>
    <x v="14"/>
    <n v="1499"/>
    <s v=""/>
    <n v="1499"/>
  </r>
  <r>
    <s v="2025-11-18"/>
    <x v="10"/>
    <x v="11"/>
    <x v="6"/>
    <s v="Operational Cost"/>
    <x v="9"/>
    <n v="4500"/>
    <s v=""/>
    <n v="4500"/>
  </r>
  <r>
    <s v="2025-11-18"/>
    <x v="10"/>
    <x v="19"/>
    <x v="8"/>
    <s v="Sales General &amp; Administration "/>
    <x v="12"/>
    <n v="33.82"/>
    <s v=""/>
    <n v="33.82"/>
  </r>
  <r>
    <s v="2025-11-18"/>
    <x v="10"/>
    <x v="14"/>
    <x v="3"/>
    <s v="Sales General &amp; Administration "/>
    <x v="51"/>
    <n v="18170"/>
    <s v=""/>
    <n v="18170"/>
  </r>
  <r>
    <s v="2025-11-18"/>
    <x v="10"/>
    <x v="14"/>
    <x v="3"/>
    <s v="Sales General &amp; Administration "/>
    <x v="98"/>
    <n v="270"/>
    <s v=""/>
    <n v="270"/>
  </r>
  <r>
    <s v="2025-11-18"/>
    <x v="10"/>
    <x v="14"/>
    <x v="3"/>
    <s v="Sales General &amp; Administration "/>
    <x v="98"/>
    <n v="126"/>
    <s v=""/>
    <n v="126"/>
  </r>
  <r>
    <s v="2025-11-19"/>
    <x v="10"/>
    <x v="11"/>
    <x v="6"/>
    <s v="Operational Cost"/>
    <x v="86"/>
    <n v="650"/>
    <s v=""/>
    <n v="650"/>
  </r>
  <r>
    <s v="2025-11-19"/>
    <x v="10"/>
    <x v="11"/>
    <x v="6"/>
    <s v="Operational Cost"/>
    <x v="51"/>
    <n v="1177.3399999999999"/>
    <s v=""/>
    <n v="1177.3399999999999"/>
  </r>
  <r>
    <s v="2025-11-19"/>
    <x v="10"/>
    <x v="8"/>
    <x v="5"/>
    <s v="Indirect Income"/>
    <x v="7"/>
    <s v=""/>
    <n v="24875.49"/>
    <n v="-24875.49"/>
  </r>
  <r>
    <s v="2025-11-19"/>
    <x v="10"/>
    <x v="14"/>
    <x v="3"/>
    <s v="Sales General &amp; Administration "/>
    <x v="98"/>
    <n v="100"/>
    <s v=""/>
    <n v="100"/>
  </r>
  <r>
    <s v="2025-11-19"/>
    <x v="10"/>
    <x v="14"/>
    <x v="3"/>
    <s v="Sales General &amp; Administration "/>
    <x v="98"/>
    <n v="480"/>
    <s v=""/>
    <n v="480"/>
  </r>
  <r>
    <s v="2025-11-19"/>
    <x v="10"/>
    <x v="14"/>
    <x v="3"/>
    <s v="Sales General &amp; Administration "/>
    <x v="98"/>
    <n v="280"/>
    <s v=""/>
    <n v="280"/>
  </r>
  <r>
    <s v="2025-11-19"/>
    <x v="10"/>
    <x v="14"/>
    <x v="3"/>
    <s v="Sales General &amp; Administration "/>
    <x v="98"/>
    <n v="462"/>
    <s v=""/>
    <n v="462"/>
  </r>
  <r>
    <s v="2025-11-19"/>
    <x v="10"/>
    <x v="15"/>
    <x v="2"/>
    <s v="Operational Cost"/>
    <x v="19"/>
    <n v="1271.18"/>
    <s v=""/>
    <n v="1271.18"/>
  </r>
  <r>
    <s v="2025-11-20"/>
    <x v="10"/>
    <x v="16"/>
    <x v="6"/>
    <s v="Operational Cost"/>
    <x v="15"/>
    <n v="4833"/>
    <s v=""/>
    <n v="4833"/>
  </r>
  <r>
    <s v="2025-11-20"/>
    <x v="10"/>
    <x v="8"/>
    <x v="5"/>
    <s v="Indirect Income"/>
    <x v="7"/>
    <s v=""/>
    <n v="9141.11"/>
    <n v="-9141.11"/>
  </r>
  <r>
    <s v="2025-11-20"/>
    <x v="10"/>
    <x v="8"/>
    <x v="5"/>
    <s v="Indirect Income"/>
    <x v="7"/>
    <s v=""/>
    <n v="44707.89"/>
    <n v="-44707.89"/>
  </r>
  <r>
    <s v="2025-11-20"/>
    <x v="10"/>
    <x v="14"/>
    <x v="3"/>
    <s v="Sales General &amp; Administration "/>
    <x v="98"/>
    <n v="100"/>
    <s v=""/>
    <n v="100"/>
  </r>
  <r>
    <s v="2025-11-20"/>
    <x v="10"/>
    <x v="14"/>
    <x v="3"/>
    <s v="Sales General &amp; Administration "/>
    <x v="98"/>
    <n v="716"/>
    <s v=""/>
    <n v="716"/>
  </r>
  <r>
    <s v="2025-11-20"/>
    <x v="10"/>
    <x v="10"/>
    <x v="3"/>
    <s v="Operational Cost"/>
    <x v="98"/>
    <n v="899.76"/>
    <s v=""/>
    <n v="899.76"/>
  </r>
  <r>
    <s v="2025-11-20"/>
    <x v="10"/>
    <x v="10"/>
    <x v="3"/>
    <s v="Operational Cost"/>
    <x v="98"/>
    <n v="1015.91"/>
    <s v=""/>
    <n v="1015.91"/>
  </r>
  <r>
    <s v="2025-11-20"/>
    <x v="10"/>
    <x v="10"/>
    <x v="3"/>
    <s v="Operational Cost"/>
    <x v="98"/>
    <n v="1061.3599999999999"/>
    <s v=""/>
    <n v="1061.3599999999999"/>
  </r>
  <r>
    <s v="2025-11-21"/>
    <x v="10"/>
    <x v="19"/>
    <x v="8"/>
    <s v="Sales General &amp; Administration "/>
    <x v="55"/>
    <n v="3406.57"/>
    <s v=""/>
    <n v="3406.57"/>
  </r>
  <r>
    <s v="2025-11-21"/>
    <x v="10"/>
    <x v="14"/>
    <x v="3"/>
    <s v="Sales General &amp; Administration "/>
    <x v="103"/>
    <n v="20000"/>
    <s v=""/>
    <n v="20000"/>
  </r>
  <r>
    <d v="2025-08-31T00:00:00"/>
    <x v="7"/>
    <x v="6"/>
    <x v="4"/>
    <s v="Operational Cost"/>
    <x v="104"/>
    <n v="54600"/>
    <s v=""/>
    <n v="54600"/>
  </r>
  <r>
    <d v="2025-09-30T00:00:00"/>
    <x v="8"/>
    <x v="6"/>
    <x v="4"/>
    <s v="Operational Cost"/>
    <x v="104"/>
    <n v="39000"/>
    <s v=""/>
    <n v="39000"/>
  </r>
  <r>
    <s v="2025-11-22"/>
    <x v="10"/>
    <x v="13"/>
    <x v="2"/>
    <s v="Operational Cost"/>
    <x v="14"/>
    <n v="5372"/>
    <s v=""/>
    <n v="5372"/>
  </r>
  <r>
    <s v="2025-11-22"/>
    <x v="10"/>
    <x v="13"/>
    <x v="2"/>
    <s v="Operational Cost"/>
    <x v="22"/>
    <n v="6299.14"/>
    <s v=""/>
    <n v="6299.14"/>
  </r>
  <r>
    <s v="2025-11-22"/>
    <x v="10"/>
    <x v="7"/>
    <x v="3"/>
    <s v="Sales General &amp; Administration "/>
    <x v="80"/>
    <n v="4500"/>
    <s v=""/>
    <n v="4500"/>
  </r>
  <r>
    <d v="2025-10-31T00:00:00"/>
    <x v="9"/>
    <x v="6"/>
    <x v="4"/>
    <s v="Operational Cost"/>
    <x v="104"/>
    <n v="90350"/>
    <s v=""/>
    <n v="90350"/>
  </r>
  <r>
    <s v="2025-11-23"/>
    <x v="10"/>
    <x v="13"/>
    <x v="2"/>
    <s v="Operational Cost"/>
    <x v="21"/>
    <n v="2367"/>
    <s v=""/>
    <n v="2367"/>
  </r>
  <r>
    <s v="2025-11-24"/>
    <x v="10"/>
    <x v="14"/>
    <x v="3"/>
    <s v="Sales General &amp; Administration "/>
    <x v="98"/>
    <n v="140"/>
    <s v=""/>
    <n v="140"/>
  </r>
  <r>
    <s v="2025-11-24"/>
    <x v="10"/>
    <x v="14"/>
    <x v="3"/>
    <s v="Sales General &amp; Administration "/>
    <x v="98"/>
    <n v="106"/>
    <s v=""/>
    <n v="106"/>
  </r>
  <r>
    <s v="2025-11-25"/>
    <x v="10"/>
    <x v="19"/>
    <x v="8"/>
    <s v="Sales General &amp; Administration "/>
    <x v="12"/>
    <n v="23.67"/>
    <s v=""/>
    <n v="23.67"/>
  </r>
  <r>
    <s v="2025-11-25"/>
    <x v="10"/>
    <x v="8"/>
    <x v="5"/>
    <s v="Indirect Income"/>
    <x v="7"/>
    <s v=""/>
    <n v="283820.67"/>
    <n v="-283820.67"/>
  </r>
  <r>
    <s v="2025-11-25"/>
    <x v="10"/>
    <x v="11"/>
    <x v="6"/>
    <s v="Operational Cost"/>
    <x v="45"/>
    <n v="164389.20000000001"/>
    <s v=""/>
    <n v="164389.20000000001"/>
  </r>
  <r>
    <s v="2025-11-25"/>
    <x v="10"/>
    <x v="14"/>
    <x v="3"/>
    <s v="Sales General &amp; Administration "/>
    <x v="98"/>
    <n v="100"/>
    <s v=""/>
    <n v="100"/>
  </r>
  <r>
    <s v="2025-11-25"/>
    <x v="10"/>
    <x v="14"/>
    <x v="3"/>
    <s v="Sales General &amp; Administration "/>
    <x v="98"/>
    <n v="140"/>
    <s v=""/>
    <n v="140"/>
  </r>
  <r>
    <s v="2025-11-26"/>
    <x v="10"/>
    <x v="13"/>
    <x v="2"/>
    <s v="Operational Cost"/>
    <x v="105"/>
    <n v="19820.54"/>
    <s v=""/>
    <n v="19820.54"/>
  </r>
  <r>
    <s v="2025-11-26"/>
    <x v="10"/>
    <x v="13"/>
    <x v="2"/>
    <s v="Operational Cost"/>
    <x v="51"/>
    <n v="5990"/>
    <s v=""/>
    <n v="5990"/>
  </r>
  <r>
    <s v="2025-11-26"/>
    <x v="10"/>
    <x v="14"/>
    <x v="3"/>
    <s v="Sales General &amp; Administration "/>
    <x v="98"/>
    <n v="136"/>
    <s v=""/>
    <n v="136"/>
  </r>
  <r>
    <s v="2025-11-26"/>
    <x v="10"/>
    <x v="14"/>
    <x v="3"/>
    <s v="Sales General &amp; Administration "/>
    <x v="98"/>
    <n v="104"/>
    <s v=""/>
    <n v="104"/>
  </r>
  <r>
    <s v="2025-11-26"/>
    <x v="10"/>
    <x v="14"/>
    <x v="3"/>
    <s v="Sales General &amp; Administration "/>
    <x v="98"/>
    <n v="210"/>
    <s v=""/>
    <n v="210"/>
  </r>
  <r>
    <s v="2025-11-27"/>
    <x v="10"/>
    <x v="13"/>
    <x v="2"/>
    <s v="Operational Cost"/>
    <x v="21"/>
    <n v="1499"/>
    <s v=""/>
    <n v="1499"/>
  </r>
  <r>
    <s v="2025-11-27"/>
    <x v="10"/>
    <x v="19"/>
    <x v="8"/>
    <s v="Sales General &amp; Administration "/>
    <x v="51"/>
    <n v="99"/>
    <s v=""/>
    <n v="99"/>
  </r>
  <r>
    <s v="2025-11-27"/>
    <x v="10"/>
    <x v="14"/>
    <x v="3"/>
    <s v="Sales General &amp; Administration "/>
    <x v="98"/>
    <n v="100"/>
    <s v=""/>
    <n v="100"/>
  </r>
  <r>
    <s v="2025-11-27"/>
    <x v="10"/>
    <x v="14"/>
    <x v="3"/>
    <s v="Sales General &amp; Administration "/>
    <x v="98"/>
    <n v="98"/>
    <s v=""/>
    <n v="98"/>
  </r>
  <r>
    <s v="2025-11-27"/>
    <x v="10"/>
    <x v="14"/>
    <x v="3"/>
    <s v="Sales General &amp; Administration "/>
    <x v="98"/>
    <n v="110"/>
    <s v=""/>
    <n v="110"/>
  </r>
  <r>
    <s v="2025-11-28"/>
    <x v="10"/>
    <x v="24"/>
    <x v="9"/>
    <s v="Sales General &amp; Administration "/>
    <x v="26"/>
    <n v="160000"/>
    <s v=""/>
    <n v="160000"/>
  </r>
  <r>
    <s v="2025-11-28"/>
    <x v="10"/>
    <x v="24"/>
    <x v="9"/>
    <s v="Sales General &amp; Administration "/>
    <x v="26"/>
    <n v="160000"/>
    <s v=""/>
    <n v="160000"/>
  </r>
  <r>
    <s v="2025-11-28"/>
    <x v="10"/>
    <x v="24"/>
    <x v="9"/>
    <s v="Sales General &amp; Administration "/>
    <x v="26"/>
    <n v="268000"/>
    <s v=""/>
    <n v="268000"/>
  </r>
  <r>
    <s v="2025-11-28"/>
    <x v="10"/>
    <x v="31"/>
    <x v="3"/>
    <s v="Sales General &amp; Administration "/>
    <x v="33"/>
    <n v="12000"/>
    <s v=""/>
    <n v="12000"/>
  </r>
  <r>
    <s v="2025-11-28"/>
    <x v="10"/>
    <x v="32"/>
    <x v="3"/>
    <s v="Sales General &amp; Administration "/>
    <x v="34"/>
    <n v="12000"/>
    <s v=""/>
    <n v="12000"/>
  </r>
  <r>
    <s v="2025-11-28"/>
    <x v="10"/>
    <x v="24"/>
    <x v="9"/>
    <s v="Sales General &amp; Administration "/>
    <x v="26"/>
    <n v="60000"/>
    <s v=""/>
    <n v="60000"/>
  </r>
  <r>
    <s v="2025-11-28"/>
    <x v="10"/>
    <x v="24"/>
    <x v="9"/>
    <s v="Sales General &amp; Administration "/>
    <x v="26"/>
    <n v="247074"/>
    <s v=""/>
    <n v="247074"/>
  </r>
  <r>
    <s v="2025-11-28"/>
    <x v="10"/>
    <x v="31"/>
    <x v="3"/>
    <s v="Sales General &amp; Administration "/>
    <x v="33"/>
    <n v="6000"/>
    <s v=""/>
    <n v="6000"/>
  </r>
  <r>
    <s v="2025-11-28"/>
    <x v="10"/>
    <x v="32"/>
    <x v="3"/>
    <s v="Sales General &amp; Administration "/>
    <x v="34"/>
    <n v="6000"/>
    <s v=""/>
    <n v="6000"/>
  </r>
  <r>
    <s v="2025-11-28"/>
    <x v="10"/>
    <x v="25"/>
    <x v="7"/>
    <s v="Operational Cost"/>
    <x v="27"/>
    <n v="12000"/>
    <s v=""/>
    <n v="12000"/>
  </r>
  <r>
    <s v="2025-11-28"/>
    <x v="10"/>
    <x v="7"/>
    <x v="3"/>
    <s v="Sales General &amp; Administration "/>
    <x v="42"/>
    <n v="12000"/>
    <s v=""/>
    <n v="12000"/>
  </r>
  <r>
    <s v="2025-11-28"/>
    <x v="10"/>
    <x v="11"/>
    <x v="6"/>
    <s v="Operational Cost"/>
    <x v="45"/>
    <n v="33000"/>
    <s v=""/>
    <n v="33000"/>
  </r>
  <r>
    <s v="2025-11-28"/>
    <x v="10"/>
    <x v="19"/>
    <x v="8"/>
    <s v="Sales General &amp; Administration "/>
    <x v="51"/>
    <n v="495.51"/>
    <s v=""/>
    <n v="495.51"/>
  </r>
  <r>
    <s v="2025-11-28"/>
    <x v="10"/>
    <x v="14"/>
    <x v="3"/>
    <s v="Sales General &amp; Administration "/>
    <x v="106"/>
    <n v="2271"/>
    <s v=""/>
    <n v="2271"/>
  </r>
  <r>
    <s v="2025-11-28"/>
    <x v="10"/>
    <x v="7"/>
    <x v="3"/>
    <s v="Sales General &amp; Administration "/>
    <x v="98"/>
    <n v="246.05"/>
    <s v=""/>
    <n v="246.05"/>
  </r>
  <r>
    <s v="2025-11-28"/>
    <x v="10"/>
    <x v="27"/>
    <x v="3"/>
    <s v="Sales General &amp; Administration "/>
    <x v="29"/>
    <n v="35732"/>
    <s v=""/>
    <n v="35732"/>
  </r>
  <r>
    <s v="2025-11-28"/>
    <x v="10"/>
    <x v="28"/>
    <x v="3"/>
    <s v="Sales General &amp; Administration "/>
    <x v="30"/>
    <n v="264362"/>
    <s v=""/>
    <n v="264362"/>
  </r>
  <r>
    <s v="2025-11-28"/>
    <x v="10"/>
    <x v="29"/>
    <x v="7"/>
    <s v="Operational Cost"/>
    <x v="31"/>
    <n v="6229342"/>
    <s v=""/>
    <n v="6229342"/>
  </r>
  <r>
    <s v="2025-11-28"/>
    <x v="10"/>
    <x v="30"/>
    <x v="7"/>
    <s v="Operational Cost"/>
    <x v="32"/>
    <n v="3255082"/>
    <s v=""/>
    <n v="3255082"/>
  </r>
  <r>
    <s v="2025-11-28"/>
    <x v="10"/>
    <x v="31"/>
    <x v="3"/>
    <s v="Sales General &amp; Administration "/>
    <x v="33"/>
    <n v="417979"/>
    <s v=""/>
    <n v="417979"/>
  </r>
  <r>
    <s v="2025-11-28"/>
    <x v="10"/>
    <x v="32"/>
    <x v="3"/>
    <s v="Sales General &amp; Administration "/>
    <x v="34"/>
    <n v="417979"/>
    <s v=""/>
    <n v="417979"/>
  </r>
  <r>
    <s v="2025-11-28"/>
    <x v="10"/>
    <x v="33"/>
    <x v="3"/>
    <s v="Sales General &amp; Administration "/>
    <x v="35"/>
    <n v="18980"/>
    <s v=""/>
    <n v="18980"/>
  </r>
  <r>
    <s v="2025-11-28"/>
    <x v="10"/>
    <x v="34"/>
    <x v="3"/>
    <s v="Sales General &amp; Administration "/>
    <x v="36"/>
    <n v="4396"/>
    <s v=""/>
    <n v="4396"/>
  </r>
  <r>
    <s v="2025-11-28"/>
    <x v="10"/>
    <x v="35"/>
    <x v="10"/>
    <s v="Sales General &amp; Administration "/>
    <x v="37"/>
    <n v="118522"/>
    <s v=""/>
    <n v="118522"/>
  </r>
  <r>
    <s v="2025-11-28"/>
    <x v="10"/>
    <x v="36"/>
    <x v="9"/>
    <s v="Sales General &amp; Administration "/>
    <x v="38"/>
    <n v="56960"/>
    <s v=""/>
    <n v="56960"/>
  </r>
  <r>
    <s v="2025-11-28"/>
    <x v="10"/>
    <x v="37"/>
    <x v="9"/>
    <s v="Sales General &amp; Administration "/>
    <x v="39"/>
    <n v="91488"/>
    <s v=""/>
    <n v="91488"/>
  </r>
  <r>
    <s v="2025-11-28"/>
    <x v="10"/>
    <x v="38"/>
    <x v="9"/>
    <s v="Sales General &amp; Administration "/>
    <x v="40"/>
    <n v="76816"/>
    <s v=""/>
    <n v="76816"/>
  </r>
  <r>
    <s v="2025-11-28"/>
    <x v="10"/>
    <x v="39"/>
    <x v="3"/>
    <s v="Sales General &amp; Administration "/>
    <x v="41"/>
    <n v="59440"/>
    <s v=""/>
    <n v="59440"/>
  </r>
  <r>
    <s v="2025-11-29"/>
    <x v="10"/>
    <x v="21"/>
    <x v="0"/>
    <s v="Operational Cost"/>
    <x v="20"/>
    <n v="168956.09"/>
    <s v=""/>
    <n v="168956.09"/>
  </r>
  <r>
    <s v="2025-11-30"/>
    <x v="10"/>
    <x v="26"/>
    <x v="3"/>
    <s v="Sales General &amp; Administration "/>
    <x v="92"/>
    <n v="14000"/>
    <s v=""/>
    <n v="14000"/>
  </r>
  <r>
    <s v="2025-11-30"/>
    <x v="10"/>
    <x v="17"/>
    <x v="0"/>
    <s v="Operational Cost"/>
    <x v="16"/>
    <n v="423"/>
    <s v=""/>
    <n v="423"/>
  </r>
  <r>
    <s v="2025-11-30"/>
    <x v="10"/>
    <x v="23"/>
    <x v="2"/>
    <s v="Operational Cost"/>
    <x v="25"/>
    <n v="1000"/>
    <s v=""/>
    <n v="1000"/>
  </r>
  <r>
    <s v="2025-11-30"/>
    <x v="10"/>
    <x v="26"/>
    <x v="3"/>
    <s v="Sales General &amp; Administration "/>
    <x v="107"/>
    <n v="32000"/>
    <s v=""/>
    <n v="32000"/>
  </r>
  <r>
    <s v="2025-11-30"/>
    <x v="10"/>
    <x v="10"/>
    <x v="3"/>
    <s v="Operational Cost"/>
    <x v="98"/>
    <n v="1086.6099999999999"/>
    <s v=""/>
    <n v="1086.6099999999999"/>
  </r>
  <r>
    <s v="2025-11-30"/>
    <x v="10"/>
    <x v="7"/>
    <x v="3"/>
    <s v="Sales General &amp; Administration "/>
    <x v="108"/>
    <n v="1600"/>
    <s v=""/>
    <n v="1600"/>
  </r>
  <r>
    <s v="2025-11-30"/>
    <x v="10"/>
    <x v="56"/>
    <x v="10"/>
    <s v="Sales General &amp; Administration "/>
    <x v="108"/>
    <n v="5"/>
    <s v=""/>
    <n v="5"/>
  </r>
  <r>
    <s v="2025-11-30"/>
    <x v="10"/>
    <x v="7"/>
    <x v="3"/>
    <s v="Sales General &amp; Administration "/>
    <x v="108"/>
    <n v="189"/>
    <s v=""/>
    <n v="189"/>
  </r>
  <r>
    <s v="2025-11-30"/>
    <x v="10"/>
    <x v="56"/>
    <x v="10"/>
    <s v="Sales General &amp; Administration "/>
    <x v="108"/>
    <n v="5"/>
    <s v=""/>
    <n v="5"/>
  </r>
  <r>
    <s v="2025-11-30"/>
    <x v="10"/>
    <x v="7"/>
    <x v="3"/>
    <s v="Sales General &amp; Administration "/>
    <x v="108"/>
    <n v="20490"/>
    <s v=""/>
    <n v="20490"/>
  </r>
  <r>
    <s v="2025-12-01"/>
    <x v="11"/>
    <x v="52"/>
    <x v="0"/>
    <s v="Operational Cost"/>
    <x v="82"/>
    <n v="400000"/>
    <s v=""/>
    <n v="400000"/>
  </r>
  <r>
    <s v="2025-12-01"/>
    <x v="11"/>
    <x v="4"/>
    <x v="2"/>
    <s v="Operational Cost"/>
    <x v="3"/>
    <n v="17400"/>
    <s v=""/>
    <n v="17400"/>
  </r>
  <r>
    <s v="2025-12-01"/>
    <x v="11"/>
    <x v="7"/>
    <x v="3"/>
    <s v="Sales General &amp; Administration "/>
    <x v="9"/>
    <n v="500"/>
    <s v=""/>
    <n v="500"/>
  </r>
  <r>
    <s v="2025-12-01"/>
    <x v="11"/>
    <x v="13"/>
    <x v="2"/>
    <s v="Operational Cost"/>
    <x v="23"/>
    <n v="50000"/>
    <s v=""/>
    <n v="50000"/>
  </r>
  <r>
    <s v="2025-12-01"/>
    <x v="11"/>
    <x v="3"/>
    <x v="1"/>
    <s v="Sales General &amp; Administration "/>
    <x v="2"/>
    <n v="125000"/>
    <s v=""/>
    <n v="125000"/>
  </r>
  <r>
    <s v="2025-12-01"/>
    <x v="11"/>
    <x v="14"/>
    <x v="3"/>
    <s v="Sales General &amp; Administration "/>
    <x v="98"/>
    <n v="150"/>
    <s v=""/>
    <n v="150"/>
  </r>
  <r>
    <s v="2025-12-01"/>
    <x v="11"/>
    <x v="14"/>
    <x v="3"/>
    <s v="Sales General &amp; Administration "/>
    <x v="98"/>
    <n v="1262"/>
    <s v=""/>
    <n v="1262"/>
  </r>
  <r>
    <s v="2025-12-01"/>
    <x v="11"/>
    <x v="50"/>
    <x v="1"/>
    <s v="Sales General &amp; Administration "/>
    <x v="66"/>
    <n v="2000"/>
    <s v=""/>
    <n v="2000"/>
  </r>
  <r>
    <s v="2025-12-01"/>
    <x v="11"/>
    <x v="50"/>
    <x v="1"/>
    <s v="Sales General &amp; Administration "/>
    <x v="66"/>
    <n v="2000"/>
    <s v=""/>
    <n v="2000"/>
  </r>
  <r>
    <s v="2025-12-01"/>
    <x v="11"/>
    <x v="50"/>
    <x v="1"/>
    <s v="Sales General &amp; Administration "/>
    <x v="66"/>
    <n v="2000"/>
    <s v=""/>
    <n v="2000"/>
  </r>
  <r>
    <s v="2025-12-01"/>
    <x v="11"/>
    <x v="46"/>
    <x v="8"/>
    <s v="Sales General &amp; Administration "/>
    <x v="55"/>
    <n v="32666"/>
    <s v=""/>
    <n v="32666"/>
  </r>
  <r>
    <s v="2025-12-01"/>
    <x v="11"/>
    <x v="1"/>
    <x v="0"/>
    <s v="Operational Cost"/>
    <x v="0"/>
    <n v="68360"/>
    <s v=""/>
    <n v="68360"/>
  </r>
  <r>
    <s v="2025-12-01"/>
    <x v="11"/>
    <x v="0"/>
    <x v="0"/>
    <s v="Operational Cost"/>
    <x v="0"/>
    <n v="395769"/>
    <s v=""/>
    <n v="395769"/>
  </r>
  <r>
    <s v="2025-12-01"/>
    <x v="11"/>
    <x v="13"/>
    <x v="2"/>
    <s v="Operational Cost"/>
    <x v="14"/>
    <n v="533"/>
    <s v=""/>
    <n v="533"/>
  </r>
  <r>
    <s v="2025-12-01"/>
    <x v="11"/>
    <x v="13"/>
    <x v="2"/>
    <s v="Operational Cost"/>
    <x v="14"/>
    <n v="2817"/>
    <s v=""/>
    <n v="2817"/>
  </r>
  <r>
    <s v="2025-12-02"/>
    <x v="11"/>
    <x v="7"/>
    <x v="3"/>
    <s v="Sales General &amp; Administration "/>
    <x v="42"/>
    <n v="100"/>
    <s v=""/>
    <n v="100"/>
  </r>
  <r>
    <s v="2025-12-02"/>
    <x v="11"/>
    <x v="14"/>
    <x v="3"/>
    <s v="Sales General &amp; Administration "/>
    <x v="81"/>
    <n v="2326"/>
    <s v=""/>
    <n v="2326"/>
  </r>
  <r>
    <s v="2025-12-02"/>
    <x v="11"/>
    <x v="10"/>
    <x v="3"/>
    <s v="Operational Cost"/>
    <x v="43"/>
    <n v="2922"/>
    <s v=""/>
    <n v="2922"/>
  </r>
  <r>
    <s v="2025-12-02"/>
    <x v="11"/>
    <x v="11"/>
    <x v="6"/>
    <s v="Operational Cost"/>
    <x v="45"/>
    <n v="650"/>
    <s v=""/>
    <n v="650"/>
  </r>
  <r>
    <s v="2025-12-02"/>
    <x v="11"/>
    <x v="49"/>
    <x v="3"/>
    <s v="Sales General &amp; Administration "/>
    <x v="75"/>
    <n v="70569"/>
    <s v=""/>
    <n v="70569"/>
  </r>
  <r>
    <s v="2025-12-02"/>
    <x v="11"/>
    <x v="6"/>
    <x v="4"/>
    <s v="Operational Cost"/>
    <x v="5"/>
    <n v="278000"/>
    <s v=""/>
    <n v="278000"/>
  </r>
  <r>
    <s v="2025-12-02"/>
    <x v="11"/>
    <x v="7"/>
    <x v="3"/>
    <s v="Sales General &amp; Administration "/>
    <x v="6"/>
    <n v="16052"/>
    <s v=""/>
    <n v="16052"/>
  </r>
  <r>
    <s v="2025-12-02"/>
    <x v="11"/>
    <x v="8"/>
    <x v="5"/>
    <s v="Indirect Income"/>
    <x v="7"/>
    <s v=""/>
    <n v="78349"/>
    <n v="-78349"/>
  </r>
  <r>
    <s v="2025-12-02"/>
    <x v="11"/>
    <x v="14"/>
    <x v="3"/>
    <s v="Sales General &amp; Administration "/>
    <x v="98"/>
    <n v="100"/>
    <s v=""/>
    <n v="100"/>
  </r>
  <r>
    <s v="2025-12-02"/>
    <x v="11"/>
    <x v="14"/>
    <x v="3"/>
    <s v="Sales General &amp; Administration "/>
    <x v="98"/>
    <n v="190"/>
    <s v=""/>
    <n v="190"/>
  </r>
  <r>
    <s v="2025-12-02"/>
    <x v="11"/>
    <x v="14"/>
    <x v="3"/>
    <s v="Sales General &amp; Administration "/>
    <x v="98"/>
    <n v="241"/>
    <s v=""/>
    <n v="241"/>
  </r>
  <r>
    <s v="2025-12-02"/>
    <x v="11"/>
    <x v="10"/>
    <x v="3"/>
    <s v="Operational Cost"/>
    <x v="98"/>
    <n v="705.52"/>
    <s v=""/>
    <n v="705.52"/>
  </r>
  <r>
    <s v="2025-12-02"/>
    <x v="11"/>
    <x v="42"/>
    <x v="3"/>
    <s v="Sales General &amp; Administration "/>
    <x v="109"/>
    <n v="10000"/>
    <s v=""/>
    <n v="10000"/>
  </r>
  <r>
    <s v="2025-12-02"/>
    <x v="11"/>
    <x v="42"/>
    <x v="3"/>
    <s v="Sales General &amp; Administration "/>
    <x v="110"/>
    <n v="10000"/>
    <s v=""/>
    <n v="10000"/>
  </r>
  <r>
    <s v="2025-12-02"/>
    <x v="11"/>
    <x v="16"/>
    <x v="6"/>
    <s v="Operational Cost"/>
    <x v="15"/>
    <n v="5605"/>
    <s v=""/>
    <n v="5605"/>
  </r>
  <r>
    <s v="2025-12-03"/>
    <x v="11"/>
    <x v="17"/>
    <x v="0"/>
    <s v="Operational Cost"/>
    <x v="82"/>
    <n v="19848"/>
    <s v=""/>
    <n v="19848"/>
  </r>
  <r>
    <s v="2025-12-03"/>
    <x v="11"/>
    <x v="18"/>
    <x v="0"/>
    <s v="Operational Cost"/>
    <x v="17"/>
    <n v="26250"/>
    <s v=""/>
    <n v="26250"/>
  </r>
  <r>
    <d v="2025-11-30T00:00:00"/>
    <x v="10"/>
    <x v="6"/>
    <x v="4"/>
    <s v="Operational Cost"/>
    <x v="104"/>
    <n v="92300"/>
    <s v=""/>
    <n v="92300"/>
  </r>
  <r>
    <s v="2025-12-03"/>
    <x v="11"/>
    <x v="11"/>
    <x v="6"/>
    <s v="Operational Cost"/>
    <x v="12"/>
    <n v="650"/>
    <s v=""/>
    <n v="650"/>
  </r>
  <r>
    <s v="2025-12-03"/>
    <x v="11"/>
    <x v="11"/>
    <x v="6"/>
    <s v="Operational Cost"/>
    <x v="12"/>
    <n v="539.98"/>
    <s v=""/>
    <n v="539.98"/>
  </r>
  <r>
    <s v="2025-12-03"/>
    <x v="11"/>
    <x v="11"/>
    <x v="6"/>
    <s v="Operational Cost"/>
    <x v="12"/>
    <n v="1056.69"/>
    <s v=""/>
    <n v="1056.69"/>
  </r>
  <r>
    <s v="2025-12-03"/>
    <x v="11"/>
    <x v="14"/>
    <x v="3"/>
    <s v="Sales General &amp; Administration "/>
    <x v="9"/>
    <n v="35700"/>
    <s v=""/>
    <n v="35700"/>
  </r>
  <r>
    <s v="2025-12-03"/>
    <x v="11"/>
    <x v="9"/>
    <x v="2"/>
    <s v="Operational Cost"/>
    <x v="8"/>
    <n v="23333"/>
    <s v=""/>
    <n v="23333"/>
  </r>
  <r>
    <s v="2025-12-03"/>
    <x v="11"/>
    <x v="9"/>
    <x v="2"/>
    <s v="Operational Cost"/>
    <x v="8"/>
    <n v="10417"/>
    <s v=""/>
    <n v="10417"/>
  </r>
  <r>
    <s v="2025-12-03"/>
    <x v="11"/>
    <x v="9"/>
    <x v="2"/>
    <s v="Operational Cost"/>
    <x v="8"/>
    <n v="9167"/>
    <s v=""/>
    <n v="9167"/>
  </r>
  <r>
    <s v="2025-12-04"/>
    <x v="11"/>
    <x v="14"/>
    <x v="3"/>
    <s v="Sales General &amp; Administration "/>
    <x v="98"/>
    <n v="110"/>
    <s v=""/>
    <n v="110"/>
  </r>
  <r>
    <s v="2025-12-05"/>
    <x v="11"/>
    <x v="14"/>
    <x v="3"/>
    <s v="Sales General &amp; Administration "/>
    <x v="111"/>
    <n v="27036"/>
    <s v=""/>
    <n v="27036"/>
  </r>
  <r>
    <s v="2025-12-06"/>
    <x v="11"/>
    <x v="23"/>
    <x v="2"/>
    <s v="Operational Cost"/>
    <x v="89"/>
    <n v="15000"/>
    <s v=""/>
    <n v="15000"/>
  </r>
  <r>
    <s v="2025-12-06"/>
    <x v="11"/>
    <x v="7"/>
    <x v="3"/>
    <s v="Sales General &amp; Administration "/>
    <x v="98"/>
    <n v="491"/>
    <s v=""/>
    <n v="491"/>
  </r>
  <r>
    <s v="2025-12-06"/>
    <x v="11"/>
    <x v="15"/>
    <x v="2"/>
    <s v="Operational Cost"/>
    <x v="19"/>
    <n v="923.82"/>
    <s v=""/>
    <n v="923.82"/>
  </r>
  <r>
    <s v="2025-12-06"/>
    <x v="11"/>
    <x v="13"/>
    <x v="2"/>
    <s v="Operational Cost"/>
    <x v="14"/>
    <n v="2479"/>
    <s v=""/>
    <n v="2479"/>
  </r>
  <r>
    <s v="2025-12-07"/>
    <x v="11"/>
    <x v="10"/>
    <x v="3"/>
    <s v="Operational Cost"/>
    <x v="98"/>
    <n v="984.53"/>
    <s v=""/>
    <n v="984.53"/>
  </r>
  <r>
    <s v="2025-12-07"/>
    <x v="11"/>
    <x v="13"/>
    <x v="2"/>
    <s v="Operational Cost"/>
    <x v="14"/>
    <n v="572"/>
    <s v=""/>
    <n v="572"/>
  </r>
  <r>
    <s v="2025-12-07"/>
    <x v="11"/>
    <x v="16"/>
    <x v="6"/>
    <s v="Operational Cost"/>
    <x v="15"/>
    <n v="59099"/>
    <s v=""/>
    <n v="59099"/>
  </r>
  <r>
    <s v="2025-12-08"/>
    <x v="11"/>
    <x v="55"/>
    <x v="0"/>
    <s v="Operational Cost"/>
    <x v="101"/>
    <n v="25000"/>
    <s v=""/>
    <n v="25000"/>
  </r>
  <r>
    <s v="2025-12-08"/>
    <x v="11"/>
    <x v="7"/>
    <x v="3"/>
    <s v="Sales General &amp; Administration "/>
    <x v="42"/>
    <n v="140"/>
    <s v=""/>
    <n v="140"/>
  </r>
  <r>
    <s v="2025-12-08"/>
    <x v="11"/>
    <x v="14"/>
    <x v="3"/>
    <s v="Sales General &amp; Administration "/>
    <x v="81"/>
    <n v="1600"/>
    <s v=""/>
    <n v="1600"/>
  </r>
  <r>
    <s v="2025-12-08"/>
    <x v="11"/>
    <x v="11"/>
    <x v="6"/>
    <s v="Operational Cost"/>
    <x v="45"/>
    <n v="260"/>
    <s v=""/>
    <n v="260"/>
  </r>
  <r>
    <s v="2025-12-08"/>
    <x v="11"/>
    <x v="11"/>
    <x v="6"/>
    <s v="Operational Cost"/>
    <x v="9"/>
    <n v="435"/>
    <s v=""/>
    <n v="435"/>
  </r>
  <r>
    <s v="2025-12-08"/>
    <x v="11"/>
    <x v="20"/>
    <x v="3"/>
    <s v="Sales General &amp; Administration "/>
    <x v="9"/>
    <n v="898"/>
    <s v=""/>
    <n v="898"/>
  </r>
  <r>
    <s v="2025-12-08"/>
    <x v="11"/>
    <x v="11"/>
    <x v="6"/>
    <s v="Operational Cost"/>
    <x v="9"/>
    <n v="440"/>
    <s v=""/>
    <n v="440"/>
  </r>
  <r>
    <s v="2025-12-08"/>
    <x v="11"/>
    <x v="14"/>
    <x v="3"/>
    <s v="Sales General &amp; Administration "/>
    <x v="98"/>
    <n v="118"/>
    <s v=""/>
    <n v="118"/>
  </r>
  <r>
    <s v="2025-12-08"/>
    <x v="11"/>
    <x v="10"/>
    <x v="3"/>
    <s v="Operational Cost"/>
    <x v="98"/>
    <n v="955.73"/>
    <s v=""/>
    <n v="955.73"/>
  </r>
  <r>
    <s v="2025-12-08"/>
    <x v="11"/>
    <x v="11"/>
    <x v="6"/>
    <s v="Operational Cost"/>
    <x v="9"/>
    <n v="15097"/>
    <s v=""/>
    <n v="15097"/>
  </r>
  <r>
    <s v="2025-12-09"/>
    <x v="11"/>
    <x v="15"/>
    <x v="2"/>
    <s v="Operational Cost"/>
    <x v="19"/>
    <n v="1298"/>
    <s v=""/>
    <n v="1298"/>
  </r>
  <r>
    <s v="2025-12-09"/>
    <x v="11"/>
    <x v="14"/>
    <x v="3"/>
    <s v="Sales General &amp; Administration "/>
    <x v="98"/>
    <n v="139"/>
    <s v=""/>
    <n v="139"/>
  </r>
  <r>
    <s v="2025-12-09"/>
    <x v="11"/>
    <x v="10"/>
    <x v="3"/>
    <s v="Operational Cost"/>
    <x v="12"/>
    <n v="4674.5200000000004"/>
    <s v=""/>
    <n v="4674.5200000000004"/>
  </r>
  <r>
    <s v="2025-12-09"/>
    <x v="11"/>
    <x v="10"/>
    <x v="3"/>
    <s v="Operational Cost"/>
    <x v="12"/>
    <s v=""/>
    <n v="46.28"/>
    <n v="-46.28"/>
  </r>
  <r>
    <s v="2025-12-09"/>
    <x v="11"/>
    <x v="57"/>
    <x v="6"/>
    <s v="Operational Cost"/>
    <x v="9"/>
    <n v="5000"/>
    <s v=""/>
    <n v="5000"/>
  </r>
  <r>
    <s v="2025-12-10"/>
    <x v="11"/>
    <x v="7"/>
    <x v="3"/>
    <s v="Sales General &amp; Administration "/>
    <x v="80"/>
    <n v="11263.56"/>
    <s v=""/>
    <n v="11263.56"/>
  </r>
  <r>
    <s v="2025-12-10"/>
    <x v="11"/>
    <x v="14"/>
    <x v="3"/>
    <s v="Sales General &amp; Administration "/>
    <x v="98"/>
    <n v="348"/>
    <s v=""/>
    <n v="348"/>
  </r>
  <r>
    <s v="2025-12-10"/>
    <x v="11"/>
    <x v="7"/>
    <x v="3"/>
    <s v="Sales General &amp; Administration "/>
    <x v="80"/>
    <n v="12542.38"/>
    <s v=""/>
    <n v="12542.38"/>
  </r>
  <r>
    <s v="2025-12-10"/>
    <x v="11"/>
    <x v="13"/>
    <x v="2"/>
    <s v="Operational Cost"/>
    <x v="14"/>
    <n v="514"/>
    <s v=""/>
    <n v="514"/>
  </r>
  <r>
    <s v="2025-12-10"/>
    <x v="11"/>
    <x v="13"/>
    <x v="2"/>
    <s v="Operational Cost"/>
    <x v="14"/>
    <n v="2455"/>
    <s v=""/>
    <n v="2455"/>
  </r>
  <r>
    <s v="2025-12-11"/>
    <x v="11"/>
    <x v="42"/>
    <x v="3"/>
    <s v="Sales General &amp; Administration "/>
    <x v="112"/>
    <n v="71000"/>
    <s v=""/>
    <n v="71000"/>
  </r>
  <r>
    <s v="2025-12-11"/>
    <x v="11"/>
    <x v="17"/>
    <x v="0"/>
    <s v="Operational Cost"/>
    <x v="16"/>
    <n v="41315"/>
    <s v=""/>
    <n v="41315"/>
  </r>
  <r>
    <s v="2025-12-11"/>
    <x v="11"/>
    <x v="14"/>
    <x v="3"/>
    <s v="Sales General &amp; Administration "/>
    <x v="98"/>
    <n v="105"/>
    <s v=""/>
    <n v="105"/>
  </r>
  <r>
    <s v="2025-12-11"/>
    <x v="11"/>
    <x v="7"/>
    <x v="3"/>
    <s v="Sales General &amp; Administration "/>
    <x v="12"/>
    <n v="1504"/>
    <s v=""/>
    <n v="1504"/>
  </r>
  <r>
    <s v="2025-12-12"/>
    <x v="11"/>
    <x v="8"/>
    <x v="5"/>
    <s v="Indirect Income"/>
    <x v="7"/>
    <s v=""/>
    <n v="113195.53"/>
    <n v="-113195.53"/>
  </r>
  <r>
    <s v="2025-12-12"/>
    <x v="11"/>
    <x v="19"/>
    <x v="8"/>
    <s v="Sales General &amp; Administration "/>
    <x v="51"/>
    <n v="495.51"/>
    <s v=""/>
    <n v="495.51"/>
  </r>
  <r>
    <s v="2025-12-12"/>
    <x v="11"/>
    <x v="14"/>
    <x v="3"/>
    <s v="Sales General &amp; Administration "/>
    <x v="113"/>
    <n v="13622"/>
    <s v=""/>
    <n v="13622"/>
  </r>
  <r>
    <s v="2025-12-12"/>
    <x v="11"/>
    <x v="11"/>
    <x v="6"/>
    <s v="Operational Cost"/>
    <x v="12"/>
    <n v="1740"/>
    <s v=""/>
    <n v="1740"/>
  </r>
  <r>
    <s v="2025-12-12"/>
    <x v="11"/>
    <x v="10"/>
    <x v="3"/>
    <s v="Operational Cost"/>
    <x v="12"/>
    <n v="3298.87"/>
    <s v=""/>
    <n v="3298.87"/>
  </r>
  <r>
    <s v="2025-12-12"/>
    <x v="11"/>
    <x v="10"/>
    <x v="3"/>
    <s v="Operational Cost"/>
    <x v="12"/>
    <n v="2949.8"/>
    <s v=""/>
    <n v="2949.8"/>
  </r>
  <r>
    <s v="2025-12-12"/>
    <x v="11"/>
    <x v="11"/>
    <x v="6"/>
    <s v="Operational Cost"/>
    <x v="114"/>
    <n v="1091"/>
    <s v=""/>
    <n v="1091"/>
  </r>
  <r>
    <s v="2025-12-12"/>
    <x v="11"/>
    <x v="13"/>
    <x v="2"/>
    <s v="Operational Cost"/>
    <x v="14"/>
    <n v="2775"/>
    <s v=""/>
    <n v="2775"/>
  </r>
  <r>
    <s v="2025-12-12"/>
    <x v="11"/>
    <x v="13"/>
    <x v="2"/>
    <s v="Operational Cost"/>
    <x v="14"/>
    <n v="473"/>
    <s v=""/>
    <n v="473"/>
  </r>
  <r>
    <s v="2025-12-12"/>
    <x v="11"/>
    <x v="14"/>
    <x v="3"/>
    <s v="Sales General &amp; Administration "/>
    <x v="98"/>
    <n v="126"/>
    <s v=""/>
    <n v="126"/>
  </r>
  <r>
    <s v="2025-12-12"/>
    <x v="11"/>
    <x v="14"/>
    <x v="3"/>
    <s v="Sales General &amp; Administration "/>
    <x v="98"/>
    <n v="106"/>
    <s v=""/>
    <n v="106"/>
  </r>
  <r>
    <s v="2025-12-12"/>
    <x v="11"/>
    <x v="7"/>
    <x v="3"/>
    <s v="Sales General &amp; Administration "/>
    <x v="98"/>
    <n v="428"/>
    <s v=""/>
    <n v="428"/>
  </r>
  <r>
    <s v="2025-12-13"/>
    <x v="11"/>
    <x v="10"/>
    <x v="3"/>
    <s v="Operational Cost"/>
    <x v="98"/>
    <n v="1162.3599999999999"/>
    <s v=""/>
    <n v="1162.3599999999999"/>
  </r>
  <r>
    <s v="2025-12-15"/>
    <x v="11"/>
    <x v="17"/>
    <x v="0"/>
    <s v="Operational Cost"/>
    <x v="16"/>
    <n v="204019"/>
    <s v=""/>
    <n v="204019"/>
  </r>
  <r>
    <s v="2025-12-15"/>
    <x v="11"/>
    <x v="7"/>
    <x v="3"/>
    <s v="Sales General &amp; Administration "/>
    <x v="42"/>
    <n v="4720"/>
    <s v=""/>
    <n v="4720"/>
  </r>
  <r>
    <s v="2025-12-15"/>
    <x v="11"/>
    <x v="20"/>
    <x v="3"/>
    <s v="Sales General &amp; Administration "/>
    <x v="57"/>
    <n v="360"/>
    <s v=""/>
    <n v="360"/>
  </r>
  <r>
    <s v="2025-12-15"/>
    <x v="11"/>
    <x v="14"/>
    <x v="3"/>
    <s v="Sales General &amp; Administration "/>
    <x v="81"/>
    <n v="3060"/>
    <s v=""/>
    <n v="3060"/>
  </r>
  <r>
    <s v="2025-12-15"/>
    <x v="11"/>
    <x v="7"/>
    <x v="3"/>
    <s v="Sales General &amp; Administration "/>
    <x v="42"/>
    <n v="3091"/>
    <s v=""/>
    <n v="3091"/>
  </r>
  <r>
    <s v="2025-12-15"/>
    <x v="11"/>
    <x v="14"/>
    <x v="3"/>
    <s v="Sales General &amp; Administration "/>
    <x v="81"/>
    <n v="8320"/>
    <s v=""/>
    <n v="8320"/>
  </r>
  <r>
    <s v="2025-12-15"/>
    <x v="11"/>
    <x v="10"/>
    <x v="3"/>
    <s v="Operational Cost"/>
    <x v="43"/>
    <n v="2375"/>
    <s v=""/>
    <n v="2375"/>
  </r>
  <r>
    <s v="2025-12-15"/>
    <x v="11"/>
    <x v="11"/>
    <x v="6"/>
    <s v="Operational Cost"/>
    <x v="45"/>
    <n v="7107"/>
    <s v=""/>
    <n v="7107"/>
  </r>
  <r>
    <s v="2025-12-15"/>
    <x v="11"/>
    <x v="13"/>
    <x v="2"/>
    <s v="Operational Cost"/>
    <x v="21"/>
    <n v="2793.06"/>
    <s v=""/>
    <n v="2793.06"/>
  </r>
  <r>
    <s v="2025-12-15"/>
    <x v="11"/>
    <x v="13"/>
    <x v="2"/>
    <s v="Operational Cost"/>
    <x v="14"/>
    <n v="3535"/>
    <s v=""/>
    <n v="3535"/>
  </r>
  <r>
    <s v="2025-12-15"/>
    <x v="11"/>
    <x v="13"/>
    <x v="2"/>
    <s v="Operational Cost"/>
    <x v="14"/>
    <n v="8913"/>
    <s v=""/>
    <n v="8913"/>
  </r>
  <r>
    <s v="2025-12-15"/>
    <x v="11"/>
    <x v="14"/>
    <x v="3"/>
    <s v="Sales General &amp; Administration "/>
    <x v="98"/>
    <n v="230"/>
    <s v=""/>
    <n v="230"/>
  </r>
  <r>
    <s v="2025-12-15"/>
    <x v="11"/>
    <x v="14"/>
    <x v="3"/>
    <s v="Sales General &amp; Administration "/>
    <x v="98"/>
    <n v="160"/>
    <s v=""/>
    <n v="160"/>
  </r>
  <r>
    <s v="2025-12-16"/>
    <x v="11"/>
    <x v="13"/>
    <x v="2"/>
    <s v="Operational Cost"/>
    <x v="21"/>
    <n v="3382"/>
    <s v=""/>
    <n v="3382"/>
  </r>
  <r>
    <s v="2025-12-16"/>
    <x v="11"/>
    <x v="14"/>
    <x v="3"/>
    <s v="Sales General &amp; Administration "/>
    <x v="98"/>
    <n v="110"/>
    <s v=""/>
    <n v="110"/>
  </r>
  <r>
    <s v="2025-12-16"/>
    <x v="11"/>
    <x v="10"/>
    <x v="3"/>
    <s v="Operational Cost"/>
    <x v="98"/>
    <n v="1121.96"/>
    <s v=""/>
    <n v="1121.96"/>
  </r>
  <r>
    <s v="2025-12-17"/>
    <x v="11"/>
    <x v="19"/>
    <x v="8"/>
    <s v="Sales General &amp; Administration "/>
    <x v="12"/>
    <n v="33.82"/>
    <s v=""/>
    <n v="33.82"/>
  </r>
  <r>
    <s v="2025-12-17"/>
    <x v="11"/>
    <x v="14"/>
    <x v="3"/>
    <s v="Sales General &amp; Administration "/>
    <x v="115"/>
    <n v="26000"/>
    <s v=""/>
    <n v="26000"/>
  </r>
  <r>
    <s v="2025-12-17"/>
    <x v="11"/>
    <x v="13"/>
    <x v="2"/>
    <s v="Operational Cost"/>
    <x v="14"/>
    <n v="8870"/>
    <s v=""/>
    <n v="8870"/>
  </r>
  <r>
    <s v="2025-12-17"/>
    <x v="11"/>
    <x v="13"/>
    <x v="2"/>
    <s v="Operational Cost"/>
    <x v="14"/>
    <n v="547"/>
    <s v=""/>
    <n v="547"/>
  </r>
  <r>
    <s v="2025-12-17"/>
    <x v="11"/>
    <x v="14"/>
    <x v="3"/>
    <s v="Sales General &amp; Administration "/>
    <x v="98"/>
    <n v="151"/>
    <s v=""/>
    <n v="151"/>
  </r>
  <r>
    <s v="2025-12-17"/>
    <x v="11"/>
    <x v="10"/>
    <x v="3"/>
    <s v="Operational Cost"/>
    <x v="98"/>
    <n v="2688.55"/>
    <s v=""/>
    <n v="2688.55"/>
  </r>
  <r>
    <s v="2025-12-18"/>
    <x v="11"/>
    <x v="13"/>
    <x v="2"/>
    <s v="Operational Cost"/>
    <x v="14"/>
    <n v="1499"/>
    <s v=""/>
    <n v="1499"/>
  </r>
  <r>
    <s v="2025-12-19"/>
    <x v="11"/>
    <x v="7"/>
    <x v="3"/>
    <s v="Sales General &amp; Administration "/>
    <x v="9"/>
    <n v="3850"/>
    <s v=""/>
    <n v="3850"/>
  </r>
  <r>
    <s v="2025-12-19"/>
    <x v="11"/>
    <x v="11"/>
    <x v="6"/>
    <s v="Operational Cost"/>
    <x v="9"/>
    <n v="8500"/>
    <s v=""/>
    <n v="8500"/>
  </r>
  <r>
    <s v="2025-12-20"/>
    <x v="11"/>
    <x v="14"/>
    <x v="3"/>
    <s v="Sales General &amp; Administration "/>
    <x v="116"/>
    <n v="24069"/>
    <s v=""/>
    <n v="24069"/>
  </r>
  <r>
    <s v="2025-12-20"/>
    <x v="11"/>
    <x v="16"/>
    <x v="6"/>
    <s v="Operational Cost"/>
    <x v="15"/>
    <n v="4833"/>
    <s v=""/>
    <n v="4833"/>
  </r>
  <r>
    <s v="2025-12-22"/>
    <x v="11"/>
    <x v="42"/>
    <x v="3"/>
    <s v="Sales General &amp; Administration "/>
    <x v="112"/>
    <n v="35000"/>
    <s v=""/>
    <n v="35000"/>
  </r>
  <r>
    <s v="2025-12-22"/>
    <x v="11"/>
    <x v="13"/>
    <x v="2"/>
    <s v="Operational Cost"/>
    <x v="22"/>
    <n v="6299.14"/>
    <s v=""/>
    <n v="6299.14"/>
  </r>
  <r>
    <s v="2025-12-22"/>
    <x v="11"/>
    <x v="17"/>
    <x v="0"/>
    <s v="Operational Cost"/>
    <x v="16"/>
    <n v="1081"/>
    <s v=""/>
    <n v="1081"/>
  </r>
  <r>
    <s v="2025-12-22"/>
    <x v="11"/>
    <x v="14"/>
    <x v="3"/>
    <s v="Sales General &amp; Administration "/>
    <x v="117"/>
    <n v="32625"/>
    <s v=""/>
    <n v="32625"/>
  </r>
  <r>
    <s v="2025-12-22"/>
    <x v="11"/>
    <x v="13"/>
    <x v="2"/>
    <s v="Operational Cost"/>
    <x v="14"/>
    <n v="5372"/>
    <s v=""/>
    <n v="5372"/>
  </r>
  <r>
    <s v="2025-12-23"/>
    <x v="11"/>
    <x v="13"/>
    <x v="2"/>
    <s v="Operational Cost"/>
    <x v="21"/>
    <n v="2367"/>
    <s v=""/>
    <n v="2367"/>
  </r>
  <r>
    <s v="2025-12-23"/>
    <x v="11"/>
    <x v="14"/>
    <x v="3"/>
    <s v="Sales General &amp; Administration "/>
    <x v="117"/>
    <n v="50600"/>
    <s v=""/>
    <n v="50600"/>
  </r>
  <r>
    <s v="2025-12-23"/>
    <x v="11"/>
    <x v="14"/>
    <x v="3"/>
    <s v="Sales General &amp; Administration "/>
    <x v="118"/>
    <n v="1600"/>
    <s v=""/>
    <n v="1600"/>
  </r>
  <r>
    <s v="2025-12-23"/>
    <x v="11"/>
    <x v="11"/>
    <x v="6"/>
    <s v="Operational Cost"/>
    <x v="9"/>
    <n v="4000"/>
    <s v=""/>
    <n v="4000"/>
  </r>
  <r>
    <s v="2025-12-23"/>
    <x v="11"/>
    <x v="10"/>
    <x v="3"/>
    <s v="Operational Cost"/>
    <x v="119"/>
    <n v="5876"/>
    <s v=""/>
    <n v="5876"/>
  </r>
  <r>
    <s v="2025-12-24"/>
    <x v="11"/>
    <x v="11"/>
    <x v="6"/>
    <s v="Operational Cost"/>
    <x v="12"/>
    <n v="700"/>
    <s v=""/>
    <n v="700"/>
  </r>
  <r>
    <s v="2025-12-24"/>
    <x v="11"/>
    <x v="11"/>
    <x v="6"/>
    <s v="Operational Cost"/>
    <x v="12"/>
    <n v="365.01"/>
    <s v=""/>
    <n v="365.01"/>
  </r>
  <r>
    <s v="2025-12-24"/>
    <x v="11"/>
    <x v="19"/>
    <x v="8"/>
    <s v="Sales General &amp; Administration "/>
    <x v="12"/>
    <n v="23.67"/>
    <s v=""/>
    <n v="23.67"/>
  </r>
  <r>
    <s v="2025-12-26"/>
    <x v="11"/>
    <x v="8"/>
    <x v="5"/>
    <s v="Indirect Income"/>
    <x v="7"/>
    <s v=""/>
    <n v="134271.98000000001"/>
    <n v="-134271.98000000001"/>
  </r>
  <r>
    <s v="2025-12-26"/>
    <x v="11"/>
    <x v="8"/>
    <x v="5"/>
    <s v="Indirect Income"/>
    <x v="7"/>
    <s v=""/>
    <n v="150647.32"/>
    <n v="-150647.32"/>
  </r>
  <r>
    <s v="2025-12-26"/>
    <x v="11"/>
    <x v="11"/>
    <x v="6"/>
    <s v="Operational Cost"/>
    <x v="12"/>
    <n v="650"/>
    <s v=""/>
    <n v="650"/>
  </r>
  <r>
    <s v="2025-12-26"/>
    <x v="11"/>
    <x v="11"/>
    <x v="6"/>
    <s v="Operational Cost"/>
    <x v="12"/>
    <n v="53.09"/>
    <s v=""/>
    <n v="53.09"/>
  </r>
  <r>
    <s v="2025-12-26"/>
    <x v="11"/>
    <x v="11"/>
    <x v="6"/>
    <s v="Operational Cost"/>
    <x v="12"/>
    <n v="1116.52"/>
    <s v=""/>
    <n v="1116.52"/>
  </r>
  <r>
    <s v="2025-12-26"/>
    <x v="11"/>
    <x v="46"/>
    <x v="8"/>
    <s v="Sales General &amp; Administration "/>
    <x v="55"/>
    <n v="1080"/>
    <s v=""/>
    <n v="1080"/>
  </r>
  <r>
    <s v="2025-12-26"/>
    <x v="11"/>
    <x v="46"/>
    <x v="8"/>
    <s v="Sales General &amp; Administration "/>
    <x v="55"/>
    <n v="50707"/>
    <s v=""/>
    <n v="50707"/>
  </r>
  <r>
    <s v="2025-12-26"/>
    <x v="11"/>
    <x v="46"/>
    <x v="8"/>
    <s v="Sales General &amp; Administration "/>
    <x v="55"/>
    <n v="4705.08"/>
    <s v=""/>
    <n v="4705.08"/>
  </r>
  <r>
    <s v="2025-12-26"/>
    <x v="11"/>
    <x v="46"/>
    <x v="8"/>
    <s v="Sales General &amp; Administration "/>
    <x v="55"/>
    <n v="423.46"/>
    <s v=""/>
    <n v="423.46"/>
  </r>
  <r>
    <s v="2025-12-26"/>
    <x v="11"/>
    <x v="46"/>
    <x v="8"/>
    <s v="Sales General &amp; Administration "/>
    <x v="55"/>
    <n v="100"/>
    <s v=""/>
    <n v="100"/>
  </r>
  <r>
    <s v="2025-12-26"/>
    <x v="11"/>
    <x v="46"/>
    <x v="8"/>
    <s v="Sales General &amp; Administration "/>
    <x v="55"/>
    <n v="9"/>
    <s v=""/>
    <n v="9"/>
  </r>
  <r>
    <s v="2025-12-26"/>
    <x v="11"/>
    <x v="46"/>
    <x v="8"/>
    <s v="Sales General &amp; Administration "/>
    <x v="55"/>
    <n v="12000"/>
    <s v=""/>
    <n v="12000"/>
  </r>
  <r>
    <s v="2025-12-26"/>
    <x v="11"/>
    <x v="11"/>
    <x v="6"/>
    <s v="Operational Cost"/>
    <x v="9"/>
    <n v="2659"/>
    <s v=""/>
    <n v="2659"/>
  </r>
  <r>
    <s v="2025-12-27"/>
    <x v="11"/>
    <x v="13"/>
    <x v="2"/>
    <s v="Operational Cost"/>
    <x v="21"/>
    <n v="1499"/>
    <s v=""/>
    <n v="1499"/>
  </r>
  <r>
    <s v="2025-12-27"/>
    <x v="11"/>
    <x v="10"/>
    <x v="3"/>
    <s v="Operational Cost"/>
    <x v="98"/>
    <n v="1177.51"/>
    <s v=""/>
    <n v="1177.51"/>
  </r>
  <r>
    <s v="2025-12-28"/>
    <x v="11"/>
    <x v="14"/>
    <x v="3"/>
    <s v="Sales General &amp; Administration "/>
    <x v="98"/>
    <n v="581"/>
    <s v=""/>
    <n v="581"/>
  </r>
  <r>
    <s v="2025-12-29"/>
    <x v="11"/>
    <x v="10"/>
    <x v="3"/>
    <s v="Operational Cost"/>
    <x v="9"/>
    <n v="900"/>
    <s v=""/>
    <n v="900"/>
  </r>
  <r>
    <s v="2025-12-29"/>
    <x v="11"/>
    <x v="14"/>
    <x v="3"/>
    <s v="Sales General &amp; Administration "/>
    <x v="98"/>
    <n v="115"/>
    <s v=""/>
    <n v="115"/>
  </r>
  <r>
    <s v="2025-12-30"/>
    <x v="11"/>
    <x v="14"/>
    <x v="3"/>
    <s v="Sales General &amp; Administration "/>
    <x v="120"/>
    <n v="6000"/>
    <s v=""/>
    <n v="6000"/>
  </r>
  <r>
    <s v="2025-12-30"/>
    <x v="11"/>
    <x v="23"/>
    <x v="2"/>
    <s v="Operational Cost"/>
    <x v="25"/>
    <n v="1000"/>
    <s v=""/>
    <n v="1000"/>
  </r>
  <r>
    <s v="2025-12-30"/>
    <x v="11"/>
    <x v="24"/>
    <x v="9"/>
    <s v="Sales General &amp; Administration "/>
    <x v="26"/>
    <n v="160000"/>
    <s v=""/>
    <n v="160000"/>
  </r>
  <r>
    <s v="2025-12-30"/>
    <x v="11"/>
    <x v="25"/>
    <x v="7"/>
    <s v="Operational Cost"/>
    <x v="27"/>
    <n v="12000"/>
    <s v=""/>
    <n v="12000"/>
  </r>
  <r>
    <s v="2025-12-30"/>
    <x v="11"/>
    <x v="27"/>
    <x v="3"/>
    <s v="Sales General &amp; Administration "/>
    <x v="29"/>
    <n v="46200"/>
    <s v=""/>
    <n v="46200"/>
  </r>
  <r>
    <s v="2025-12-30"/>
    <x v="11"/>
    <x v="28"/>
    <x v="3"/>
    <s v="Sales General &amp; Administration "/>
    <x v="30"/>
    <n v="293709"/>
    <s v=""/>
    <n v="293709"/>
  </r>
  <r>
    <s v="2025-12-30"/>
    <x v="11"/>
    <x v="29"/>
    <x v="7"/>
    <s v="Operational Cost"/>
    <x v="31"/>
    <n v="6323574"/>
    <s v=""/>
    <n v="6323574"/>
  </r>
  <r>
    <s v="2025-12-30"/>
    <x v="11"/>
    <x v="30"/>
    <x v="7"/>
    <s v="Operational Cost"/>
    <x v="32"/>
    <n v="3428387"/>
    <s v=""/>
    <n v="3428387"/>
  </r>
  <r>
    <s v="2025-12-30"/>
    <x v="11"/>
    <x v="31"/>
    <x v="3"/>
    <s v="Sales General &amp; Administration "/>
    <x v="33"/>
    <n v="479345"/>
    <s v=""/>
    <n v="479345"/>
  </r>
  <r>
    <s v="2025-12-30"/>
    <x v="11"/>
    <x v="32"/>
    <x v="3"/>
    <s v="Sales General &amp; Administration "/>
    <x v="34"/>
    <n v="479345"/>
    <s v=""/>
    <n v="479345"/>
  </r>
  <r>
    <s v="2025-12-30"/>
    <x v="11"/>
    <x v="33"/>
    <x v="3"/>
    <s v="Sales General &amp; Administration "/>
    <x v="35"/>
    <n v="22799"/>
    <s v=""/>
    <n v="22799"/>
  </r>
  <r>
    <s v="2025-12-30"/>
    <x v="11"/>
    <x v="34"/>
    <x v="3"/>
    <s v="Sales General &amp; Administration "/>
    <x v="36"/>
    <n v="5284"/>
    <s v=""/>
    <n v="5284"/>
  </r>
  <r>
    <s v="2025-12-30"/>
    <x v="11"/>
    <x v="35"/>
    <x v="10"/>
    <s v="Sales General &amp; Administration "/>
    <x v="37"/>
    <n v="106479"/>
    <s v=""/>
    <n v="106479"/>
  </r>
  <r>
    <s v="2025-12-30"/>
    <x v="11"/>
    <x v="36"/>
    <x v="9"/>
    <s v="Sales General &amp; Administration "/>
    <x v="38"/>
    <n v="69728"/>
    <s v=""/>
    <n v="69728"/>
  </r>
  <r>
    <s v="2025-12-30"/>
    <x v="11"/>
    <x v="37"/>
    <x v="9"/>
    <s v="Sales General &amp; Administration "/>
    <x v="39"/>
    <n v="91440"/>
    <s v=""/>
    <n v="91440"/>
  </r>
  <r>
    <s v="2025-12-30"/>
    <x v="11"/>
    <x v="38"/>
    <x v="9"/>
    <s v="Sales General &amp; Administration "/>
    <x v="40"/>
    <n v="78606"/>
    <s v=""/>
    <n v="78606"/>
  </r>
  <r>
    <s v="2025-12-30"/>
    <x v="11"/>
    <x v="39"/>
    <x v="3"/>
    <s v="Sales General &amp; Administration "/>
    <x v="41"/>
    <n v="72328"/>
    <s v=""/>
    <n v="72328"/>
  </r>
  <r>
    <s v="2025-12-31"/>
    <x v="11"/>
    <x v="26"/>
    <x v="3"/>
    <s v="Sales General &amp; Administration "/>
    <x v="92"/>
    <n v="14000"/>
    <s v=""/>
    <n v="14000"/>
  </r>
  <r>
    <s v="2025-12-31"/>
    <x v="11"/>
    <x v="14"/>
    <x v="3"/>
    <s v="Sales General &amp; Administration "/>
    <x v="121"/>
    <n v="441"/>
    <s v=""/>
    <n v="441"/>
  </r>
  <r>
    <s v="2025-12-31"/>
    <x v="11"/>
    <x v="21"/>
    <x v="0"/>
    <s v="Operational Cost"/>
    <x v="20"/>
    <n v="181117.09"/>
    <s v=""/>
    <n v="181117.09"/>
  </r>
  <r>
    <s v="2025-12-31"/>
    <x v="11"/>
    <x v="26"/>
    <x v="3"/>
    <s v="Sales General &amp; Administration "/>
    <x v="107"/>
    <n v="32000"/>
    <s v=""/>
    <n v="32000"/>
  </r>
  <r>
    <s v="2025-12-31"/>
    <x v="11"/>
    <x v="11"/>
    <x v="6"/>
    <s v="Operational Cost"/>
    <x v="9"/>
    <n v="880"/>
    <s v=""/>
    <n v="880"/>
  </r>
  <r>
    <s v="2025-12-31"/>
    <x v="11"/>
    <x v="23"/>
    <x v="2"/>
    <s v="Operational Cost"/>
    <x v="89"/>
    <n v="8241.77"/>
    <s v=""/>
    <n v="8241.77"/>
  </r>
  <r>
    <s v="2025-12-31"/>
    <x v="11"/>
    <x v="7"/>
    <x v="3"/>
    <s v="Sales General &amp; Administration "/>
    <x v="42"/>
    <n v="2000"/>
    <s v=""/>
    <n v="2000"/>
  </r>
  <r>
    <s v="2025-12-31"/>
    <x v="11"/>
    <x v="11"/>
    <x v="6"/>
    <s v="Operational Cost"/>
    <x v="45"/>
    <n v="3000"/>
    <s v=""/>
    <n v="3000"/>
  </r>
  <r>
    <s v="2025-12-31"/>
    <x v="11"/>
    <x v="14"/>
    <x v="3"/>
    <s v="Sales General &amp; Administration "/>
    <x v="98"/>
    <n v="140"/>
    <s v=""/>
    <n v="140"/>
  </r>
  <r>
    <s v="2025-12-31"/>
    <x v="11"/>
    <x v="10"/>
    <x v="3"/>
    <s v="Operational Cost"/>
    <x v="98"/>
    <n v="134.47999999999999"/>
    <s v=""/>
    <n v="134.47999999999999"/>
  </r>
  <r>
    <s v="2025-12-31"/>
    <x v="11"/>
    <x v="10"/>
    <x v="3"/>
    <s v="Operational Cost"/>
    <x v="98"/>
    <n v="124.38"/>
    <s v=""/>
    <n v="124.38"/>
  </r>
  <r>
    <s v="2025-12-31"/>
    <x v="11"/>
    <x v="14"/>
    <x v="3"/>
    <s v="Sales General &amp; Administration "/>
    <x v="98"/>
    <n v="125.96"/>
    <s v=""/>
    <n v="125.96"/>
  </r>
  <r>
    <s v="2026-01-01"/>
    <x v="12"/>
    <x v="4"/>
    <x v="2"/>
    <s v="Operational Cost"/>
    <x v="3"/>
    <n v="17400"/>
    <s v=""/>
    <n v="17400"/>
  </r>
  <r>
    <s v="2026-01-01"/>
    <x v="12"/>
    <x v="52"/>
    <x v="0"/>
    <s v="Operational Cost"/>
    <x v="82"/>
    <n v="400000"/>
    <s v=""/>
    <n v="400000"/>
  </r>
  <r>
    <s v="2026-01-01"/>
    <x v="12"/>
    <x v="46"/>
    <x v="8"/>
    <s v="Sales General &amp; Administration "/>
    <x v="55"/>
    <n v="58759"/>
    <s v=""/>
    <n v="58759"/>
  </r>
  <r>
    <s v="2026-01-01"/>
    <x v="12"/>
    <x v="50"/>
    <x v="1"/>
    <s v="Sales General &amp; Administration "/>
    <x v="66"/>
    <n v="5000"/>
    <s v=""/>
    <n v="5000"/>
  </r>
  <r>
    <s v="2026-01-01"/>
    <x v="12"/>
    <x v="1"/>
    <x v="0"/>
    <s v="Operational Cost"/>
    <x v="0"/>
    <n v="68360"/>
    <s v=""/>
    <n v="68360"/>
  </r>
  <r>
    <s v="2026-01-01"/>
    <x v="12"/>
    <x v="0"/>
    <x v="0"/>
    <s v="Operational Cost"/>
    <x v="0"/>
    <n v="395769"/>
    <s v=""/>
    <n v="395769"/>
  </r>
  <r>
    <s v="2026-01-01"/>
    <x v="12"/>
    <x v="3"/>
    <x v="1"/>
    <s v="Sales General &amp; Administration "/>
    <x v="2"/>
    <n v="125000"/>
    <s v=""/>
    <n v="125000"/>
  </r>
  <r>
    <s v="2026-01-01"/>
    <x v="12"/>
    <x v="7"/>
    <x v="3"/>
    <s v="Sales General &amp; Administration "/>
    <x v="99"/>
    <n v="3178.5"/>
    <s v=""/>
    <n v="3178.5"/>
  </r>
  <r>
    <s v="2026-01-01"/>
    <x v="12"/>
    <x v="58"/>
    <x v="3"/>
    <s v="Sales General &amp; Administration "/>
    <x v="122"/>
    <n v="28090"/>
    <s v=""/>
    <n v="28090"/>
  </r>
  <r>
    <s v="2026-01-01"/>
    <x v="12"/>
    <x v="14"/>
    <x v="3"/>
    <s v="Sales General &amp; Administration "/>
    <x v="98"/>
    <n v="110"/>
    <s v=""/>
    <n v="110"/>
  </r>
  <r>
    <s v="2026-01-01"/>
    <x v="12"/>
    <x v="7"/>
    <x v="3"/>
    <s v="Sales General &amp; Administration "/>
    <x v="98"/>
    <n v="1105.9000000000001"/>
    <s v=""/>
    <n v="1105.9000000000001"/>
  </r>
  <r>
    <s v="2026-01-01"/>
    <x v="12"/>
    <x v="23"/>
    <x v="2"/>
    <s v="Operational Cost"/>
    <x v="123"/>
    <n v="792"/>
    <s v=""/>
    <n v="792"/>
  </r>
  <r>
    <s v="2026-01-01"/>
    <x v="12"/>
    <x v="23"/>
    <x v="2"/>
    <s v="Operational Cost"/>
    <x v="123"/>
    <n v="126.24"/>
    <s v=""/>
    <n v="126.24"/>
  </r>
  <r>
    <s v="2026-01-01"/>
    <x v="12"/>
    <x v="23"/>
    <x v="2"/>
    <s v="Operational Cost"/>
    <x v="123"/>
    <n v="49.1"/>
    <s v=""/>
    <n v="49.1"/>
  </r>
  <r>
    <s v="2026-01-01"/>
    <x v="12"/>
    <x v="13"/>
    <x v="2"/>
    <s v="Operational Cost"/>
    <x v="14"/>
    <n v="9147"/>
    <s v=""/>
    <n v="9147"/>
  </r>
  <r>
    <s v="2026-01-01"/>
    <x v="12"/>
    <x v="13"/>
    <x v="2"/>
    <s v="Operational Cost"/>
    <x v="14"/>
    <n v="577"/>
    <s v=""/>
    <n v="577"/>
  </r>
  <r>
    <s v="2026-01-01"/>
    <x v="12"/>
    <x v="10"/>
    <x v="3"/>
    <s v="Operational Cost"/>
    <x v="98"/>
    <s v=""/>
    <n v="45.81"/>
    <n v="-45.81"/>
  </r>
  <r>
    <s v="2026-01-01"/>
    <x v="12"/>
    <x v="13"/>
    <x v="2"/>
    <s v="Operational Cost"/>
    <x v="23"/>
    <n v="10000"/>
    <s v=""/>
    <n v="10000"/>
  </r>
  <r>
    <s v="2026-01-02"/>
    <x v="12"/>
    <x v="10"/>
    <x v="3"/>
    <s v="Operational Cost"/>
    <x v="124"/>
    <n v="22400"/>
    <s v=""/>
    <n v="22400"/>
  </r>
  <r>
    <s v="2026-01-02"/>
    <x v="12"/>
    <x v="6"/>
    <x v="4"/>
    <s v="Operational Cost"/>
    <x v="5"/>
    <n v="297200"/>
    <s v=""/>
    <n v="297200"/>
  </r>
  <r>
    <s v="2026-01-02"/>
    <x v="12"/>
    <x v="14"/>
    <x v="3"/>
    <s v="Sales General &amp; Administration "/>
    <x v="98"/>
    <n v="106"/>
    <s v=""/>
    <n v="106"/>
  </r>
  <r>
    <s v="2026-01-02"/>
    <x v="12"/>
    <x v="16"/>
    <x v="6"/>
    <s v="Operational Cost"/>
    <x v="15"/>
    <n v="5605"/>
    <s v=""/>
    <n v="5605"/>
  </r>
  <r>
    <s v="2026-01-02"/>
    <x v="12"/>
    <x v="7"/>
    <x v="3"/>
    <s v="Sales General &amp; Administration "/>
    <x v="98"/>
    <n v="570"/>
    <s v=""/>
    <n v="570"/>
  </r>
  <r>
    <s v="2026-01-02"/>
    <x v="12"/>
    <x v="8"/>
    <x v="5"/>
    <s v="Indirect Income"/>
    <x v="7"/>
    <s v=""/>
    <n v="44317.9"/>
    <n v="-44317.9"/>
  </r>
  <r>
    <s v="2026-01-03"/>
    <x v="12"/>
    <x v="18"/>
    <x v="0"/>
    <s v="Operational Cost"/>
    <x v="17"/>
    <n v="26250"/>
    <s v=""/>
    <n v="26250"/>
  </r>
  <r>
    <s v="2026-01-03"/>
    <x v="12"/>
    <x v="9"/>
    <x v="2"/>
    <s v="Operational Cost"/>
    <x v="8"/>
    <n v="23333"/>
    <s v=""/>
    <n v="23333"/>
  </r>
  <r>
    <s v="2026-01-03"/>
    <x v="12"/>
    <x v="9"/>
    <x v="2"/>
    <s v="Operational Cost"/>
    <x v="8"/>
    <n v="10417"/>
    <s v=""/>
    <n v="10417"/>
  </r>
  <r>
    <s v="2026-01-03"/>
    <x v="12"/>
    <x v="9"/>
    <x v="2"/>
    <s v="Operational Cost"/>
    <x v="8"/>
    <n v="9167"/>
    <s v=""/>
    <n v="9167"/>
  </r>
  <r>
    <d v="2025-12-31T00:00:00"/>
    <x v="11"/>
    <x v="6"/>
    <x v="4"/>
    <s v="Operational Cost"/>
    <x v="104"/>
    <n v="111150"/>
    <s v=""/>
    <n v="111150"/>
  </r>
  <r>
    <s v="2026-01-05"/>
    <x v="12"/>
    <x v="14"/>
    <x v="3"/>
    <s v="Sales General &amp; Administration "/>
    <x v="98"/>
    <n v="390"/>
    <s v=""/>
    <n v="390"/>
  </r>
  <r>
    <s v="2026-01-05"/>
    <x v="12"/>
    <x v="59"/>
    <x v="3"/>
    <s v="Sales General &amp; Administration "/>
    <x v="9"/>
    <n v="20000"/>
    <s v=""/>
    <n v="20000"/>
  </r>
  <r>
    <s v="2026-01-05"/>
    <x v="12"/>
    <x v="10"/>
    <x v="3"/>
    <s v="Operational Cost"/>
    <x v="98"/>
    <n v="955.31"/>
    <s v=""/>
    <n v="955.31"/>
  </r>
  <r>
    <s v="2026-01-06"/>
    <x v="12"/>
    <x v="7"/>
    <x v="3"/>
    <s v="Sales General &amp; Administration "/>
    <x v="6"/>
    <n v="15599.5"/>
    <s v=""/>
    <n v="15599.5"/>
  </r>
  <r>
    <s v="2026-01-06"/>
    <x v="12"/>
    <x v="13"/>
    <x v="2"/>
    <s v="Operational Cost"/>
    <x v="14"/>
    <n v="2479"/>
    <s v=""/>
    <n v="2479"/>
  </r>
  <r>
    <s v="2026-01-07"/>
    <x v="12"/>
    <x v="14"/>
    <x v="3"/>
    <s v="Sales General &amp; Administration "/>
    <x v="98"/>
    <n v="150"/>
    <s v=""/>
    <n v="150"/>
  </r>
  <r>
    <s v="2026-01-07"/>
    <x v="12"/>
    <x v="16"/>
    <x v="6"/>
    <s v="Operational Cost"/>
    <x v="15"/>
    <n v="59099"/>
    <s v=""/>
    <n v="59099"/>
  </r>
  <r>
    <s v="2026-01-07"/>
    <x v="12"/>
    <x v="12"/>
    <x v="7"/>
    <s v="Operational Cost"/>
    <x v="9"/>
    <n v="15000"/>
    <s v=""/>
    <n v="15000"/>
  </r>
  <r>
    <s v="2026-01-08"/>
    <x v="12"/>
    <x v="23"/>
    <x v="2"/>
    <s v="Operational Cost"/>
    <x v="89"/>
    <n v="15000"/>
    <s v=""/>
    <n v="15000"/>
  </r>
  <r>
    <s v="2026-01-08"/>
    <x v="12"/>
    <x v="55"/>
    <x v="0"/>
    <s v="Operational Cost"/>
    <x v="101"/>
    <n v="25000"/>
    <s v=""/>
    <n v="25000"/>
  </r>
  <r>
    <s v="2026-01-08"/>
    <x v="12"/>
    <x v="14"/>
    <x v="3"/>
    <s v="Sales General &amp; Administration "/>
    <x v="98"/>
    <n v="140"/>
    <s v=""/>
    <n v="140"/>
  </r>
  <r>
    <s v="2026-01-08"/>
    <x v="12"/>
    <x v="7"/>
    <x v="3"/>
    <s v="Sales General &amp; Administration "/>
    <x v="98"/>
    <n v="590"/>
    <s v=""/>
    <n v="590"/>
  </r>
  <r>
    <s v="2026-01-09"/>
    <x v="12"/>
    <x v="15"/>
    <x v="2"/>
    <s v="Operational Cost"/>
    <x v="19"/>
    <n v="1298"/>
    <s v=""/>
    <n v="1298"/>
  </r>
  <r>
    <s v="2026-01-09"/>
    <x v="12"/>
    <x v="15"/>
    <x v="2"/>
    <s v="Operational Cost"/>
    <x v="19"/>
    <n v="923.82"/>
    <s v=""/>
    <n v="923.82"/>
  </r>
  <r>
    <s v="2026-01-09"/>
    <x v="12"/>
    <x v="14"/>
    <x v="3"/>
    <s v="Sales General &amp; Administration "/>
    <x v="98"/>
    <n v="140"/>
    <s v=""/>
    <n v="140"/>
  </r>
  <r>
    <s v="2026-01-09"/>
    <x v="12"/>
    <x v="14"/>
    <x v="3"/>
    <s v="Sales General &amp; Administration "/>
    <x v="98"/>
    <n v="181"/>
    <s v=""/>
    <n v="181"/>
  </r>
  <r>
    <s v="2026-01-09"/>
    <x v="12"/>
    <x v="14"/>
    <x v="3"/>
    <s v="Sales General &amp; Administration "/>
    <x v="98"/>
    <n v="170"/>
    <s v=""/>
    <n v="170"/>
  </r>
  <r>
    <s v="2026-01-09"/>
    <x v="12"/>
    <x v="11"/>
    <x v="6"/>
    <s v="Operational Cost"/>
    <x v="9"/>
    <n v="19985"/>
    <s v=""/>
    <n v="19985"/>
  </r>
  <r>
    <s v="2026-01-09"/>
    <x v="12"/>
    <x v="11"/>
    <x v="6"/>
    <s v="Operational Cost"/>
    <x v="9"/>
    <n v="400"/>
    <s v=""/>
    <n v="400"/>
  </r>
  <r>
    <s v="2026-01-09"/>
    <x v="12"/>
    <x v="17"/>
    <x v="0"/>
    <s v="Operational Cost"/>
    <x v="101"/>
    <n v="974"/>
    <s v=""/>
    <n v="974"/>
  </r>
  <r>
    <s v="2026-01-09"/>
    <x v="12"/>
    <x v="11"/>
    <x v="6"/>
    <s v="Operational Cost"/>
    <x v="9"/>
    <n v="2000"/>
    <s v=""/>
    <n v="2000"/>
  </r>
  <r>
    <s v="2026-01-09"/>
    <x v="12"/>
    <x v="13"/>
    <x v="2"/>
    <s v="Operational Cost"/>
    <x v="14"/>
    <n v="8350"/>
    <s v=""/>
    <n v="8350"/>
  </r>
  <r>
    <s v="2026-01-09"/>
    <x v="12"/>
    <x v="7"/>
    <x v="3"/>
    <s v="Sales General &amp; Administration "/>
    <x v="9"/>
    <n v="1132"/>
    <s v=""/>
    <n v="1132"/>
  </r>
  <r>
    <s v="2026-01-09"/>
    <x v="12"/>
    <x v="7"/>
    <x v="3"/>
    <s v="Sales General &amp; Administration "/>
    <x v="9"/>
    <n v="2266"/>
    <s v=""/>
    <n v="2266"/>
  </r>
  <r>
    <s v="2026-01-10"/>
    <x v="12"/>
    <x v="10"/>
    <x v="3"/>
    <s v="Operational Cost"/>
    <x v="98"/>
    <n v="1190.6099999999999"/>
    <s v=""/>
    <n v="1190.6099999999999"/>
  </r>
  <r>
    <s v="2026-01-11"/>
    <x v="12"/>
    <x v="14"/>
    <x v="3"/>
    <s v="Sales General &amp; Administration "/>
    <x v="98"/>
    <n v="120"/>
    <s v=""/>
    <n v="120"/>
  </r>
  <r>
    <s v="2026-01-12"/>
    <x v="12"/>
    <x v="13"/>
    <x v="2"/>
    <s v="Operational Cost"/>
    <x v="14"/>
    <n v="2775"/>
    <s v=""/>
    <n v="2775"/>
  </r>
  <r>
    <s v="2026-01-12"/>
    <x v="12"/>
    <x v="13"/>
    <x v="2"/>
    <s v="Operational Cost"/>
    <x v="23"/>
    <n v="12000"/>
    <s v=""/>
    <n v="12000"/>
  </r>
  <r>
    <s v="2026-01-13"/>
    <x v="12"/>
    <x v="14"/>
    <x v="3"/>
    <s v="Sales General &amp; Administration "/>
    <x v="12"/>
    <n v="230"/>
    <s v=""/>
    <n v="230"/>
  </r>
  <r>
    <s v="2026-01-13"/>
    <x v="12"/>
    <x v="7"/>
    <x v="3"/>
    <s v="Sales General &amp; Administration "/>
    <x v="9"/>
    <s v=""/>
    <n v="230"/>
    <n v="-230"/>
  </r>
  <r>
    <s v="2026-01-13"/>
    <x v="12"/>
    <x v="7"/>
    <x v="3"/>
    <s v="Sales General &amp; Administration "/>
    <x v="12"/>
    <n v="1000"/>
    <s v=""/>
    <n v="1000"/>
  </r>
  <r>
    <s v="2026-01-14"/>
    <x v="12"/>
    <x v="19"/>
    <x v="8"/>
    <s v="Sales General &amp; Administration "/>
    <x v="55"/>
    <n v="672.79"/>
    <s v=""/>
    <n v="672.79"/>
  </r>
  <r>
    <s v="2026-01-15"/>
    <x v="12"/>
    <x v="13"/>
    <x v="2"/>
    <s v="Operational Cost"/>
    <x v="21"/>
    <n v="2793.06"/>
    <s v=""/>
    <n v="2793.06"/>
  </r>
  <r>
    <s v="2026-01-15"/>
    <x v="12"/>
    <x v="13"/>
    <x v="2"/>
    <s v="Operational Cost"/>
    <x v="14"/>
    <n v="3535"/>
    <s v=""/>
    <n v="3535"/>
  </r>
  <r>
    <s v="2026-01-15"/>
    <x v="12"/>
    <x v="13"/>
    <x v="2"/>
    <s v="Operational Cost"/>
    <x v="14"/>
    <n v="8913"/>
    <s v=""/>
    <n v="8913"/>
  </r>
  <r>
    <s v="2026-01-16"/>
    <x v="12"/>
    <x v="13"/>
    <x v="2"/>
    <s v="Operational Cost"/>
    <x v="21"/>
    <n v="3382"/>
    <s v=""/>
    <n v="3382"/>
  </r>
  <r>
    <s v="2026-01-17"/>
    <x v="12"/>
    <x v="19"/>
    <x v="8"/>
    <s v="Sales General &amp; Administration "/>
    <x v="12"/>
    <n v="33.82"/>
    <s v=""/>
    <n v="33.82"/>
  </r>
  <r>
    <s v="2026-01-18"/>
    <x v="12"/>
    <x v="13"/>
    <x v="2"/>
    <s v="Operational Cost"/>
    <x v="14"/>
    <n v="1499"/>
    <s v=""/>
    <n v="1499"/>
  </r>
  <r>
    <s v="2026-01-18"/>
    <x v="12"/>
    <x v="17"/>
    <x v="0"/>
    <s v="Operational Cost"/>
    <x v="16"/>
    <n v="180086"/>
    <s v=""/>
    <n v="180086"/>
  </r>
  <r>
    <s v="2026-01-19"/>
    <x v="12"/>
    <x v="11"/>
    <x v="6"/>
    <s v="Operational Cost"/>
    <x v="9"/>
    <n v="800"/>
    <s v=""/>
    <n v="800"/>
  </r>
  <r>
    <s v="2026-01-19"/>
    <x v="12"/>
    <x v="11"/>
    <x v="6"/>
    <s v="Operational Cost"/>
    <x v="9"/>
    <n v="2435"/>
    <s v=""/>
    <n v="2435"/>
  </r>
  <r>
    <s v="2026-01-19"/>
    <x v="12"/>
    <x v="14"/>
    <x v="3"/>
    <s v="Sales General &amp; Administration "/>
    <x v="51"/>
    <n v="589.5"/>
    <s v=""/>
    <n v="589.5"/>
  </r>
  <r>
    <s v="2026-01-19"/>
    <x v="12"/>
    <x v="13"/>
    <x v="2"/>
    <s v="Operational Cost"/>
    <x v="23"/>
    <n v="10000"/>
    <s v=""/>
    <n v="10000"/>
  </r>
  <r>
    <s v="2026-01-20"/>
    <x v="12"/>
    <x v="7"/>
    <x v="3"/>
    <s v="Sales General &amp; Administration "/>
    <x v="125"/>
    <n v="9401.73"/>
    <s v=""/>
    <n v="9401.73"/>
  </r>
  <r>
    <s v="2026-01-20"/>
    <x v="12"/>
    <x v="11"/>
    <x v="6"/>
    <s v="Operational Cost"/>
    <x v="9"/>
    <n v="2888"/>
    <s v=""/>
    <n v="2888"/>
  </r>
  <r>
    <s v="2026-01-20"/>
    <x v="12"/>
    <x v="16"/>
    <x v="6"/>
    <s v="Operational Cost"/>
    <x v="15"/>
    <n v="4833"/>
    <s v=""/>
    <n v="4833"/>
  </r>
  <r>
    <s v="2026-01-21"/>
    <x v="12"/>
    <x v="7"/>
    <x v="3"/>
    <s v="Sales General &amp; Administration "/>
    <x v="9"/>
    <n v="4000"/>
    <s v=""/>
    <n v="4000"/>
  </r>
  <r>
    <s v="2026-01-22"/>
    <x v="12"/>
    <x v="23"/>
    <x v="2"/>
    <s v="Operational Cost"/>
    <x v="89"/>
    <n v="17542.650000000001"/>
    <s v=""/>
    <n v="17542.650000000001"/>
  </r>
  <r>
    <s v="2026-01-22"/>
    <x v="12"/>
    <x v="11"/>
    <x v="6"/>
    <s v="Operational Cost"/>
    <x v="12"/>
    <n v="900"/>
    <s v=""/>
    <n v="900"/>
  </r>
  <r>
    <s v="2026-01-22"/>
    <x v="12"/>
    <x v="11"/>
    <x v="6"/>
    <s v="Operational Cost"/>
    <x v="12"/>
    <n v="1070"/>
    <s v=""/>
    <n v="1070"/>
  </r>
  <r>
    <s v="2026-01-22"/>
    <x v="12"/>
    <x v="11"/>
    <x v="6"/>
    <s v="Operational Cost"/>
    <x v="12"/>
    <n v="929.58"/>
    <s v=""/>
    <n v="929.58"/>
  </r>
  <r>
    <s v="2026-01-22"/>
    <x v="12"/>
    <x v="11"/>
    <x v="6"/>
    <s v="Operational Cost"/>
    <x v="12"/>
    <n v="965.32"/>
    <s v=""/>
    <n v="965.32"/>
  </r>
  <r>
    <s v="2026-01-22"/>
    <x v="12"/>
    <x v="13"/>
    <x v="2"/>
    <s v="Operational Cost"/>
    <x v="22"/>
    <n v="6299.14"/>
    <s v=""/>
    <n v="6299.14"/>
  </r>
  <r>
    <s v="2026-01-22"/>
    <x v="12"/>
    <x v="13"/>
    <x v="2"/>
    <s v="Operational Cost"/>
    <x v="14"/>
    <n v="5372"/>
    <s v=""/>
    <n v="5372"/>
  </r>
  <r>
    <s v="2026-01-23"/>
    <x v="12"/>
    <x v="13"/>
    <x v="2"/>
    <s v="Operational Cost"/>
    <x v="21"/>
    <n v="2367"/>
    <s v=""/>
    <n v="2367"/>
  </r>
  <r>
    <s v="2026-01-23"/>
    <x v="12"/>
    <x v="7"/>
    <x v="3"/>
    <s v="Sales General &amp; Administration "/>
    <x v="12"/>
    <n v="1008"/>
    <s v=""/>
    <n v="1008"/>
  </r>
  <r>
    <s v="2026-01-24"/>
    <x v="12"/>
    <x v="19"/>
    <x v="8"/>
    <s v="Sales General &amp; Administration "/>
    <x v="12"/>
    <n v="23.67"/>
    <s v=""/>
    <n v="23.67"/>
  </r>
  <r>
    <s v="2026-01-27"/>
    <x v="12"/>
    <x v="13"/>
    <x v="2"/>
    <s v="Operational Cost"/>
    <x v="21"/>
    <n v="1499"/>
    <s v=""/>
    <n v="1499"/>
  </r>
  <r>
    <s v="2026-01-27"/>
    <x v="12"/>
    <x v="8"/>
    <x v="5"/>
    <s v="Indirect Income"/>
    <x v="7"/>
    <s v=""/>
    <n v="271911.46999999997"/>
    <n v="-271911.46999999997"/>
  </r>
  <r>
    <s v="2026-01-27"/>
    <x v="12"/>
    <x v="8"/>
    <x v="5"/>
    <s v="Indirect Income"/>
    <x v="7"/>
    <s v=""/>
    <n v="258419.23"/>
    <n v="-258419.23"/>
  </r>
  <r>
    <s v="2026-01-28"/>
    <x v="12"/>
    <x v="11"/>
    <x v="6"/>
    <s v="Operational Cost"/>
    <x v="12"/>
    <n v="1770"/>
    <s v=""/>
    <n v="1770"/>
  </r>
  <r>
    <s v="2026-01-28"/>
    <x v="12"/>
    <x v="11"/>
    <x v="6"/>
    <s v="Operational Cost"/>
    <x v="12"/>
    <n v="450"/>
    <s v=""/>
    <n v="450"/>
  </r>
  <r>
    <s v="2026-01-28"/>
    <x v="12"/>
    <x v="11"/>
    <x v="6"/>
    <s v="Operational Cost"/>
    <x v="12"/>
    <n v="378.73"/>
    <s v=""/>
    <n v="378.73"/>
  </r>
  <r>
    <s v="2026-01-28"/>
    <x v="12"/>
    <x v="11"/>
    <x v="6"/>
    <s v="Operational Cost"/>
    <x v="9"/>
    <n v="738"/>
    <s v=""/>
    <n v="738"/>
  </r>
  <r>
    <s v="2026-01-28"/>
    <x v="12"/>
    <x v="19"/>
    <x v="8"/>
    <s v="Sales General &amp; Administration "/>
    <x v="9"/>
    <n v="590"/>
    <s v=""/>
    <n v="590"/>
  </r>
  <r>
    <s v="2026-01-28"/>
    <x v="12"/>
    <x v="58"/>
    <x v="3"/>
    <s v="Sales General &amp; Administration "/>
    <x v="122"/>
    <n v="279"/>
    <s v=""/>
    <n v="279"/>
  </r>
  <r>
    <s v="2026-01-29"/>
    <x v="12"/>
    <x v="11"/>
    <x v="6"/>
    <s v="Operational Cost"/>
    <x v="12"/>
    <n v="1670"/>
    <s v=""/>
    <n v="1670"/>
  </r>
  <r>
    <s v="2026-01-29"/>
    <x v="12"/>
    <x v="11"/>
    <x v="6"/>
    <s v="Operational Cost"/>
    <x v="12"/>
    <n v="1133.8499999999999"/>
    <s v=""/>
    <n v="1133.8499999999999"/>
  </r>
  <r>
    <s v="2026-01-30"/>
    <x v="12"/>
    <x v="24"/>
    <x v="9"/>
    <s v="Sales General &amp; Administration "/>
    <x v="26"/>
    <n v="160000"/>
    <s v=""/>
    <n v="160000"/>
  </r>
  <r>
    <s v="2026-01-30"/>
    <x v="12"/>
    <x v="24"/>
    <x v="9"/>
    <s v="Sales General &amp; Administration "/>
    <x v="26"/>
    <n v="160000"/>
    <s v=""/>
    <n v="160000"/>
  </r>
  <r>
    <s v="2026-01-30"/>
    <x v="12"/>
    <x v="24"/>
    <x v="9"/>
    <s v="Sales General &amp; Administration "/>
    <x v="26"/>
    <n v="268000"/>
    <s v=""/>
    <n v="268000"/>
  </r>
  <r>
    <s v="2026-01-30"/>
    <x v="12"/>
    <x v="31"/>
    <x v="3"/>
    <s v="Sales General &amp; Administration "/>
    <x v="33"/>
    <n v="12000"/>
    <s v=""/>
    <n v="12000"/>
  </r>
  <r>
    <s v="2026-01-30"/>
    <x v="12"/>
    <x v="32"/>
    <x v="3"/>
    <s v="Sales General &amp; Administration "/>
    <x v="34"/>
    <n v="12000"/>
    <s v=""/>
    <n v="12000"/>
  </r>
  <r>
    <s v="2026-01-30"/>
    <x v="12"/>
    <x v="24"/>
    <x v="9"/>
    <s v="Sales General &amp; Administration "/>
    <x v="26"/>
    <n v="60000"/>
    <s v=""/>
    <n v="60000"/>
  </r>
  <r>
    <s v="2026-01-30"/>
    <x v="12"/>
    <x v="24"/>
    <x v="9"/>
    <s v="Sales General &amp; Administration "/>
    <x v="26"/>
    <n v="247074"/>
    <s v=""/>
    <n v="247074"/>
  </r>
  <r>
    <s v="2026-01-30"/>
    <x v="12"/>
    <x v="31"/>
    <x v="3"/>
    <s v="Sales General &amp; Administration "/>
    <x v="33"/>
    <n v="6000"/>
    <s v=""/>
    <n v="6000"/>
  </r>
  <r>
    <s v="2026-01-30"/>
    <x v="12"/>
    <x v="32"/>
    <x v="3"/>
    <s v="Sales General &amp; Administration "/>
    <x v="34"/>
    <n v="6000"/>
    <s v=""/>
    <n v="6000"/>
  </r>
  <r>
    <s v="2026-01-30"/>
    <x v="12"/>
    <x v="27"/>
    <x v="3"/>
    <s v="Sales General &amp; Administration "/>
    <x v="29"/>
    <n v="37436"/>
    <s v=""/>
    <n v="37436"/>
  </r>
  <r>
    <s v="2026-01-30"/>
    <x v="12"/>
    <x v="28"/>
    <x v="3"/>
    <s v="Sales General &amp; Administration "/>
    <x v="30"/>
    <n v="296255"/>
    <s v=""/>
    <n v="296255"/>
  </r>
  <r>
    <s v="2026-01-30"/>
    <x v="12"/>
    <x v="29"/>
    <x v="7"/>
    <s v="Operational Cost"/>
    <x v="31"/>
    <n v="6062679"/>
    <s v=""/>
    <n v="6062679"/>
  </r>
  <r>
    <s v="2026-01-30"/>
    <x v="12"/>
    <x v="30"/>
    <x v="7"/>
    <s v="Operational Cost"/>
    <x v="32"/>
    <n v="3422489"/>
    <s v=""/>
    <n v="3422489"/>
  </r>
  <r>
    <s v="2026-01-30"/>
    <x v="12"/>
    <x v="31"/>
    <x v="3"/>
    <s v="Sales General &amp; Administration "/>
    <x v="33"/>
    <n v="449242"/>
    <s v=""/>
    <n v="449242"/>
  </r>
  <r>
    <s v="2026-01-30"/>
    <x v="12"/>
    <x v="32"/>
    <x v="3"/>
    <s v="Sales General &amp; Administration "/>
    <x v="34"/>
    <n v="449242"/>
    <s v=""/>
    <n v="449242"/>
  </r>
  <r>
    <s v="2026-01-30"/>
    <x v="12"/>
    <x v="33"/>
    <x v="3"/>
    <s v="Sales General &amp; Administration "/>
    <x v="35"/>
    <n v="32834"/>
    <s v=""/>
    <n v="32834"/>
  </r>
  <r>
    <s v="2026-01-30"/>
    <x v="12"/>
    <x v="34"/>
    <x v="3"/>
    <s v="Sales General &amp; Administration "/>
    <x v="36"/>
    <n v="7602"/>
    <s v=""/>
    <n v="7602"/>
  </r>
  <r>
    <s v="2026-01-30"/>
    <x v="12"/>
    <x v="35"/>
    <x v="10"/>
    <s v="Sales General &amp; Administration "/>
    <x v="37"/>
    <n v="106145"/>
    <s v=""/>
    <n v="106145"/>
  </r>
  <r>
    <s v="2026-01-30"/>
    <x v="12"/>
    <x v="36"/>
    <x v="9"/>
    <s v="Sales General &amp; Administration "/>
    <x v="38"/>
    <n v="69706"/>
    <s v=""/>
    <n v="69706"/>
  </r>
  <r>
    <s v="2026-01-30"/>
    <x v="12"/>
    <x v="37"/>
    <x v="9"/>
    <s v="Sales General &amp; Administration "/>
    <x v="39"/>
    <n v="42470"/>
    <s v=""/>
    <n v="42470"/>
  </r>
  <r>
    <s v="2026-01-30"/>
    <x v="12"/>
    <x v="38"/>
    <x v="9"/>
    <s v="Sales General &amp; Administration "/>
    <x v="40"/>
    <n v="78584"/>
    <s v=""/>
    <n v="78584"/>
  </r>
  <r>
    <s v="2026-01-30"/>
    <x v="12"/>
    <x v="39"/>
    <x v="3"/>
    <s v="Sales General &amp; Administration "/>
    <x v="41"/>
    <n v="68808"/>
    <s v=""/>
    <n v="68808"/>
  </r>
  <r>
    <s v="2026-01-30"/>
    <x v="12"/>
    <x v="49"/>
    <x v="3"/>
    <s v="Sales General &amp; Administration "/>
    <x v="75"/>
    <n v="53429"/>
    <s v=""/>
    <n v="53429"/>
  </r>
  <r>
    <s v="2026-01-30"/>
    <x v="12"/>
    <x v="58"/>
    <x v="3"/>
    <s v="Sales General &amp; Administration "/>
    <x v="122"/>
    <n v="3"/>
    <s v=""/>
    <n v="3"/>
  </r>
  <r>
    <s v="2026-01-31"/>
    <x v="12"/>
    <x v="26"/>
    <x v="3"/>
    <s v="Sales General &amp; Administration "/>
    <x v="107"/>
    <n v="32000"/>
    <s v=""/>
    <n v="32000"/>
  </r>
  <r>
    <s v="2026-01-31"/>
    <x v="12"/>
    <x v="26"/>
    <x v="3"/>
    <s v="Sales General &amp; Administration "/>
    <x v="92"/>
    <n v="14000"/>
    <s v=""/>
    <n v="14000"/>
  </r>
  <r>
    <s v="2026-01-31"/>
    <x v="12"/>
    <x v="21"/>
    <x v="0"/>
    <s v="Operational Cost"/>
    <x v="20"/>
    <n v="189327.1"/>
    <s v=""/>
    <n v="189327.1"/>
  </r>
  <r>
    <s v="2026-01-31"/>
    <x v="12"/>
    <x v="37"/>
    <x v="9"/>
    <s v="Sales General &amp; Administration "/>
    <x v="39"/>
    <n v="49000"/>
    <s v=""/>
    <n v="49000"/>
  </r>
  <r>
    <s v="2026-01-31"/>
    <x v="12"/>
    <x v="7"/>
    <x v="3"/>
    <s v="Sales General &amp; Administration "/>
    <x v="12"/>
    <n v="650"/>
    <s v=""/>
    <n v="650"/>
  </r>
  <r>
    <s v="2026-01-31"/>
    <x v="12"/>
    <x v="7"/>
    <x v="3"/>
    <s v="Sales General &amp; Administration "/>
    <x v="12"/>
    <n v="6009"/>
    <s v=""/>
    <n v="6009"/>
  </r>
  <r>
    <s v="2026-02-01"/>
    <x v="13"/>
    <x v="0"/>
    <x v="0"/>
    <s v="Operational Cost"/>
    <x v="0"/>
    <n v="395769"/>
    <s v=""/>
    <n v="395769"/>
  </r>
  <r>
    <s v="2026-02-01"/>
    <x v="13"/>
    <x v="1"/>
    <x v="0"/>
    <s v="Operational Cost"/>
    <x v="0"/>
    <n v="68360"/>
    <s v=""/>
    <n v="68360"/>
  </r>
  <r>
    <s v="2026-02-01"/>
    <x v="13"/>
    <x v="52"/>
    <x v="0"/>
    <s v="Operational Cost"/>
    <x v="82"/>
    <n v="400000"/>
    <s v=""/>
    <n v="400000"/>
  </r>
  <r>
    <s v="2026-02-01"/>
    <x v="13"/>
    <x v="3"/>
    <x v="1"/>
    <s v="Sales General &amp; Administration "/>
    <x v="2"/>
    <n v="125000"/>
    <s v=""/>
    <n v="125000"/>
  </r>
  <r>
    <s v="2026-02-01"/>
    <x v="13"/>
    <x v="46"/>
    <x v="8"/>
    <s v="Sales General &amp; Administration "/>
    <x v="55"/>
    <n v="68655"/>
    <s v=""/>
    <n v="68655"/>
  </r>
  <r>
    <s v="2026-02-01"/>
    <x v="13"/>
    <x v="7"/>
    <x v="3"/>
    <s v="Sales General &amp; Administration "/>
    <x v="9"/>
    <n v="3500"/>
    <s v=""/>
    <n v="3500"/>
  </r>
  <r>
    <s v="2026-02-01"/>
    <x v="13"/>
    <x v="17"/>
    <x v="0"/>
    <s v="Operational Cost"/>
    <x v="9"/>
    <n v="373"/>
    <s v=""/>
    <n v="373"/>
  </r>
  <r>
    <s v="2026-02-01"/>
    <x v="13"/>
    <x v="14"/>
    <x v="3"/>
    <s v="Sales General &amp; Administration "/>
    <x v="98"/>
    <n v="120"/>
    <s v=""/>
    <n v="120"/>
  </r>
  <r>
    <s v="2026-02-01"/>
    <x v="13"/>
    <x v="14"/>
    <x v="3"/>
    <s v="Sales General &amp; Administration "/>
    <x v="98"/>
    <n v="180"/>
    <s v=""/>
    <n v="180"/>
  </r>
  <r>
    <s v="2026-02-01"/>
    <x v="13"/>
    <x v="13"/>
    <x v="2"/>
    <s v="Operational Cost"/>
    <x v="14"/>
    <n v="577"/>
    <s v=""/>
    <n v="577"/>
  </r>
  <r>
    <s v="2026-02-01"/>
    <x v="13"/>
    <x v="13"/>
    <x v="2"/>
    <s v="Operational Cost"/>
    <x v="14"/>
    <n v="9147"/>
    <s v=""/>
    <n v="9147"/>
  </r>
  <r>
    <s v="2026-02-02"/>
    <x v="13"/>
    <x v="4"/>
    <x v="2"/>
    <s v="Operational Cost"/>
    <x v="3"/>
    <n v="17400"/>
    <s v=""/>
    <n v="17400"/>
  </r>
  <r>
    <s v="2026-02-02"/>
    <x v="13"/>
    <x v="17"/>
    <x v="0"/>
    <s v="Operational Cost"/>
    <x v="82"/>
    <n v="69324"/>
    <s v=""/>
    <n v="69324"/>
  </r>
  <r>
    <s v="2026-02-02"/>
    <x v="13"/>
    <x v="6"/>
    <x v="4"/>
    <s v="Operational Cost"/>
    <x v="5"/>
    <n v="299400"/>
    <s v=""/>
    <n v="299400"/>
  </r>
  <r>
    <s v="2026-02-02"/>
    <x v="13"/>
    <x v="7"/>
    <x v="3"/>
    <s v="Sales General &amp; Administration "/>
    <x v="6"/>
    <n v="14716.5"/>
    <s v=""/>
    <n v="14716.5"/>
  </r>
  <r>
    <s v="2026-02-02"/>
    <x v="13"/>
    <x v="7"/>
    <x v="3"/>
    <s v="Sales General &amp; Administration "/>
    <x v="98"/>
    <n v="1395.8"/>
    <s v=""/>
    <n v="1395.8"/>
  </r>
  <r>
    <s v="2026-02-02"/>
    <x v="13"/>
    <x v="14"/>
    <x v="3"/>
    <s v="Sales General &amp; Administration "/>
    <x v="98"/>
    <n v="195"/>
    <s v=""/>
    <n v="195"/>
  </r>
  <r>
    <s v="2026-02-02"/>
    <x v="13"/>
    <x v="16"/>
    <x v="6"/>
    <s v="Operational Cost"/>
    <x v="15"/>
    <n v="5605"/>
    <s v=""/>
    <n v="5605"/>
  </r>
  <r>
    <s v="2026-02-03"/>
    <x v="13"/>
    <x v="18"/>
    <x v="0"/>
    <s v="Operational Cost"/>
    <x v="17"/>
    <n v="26250"/>
    <s v=""/>
    <n v="26250"/>
  </r>
  <r>
    <s v="2026-02-03"/>
    <x v="13"/>
    <x v="14"/>
    <x v="3"/>
    <s v="Sales General &amp; Administration "/>
    <x v="98"/>
    <n v="266"/>
    <s v=""/>
    <n v="266"/>
  </r>
  <r>
    <s v="2026-02-03"/>
    <x v="13"/>
    <x v="9"/>
    <x v="2"/>
    <s v="Operational Cost"/>
    <x v="8"/>
    <n v="9167"/>
    <s v=""/>
    <n v="9167"/>
  </r>
  <r>
    <s v="2026-02-03"/>
    <x v="13"/>
    <x v="9"/>
    <x v="2"/>
    <s v="Operational Cost"/>
    <x v="8"/>
    <n v="10417"/>
    <s v=""/>
    <n v="10417"/>
  </r>
  <r>
    <s v="2026-02-03"/>
    <x v="13"/>
    <x v="9"/>
    <x v="2"/>
    <s v="Operational Cost"/>
    <x v="8"/>
    <n v="23333"/>
    <s v=""/>
    <n v="23333"/>
  </r>
  <r>
    <s v="2026-02-03"/>
    <x v="13"/>
    <x v="7"/>
    <x v="3"/>
    <s v="Sales General &amp; Administration "/>
    <x v="83"/>
    <n v="808"/>
    <s v=""/>
    <n v="808"/>
  </r>
  <r>
    <d v="2026-01-31T00:00:00"/>
    <x v="12"/>
    <x v="6"/>
    <x v="4"/>
    <s v="Operational Cost"/>
    <x v="104"/>
    <n v="102700"/>
    <s v=""/>
    <n v="102700"/>
  </r>
  <r>
    <s v="2026-02-04"/>
    <x v="13"/>
    <x v="14"/>
    <x v="3"/>
    <s v="Sales General &amp; Administration "/>
    <x v="98"/>
    <n v="209"/>
    <s v=""/>
    <n v="209"/>
  </r>
  <r>
    <s v="2026-02-04"/>
    <x v="13"/>
    <x v="11"/>
    <x v="6"/>
    <s v="Operational Cost"/>
    <x v="9"/>
    <n v="4200"/>
    <s v=""/>
    <n v="4200"/>
  </r>
  <r>
    <s v="2026-02-04"/>
    <x v="13"/>
    <x v="11"/>
    <x v="6"/>
    <s v="Operational Cost"/>
    <x v="9"/>
    <n v="3565"/>
    <s v=""/>
    <n v="3565"/>
  </r>
  <r>
    <s v="2026-02-05"/>
    <x v="13"/>
    <x v="10"/>
    <x v="3"/>
    <s v="Operational Cost"/>
    <x v="98"/>
    <n v="1217.9100000000001"/>
    <s v=""/>
    <n v="1217.9100000000001"/>
  </r>
  <r>
    <s v="2026-02-05"/>
    <x v="13"/>
    <x v="14"/>
    <x v="3"/>
    <s v="Sales General &amp; Administration "/>
    <x v="98"/>
    <n v="324"/>
    <s v=""/>
    <n v="324"/>
  </r>
  <r>
    <s v="2026-02-05"/>
    <x v="13"/>
    <x v="7"/>
    <x v="3"/>
    <s v="Sales General &amp; Administration "/>
    <x v="83"/>
    <n v="809"/>
    <s v=""/>
    <n v="809"/>
  </r>
  <r>
    <s v="2026-02-06"/>
    <x v="13"/>
    <x v="55"/>
    <x v="0"/>
    <s v="Operational Cost"/>
    <x v="101"/>
    <n v="25000"/>
    <s v=""/>
    <n v="25000"/>
  </r>
  <r>
    <s v="2026-02-06"/>
    <x v="13"/>
    <x v="23"/>
    <x v="2"/>
    <s v="Operational Cost"/>
    <x v="89"/>
    <n v="15000"/>
    <s v=""/>
    <n v="15000"/>
  </r>
  <r>
    <s v="2026-02-06"/>
    <x v="13"/>
    <x v="14"/>
    <x v="3"/>
    <s v="Sales General &amp; Administration "/>
    <x v="98"/>
    <n v="338"/>
    <s v=""/>
    <n v="338"/>
  </r>
  <r>
    <s v="2026-02-06"/>
    <x v="13"/>
    <x v="13"/>
    <x v="2"/>
    <s v="Operational Cost"/>
    <x v="14"/>
    <n v="2479"/>
    <s v=""/>
    <n v="2479"/>
  </r>
  <r>
    <s v="2026-02-06"/>
    <x v="13"/>
    <x v="11"/>
    <x v="6"/>
    <s v="Operational Cost"/>
    <x v="12"/>
    <n v="1425"/>
    <s v=""/>
    <n v="1425"/>
  </r>
  <r>
    <s v="2026-02-06"/>
    <x v="13"/>
    <x v="11"/>
    <x v="6"/>
    <s v="Operational Cost"/>
    <x v="12"/>
    <n v="150"/>
    <s v=""/>
    <n v="150"/>
  </r>
  <r>
    <s v="2026-02-06"/>
    <x v="13"/>
    <x v="11"/>
    <x v="6"/>
    <s v="Operational Cost"/>
    <x v="12"/>
    <n v="1410"/>
    <s v=""/>
    <n v="1410"/>
  </r>
  <r>
    <s v="2026-02-07"/>
    <x v="13"/>
    <x v="10"/>
    <x v="3"/>
    <s v="Operational Cost"/>
    <x v="98"/>
    <n v="1177.51"/>
    <s v=""/>
    <n v="1177.51"/>
  </r>
  <r>
    <s v="2026-02-07"/>
    <x v="13"/>
    <x v="7"/>
    <x v="3"/>
    <s v="Sales General &amp; Administration "/>
    <x v="98"/>
    <n v="661.95"/>
    <s v=""/>
    <n v="661.95"/>
  </r>
  <r>
    <s v="2026-02-07"/>
    <x v="13"/>
    <x v="16"/>
    <x v="6"/>
    <s v="Operational Cost"/>
    <x v="15"/>
    <n v="59099"/>
    <s v=""/>
    <n v="59099"/>
  </r>
  <r>
    <s v="2026-02-07"/>
    <x v="13"/>
    <x v="17"/>
    <x v="0"/>
    <s v="Operational Cost"/>
    <x v="16"/>
    <n v="32139"/>
    <s v=""/>
    <n v="32139"/>
  </r>
  <r>
    <s v="2026-02-08"/>
    <x v="13"/>
    <x v="14"/>
    <x v="3"/>
    <s v="Sales General &amp; Administration "/>
    <x v="98"/>
    <n v="321"/>
    <s v=""/>
    <n v="321"/>
  </r>
  <r>
    <s v="2026-02-09"/>
    <x v="13"/>
    <x v="15"/>
    <x v="2"/>
    <s v="Operational Cost"/>
    <x v="19"/>
    <n v="1531.64"/>
    <s v=""/>
    <n v="1531.64"/>
  </r>
  <r>
    <s v="2026-02-09"/>
    <x v="13"/>
    <x v="13"/>
    <x v="2"/>
    <s v="Operational Cost"/>
    <x v="23"/>
    <n v="100"/>
    <s v=""/>
    <n v="100"/>
  </r>
  <r>
    <s v="2026-02-09"/>
    <x v="13"/>
    <x v="13"/>
    <x v="2"/>
    <s v="Operational Cost"/>
    <x v="23"/>
    <n v="7000"/>
    <s v=""/>
    <n v="7000"/>
  </r>
  <r>
    <s v="2026-02-09"/>
    <x v="13"/>
    <x v="13"/>
    <x v="2"/>
    <s v="Operational Cost"/>
    <x v="14"/>
    <n v="8350"/>
    <s v=""/>
    <n v="8350"/>
  </r>
  <r>
    <s v="2026-02-09"/>
    <x v="13"/>
    <x v="13"/>
    <x v="2"/>
    <s v="Operational Cost"/>
    <x v="14"/>
    <n v="223"/>
    <s v=""/>
    <n v="223"/>
  </r>
  <r>
    <s v="2026-02-09"/>
    <x v="13"/>
    <x v="14"/>
    <x v="3"/>
    <s v="Sales General &amp; Administration "/>
    <x v="51"/>
    <n v="20100"/>
    <s v=""/>
    <n v="20100"/>
  </r>
  <r>
    <s v="2026-02-10"/>
    <x v="13"/>
    <x v="14"/>
    <x v="3"/>
    <s v="Sales General &amp; Administration "/>
    <x v="98"/>
    <n v="150"/>
    <s v=""/>
    <n v="150"/>
  </r>
  <r>
    <s v="2026-02-10"/>
    <x v="13"/>
    <x v="14"/>
    <x v="3"/>
    <s v="Sales General &amp; Administration "/>
    <x v="98"/>
    <n v="220"/>
    <s v=""/>
    <n v="220"/>
  </r>
  <r>
    <s v="2026-02-10"/>
    <x v="13"/>
    <x v="14"/>
    <x v="3"/>
    <s v="Sales General &amp; Administration "/>
    <x v="98"/>
    <n v="128"/>
    <s v=""/>
    <n v="128"/>
  </r>
  <r>
    <s v="2026-02-10"/>
    <x v="13"/>
    <x v="11"/>
    <x v="6"/>
    <s v="Operational Cost"/>
    <x v="126"/>
    <n v="3600"/>
    <s v=""/>
    <n v="3600"/>
  </r>
  <r>
    <s v="2026-02-10"/>
    <x v="13"/>
    <x v="11"/>
    <x v="6"/>
    <s v="Operational Cost"/>
    <x v="9"/>
    <n v="3000"/>
    <s v=""/>
    <n v="3000"/>
  </r>
  <r>
    <s v="2026-02-10"/>
    <x v="13"/>
    <x v="10"/>
    <x v="3"/>
    <s v="Operational Cost"/>
    <x v="9"/>
    <n v="639"/>
    <s v=""/>
    <n v="639"/>
  </r>
  <r>
    <s v="2026-02-10"/>
    <x v="13"/>
    <x v="11"/>
    <x v="6"/>
    <s v="Operational Cost"/>
    <x v="9"/>
    <n v="2720"/>
    <s v=""/>
    <n v="2720"/>
  </r>
  <r>
    <s v="2026-02-10"/>
    <x v="13"/>
    <x v="11"/>
    <x v="6"/>
    <s v="Operational Cost"/>
    <x v="12"/>
    <n v="5586.8"/>
    <s v=""/>
    <n v="5586.8"/>
  </r>
  <r>
    <s v="2026-02-10"/>
    <x v="13"/>
    <x v="15"/>
    <x v="2"/>
    <s v="Operational Cost"/>
    <x v="9"/>
    <n v="10443"/>
    <s v=""/>
    <n v="10443"/>
  </r>
  <r>
    <s v="2026-02-11"/>
    <x v="13"/>
    <x v="14"/>
    <x v="3"/>
    <s v="Sales General &amp; Administration "/>
    <x v="98"/>
    <n v="168"/>
    <s v=""/>
    <n v="168"/>
  </r>
  <r>
    <s v="2026-02-11"/>
    <x v="13"/>
    <x v="14"/>
    <x v="3"/>
    <s v="Sales General &amp; Administration "/>
    <x v="98"/>
    <n v="150"/>
    <s v=""/>
    <n v="150"/>
  </r>
  <r>
    <s v="2026-02-11"/>
    <x v="13"/>
    <x v="14"/>
    <x v="3"/>
    <s v="Sales General &amp; Administration "/>
    <x v="98"/>
    <n v="210"/>
    <s v=""/>
    <n v="210"/>
  </r>
  <r>
    <s v="2026-02-11"/>
    <x v="13"/>
    <x v="11"/>
    <x v="6"/>
    <s v="Operational Cost"/>
    <x v="9"/>
    <n v="2493"/>
    <s v=""/>
    <n v="2493"/>
  </r>
  <r>
    <s v="2026-02-12"/>
    <x v="13"/>
    <x v="13"/>
    <x v="2"/>
    <s v="Operational Cost"/>
    <x v="14"/>
    <n v="2775"/>
    <s v=""/>
    <n v="2775"/>
  </r>
  <r>
    <s v="2026-02-14"/>
    <x v="13"/>
    <x v="14"/>
    <x v="3"/>
    <s v="Sales General &amp; Administration "/>
    <x v="9"/>
    <n v="1520"/>
    <s v=""/>
    <n v="1520"/>
  </r>
  <r>
    <s v="2026-02-15"/>
    <x v="13"/>
    <x v="13"/>
    <x v="2"/>
    <s v="Operational Cost"/>
    <x v="21"/>
    <n v="2793.06"/>
    <s v=""/>
    <n v="2793.06"/>
  </r>
  <r>
    <s v="2026-02-15"/>
    <x v="13"/>
    <x v="13"/>
    <x v="2"/>
    <s v="Operational Cost"/>
    <x v="14"/>
    <n v="8913"/>
    <s v=""/>
    <n v="8913"/>
  </r>
  <r>
    <s v="2026-02-15"/>
    <x v="13"/>
    <x v="13"/>
    <x v="2"/>
    <s v="Operational Cost"/>
    <x v="14"/>
    <n v="3535"/>
    <s v=""/>
    <n v="3535"/>
  </r>
  <r>
    <s v="2026-02-16"/>
    <x v="13"/>
    <x v="13"/>
    <x v="2"/>
    <s v="Operational Cost"/>
    <x v="21"/>
    <n v="3382"/>
    <s v=""/>
    <n v="3382"/>
  </r>
  <r>
    <s v="2026-02-16"/>
    <x v="13"/>
    <x v="11"/>
    <x v="6"/>
    <s v="Operational Cost"/>
    <x v="86"/>
    <n v="770"/>
    <s v=""/>
    <n v="770"/>
  </r>
  <r>
    <s v="2026-02-16"/>
    <x v="13"/>
    <x v="11"/>
    <x v="6"/>
    <s v="Operational Cost"/>
    <x v="86"/>
    <n v="957.18"/>
    <s v=""/>
    <n v="957.18"/>
  </r>
  <r>
    <s v="2026-02-17"/>
    <x v="13"/>
    <x v="7"/>
    <x v="3"/>
    <s v="Sales General &amp; Administration "/>
    <x v="9"/>
    <n v="420"/>
    <s v=""/>
    <n v="420"/>
  </r>
  <r>
    <s v="2026-02-17"/>
    <x v="13"/>
    <x v="11"/>
    <x v="6"/>
    <s v="Operational Cost"/>
    <x v="9"/>
    <n v="3500"/>
    <s v=""/>
    <n v="3500"/>
  </r>
  <r>
    <s v="2026-02-17"/>
    <x v="13"/>
    <x v="19"/>
    <x v="8"/>
    <s v="Sales General &amp; Administration "/>
    <x v="12"/>
    <n v="33.82"/>
    <s v=""/>
    <n v="33.82"/>
  </r>
  <r>
    <s v="2026-02-17"/>
    <x v="13"/>
    <x v="13"/>
    <x v="2"/>
    <s v="Operational Cost"/>
    <x v="23"/>
    <n v="850"/>
    <s v=""/>
    <n v="850"/>
  </r>
  <r>
    <s v="2026-02-17"/>
    <x v="13"/>
    <x v="11"/>
    <x v="6"/>
    <s v="Operational Cost"/>
    <x v="9"/>
    <n v="19249"/>
    <s v=""/>
    <n v="19249"/>
  </r>
  <r>
    <s v="2026-02-17"/>
    <x v="13"/>
    <x v="47"/>
    <x v="3"/>
    <s v="Sales General &amp; Administration "/>
    <x v="127"/>
    <n v="34000"/>
    <s v=""/>
    <n v="34000"/>
  </r>
  <r>
    <s v="2026-02-17"/>
    <x v="13"/>
    <x v="11"/>
    <x v="6"/>
    <s v="Operational Cost"/>
    <x v="9"/>
    <n v="2000"/>
    <s v=""/>
    <n v="2000"/>
  </r>
  <r>
    <s v="2026-02-17"/>
    <x v="13"/>
    <x v="20"/>
    <x v="3"/>
    <s v="Sales General &amp; Administration "/>
    <x v="9"/>
    <n v="1080"/>
    <s v=""/>
    <n v="1080"/>
  </r>
  <r>
    <s v="2026-02-17"/>
    <x v="13"/>
    <x v="8"/>
    <x v="5"/>
    <s v="Indirect Income"/>
    <x v="7"/>
    <s v=""/>
    <n v="65661.25"/>
    <n v="-65661.25"/>
  </r>
  <r>
    <s v="2026-02-18"/>
    <x v="13"/>
    <x v="15"/>
    <x v="2"/>
    <s v="Operational Cost"/>
    <x v="19"/>
    <n v="370.52"/>
    <s v=""/>
    <n v="370.52"/>
  </r>
  <r>
    <s v="2026-02-18"/>
    <x v="13"/>
    <x v="15"/>
    <x v="2"/>
    <s v="Operational Cost"/>
    <x v="19"/>
    <n v="336.3"/>
    <s v=""/>
    <n v="336.3"/>
  </r>
  <r>
    <s v="2026-02-18"/>
    <x v="13"/>
    <x v="13"/>
    <x v="2"/>
    <s v="Operational Cost"/>
    <x v="14"/>
    <n v="1499"/>
    <s v=""/>
    <n v="1499"/>
  </r>
  <r>
    <s v="2026-02-18"/>
    <x v="13"/>
    <x v="15"/>
    <x v="2"/>
    <s v="Operational Cost"/>
    <x v="19"/>
    <n v="782.9"/>
    <s v=""/>
    <n v="782.9"/>
  </r>
  <r>
    <s v="2026-02-18"/>
    <x v="13"/>
    <x v="17"/>
    <x v="0"/>
    <s v="Operational Cost"/>
    <x v="16"/>
    <n v="180086"/>
    <s v=""/>
    <n v="180086"/>
  </r>
  <r>
    <s v="2026-02-19"/>
    <x v="13"/>
    <x v="11"/>
    <x v="6"/>
    <s v="Operational Cost"/>
    <x v="9"/>
    <n v="2812"/>
    <s v=""/>
    <n v="2812"/>
  </r>
  <r>
    <s v="2026-02-19"/>
    <x v="13"/>
    <x v="14"/>
    <x v="3"/>
    <s v="Sales General &amp; Administration "/>
    <x v="51"/>
    <n v="817.69"/>
    <s v=""/>
    <n v="817.69"/>
  </r>
  <r>
    <s v="2026-02-20"/>
    <x v="13"/>
    <x v="16"/>
    <x v="6"/>
    <s v="Operational Cost"/>
    <x v="15"/>
    <n v="4833"/>
    <s v=""/>
    <n v="4833"/>
  </r>
  <r>
    <s v="2026-02-21"/>
    <x v="13"/>
    <x v="19"/>
    <x v="8"/>
    <s v="Sales General &amp; Administration "/>
    <x v="51"/>
    <n v="8.18"/>
    <s v=""/>
    <n v="8.18"/>
  </r>
  <r>
    <s v="2026-02-21"/>
    <x v="13"/>
    <x v="11"/>
    <x v="6"/>
    <s v="Operational Cost"/>
    <x v="45"/>
    <n v="104969.25"/>
    <s v=""/>
    <n v="104969.25"/>
  </r>
  <r>
    <s v="2026-02-22"/>
    <x v="13"/>
    <x v="13"/>
    <x v="2"/>
    <s v="Operational Cost"/>
    <x v="14"/>
    <n v="5372"/>
    <s v=""/>
    <n v="5372"/>
  </r>
  <r>
    <s v="2026-02-23"/>
    <x v="13"/>
    <x v="23"/>
    <x v="2"/>
    <s v="Operational Cost"/>
    <x v="89"/>
    <n v="18095.87"/>
    <s v=""/>
    <n v="18095.87"/>
  </r>
  <r>
    <s v="2026-02-23"/>
    <x v="13"/>
    <x v="13"/>
    <x v="2"/>
    <s v="Operational Cost"/>
    <x v="21"/>
    <n v="2367"/>
    <s v=""/>
    <n v="2367"/>
  </r>
  <r>
    <s v="2026-02-23"/>
    <x v="13"/>
    <x v="7"/>
    <x v="3"/>
    <s v="Sales General &amp; Administration "/>
    <x v="9"/>
    <n v="4091"/>
    <s v=""/>
    <n v="4091"/>
  </r>
  <r>
    <s v="2026-02-23"/>
    <x v="13"/>
    <x v="11"/>
    <x v="6"/>
    <s v="Operational Cost"/>
    <x v="9"/>
    <n v="1500"/>
    <s v=""/>
    <n v="1500"/>
  </r>
  <r>
    <s v="2026-02-24"/>
    <x v="13"/>
    <x v="19"/>
    <x v="8"/>
    <s v="Sales General &amp; Administration "/>
    <x v="12"/>
    <n v="23.67"/>
    <s v=""/>
    <n v="23.67"/>
  </r>
  <r>
    <s v="2026-02-24"/>
    <x v="13"/>
    <x v="8"/>
    <x v="5"/>
    <s v="Indirect Income"/>
    <x v="7"/>
    <s v=""/>
    <n v="271039.01"/>
    <n v="-271039.01"/>
  </r>
  <r>
    <s v="2026-02-24"/>
    <x v="13"/>
    <x v="8"/>
    <x v="5"/>
    <s v="Indirect Income"/>
    <x v="7"/>
    <s v=""/>
    <n v="90403.94"/>
    <n v="-90403.94"/>
  </r>
  <r>
    <s v="2026-02-25"/>
    <x v="13"/>
    <x v="10"/>
    <x v="3"/>
    <s v="Operational Cost"/>
    <x v="51"/>
    <n v="1246.78"/>
    <s v=""/>
    <n v="1246.78"/>
  </r>
  <r>
    <s v="2026-02-25"/>
    <x v="13"/>
    <x v="10"/>
    <x v="3"/>
    <s v="Operational Cost"/>
    <x v="51"/>
    <n v="935.11"/>
    <s v=""/>
    <n v="935.11"/>
  </r>
  <r>
    <s v="2026-02-25"/>
    <x v="13"/>
    <x v="11"/>
    <x v="6"/>
    <s v="Operational Cost"/>
    <x v="45"/>
    <n v="164389.20000000001"/>
    <s v=""/>
    <n v="164389.20000000001"/>
  </r>
  <r>
    <s v="2026-02-26"/>
    <x v="13"/>
    <x v="14"/>
    <x v="3"/>
    <s v="Sales General &amp; Administration "/>
    <x v="9"/>
    <n v="1500"/>
    <s v=""/>
    <n v="1500"/>
  </r>
  <r>
    <s v="2026-02-26"/>
    <x v="13"/>
    <x v="10"/>
    <x v="3"/>
    <s v="Operational Cost"/>
    <x v="51"/>
    <s v=""/>
    <n v="833.61"/>
    <n v="-833.61"/>
  </r>
  <r>
    <s v="2026-02-27"/>
    <x v="13"/>
    <x v="58"/>
    <x v="3"/>
    <s v="Sales General &amp; Administration "/>
    <x v="122"/>
    <n v="25300"/>
    <s v=""/>
    <n v="25300"/>
  </r>
  <r>
    <s v="2026-02-27"/>
    <x v="13"/>
    <x v="13"/>
    <x v="2"/>
    <s v="Operational Cost"/>
    <x v="21"/>
    <n v="1499"/>
    <s v=""/>
    <n v="1499"/>
  </r>
  <r>
    <s v="2026-02-28"/>
    <x v="13"/>
    <x v="26"/>
    <x v="3"/>
    <s v="Sales General &amp; Administration "/>
    <x v="92"/>
    <n v="14000"/>
    <s v=""/>
    <n v="14000"/>
  </r>
  <r>
    <s v="2026-02-28"/>
    <x v="13"/>
    <x v="58"/>
    <x v="3"/>
    <s v="Sales General &amp; Administration "/>
    <x v="122"/>
    <n v="2900"/>
    <s v=""/>
    <n v="2900"/>
  </r>
  <r>
    <s v="2026-02-28"/>
    <x v="13"/>
    <x v="21"/>
    <x v="0"/>
    <s v="Operational Cost"/>
    <x v="20"/>
    <n v="190241.09"/>
    <s v=""/>
    <n v="190241.09"/>
  </r>
  <r>
    <s v="2026-02-28"/>
    <x v="13"/>
    <x v="26"/>
    <x v="3"/>
    <s v="Sales General &amp; Administration "/>
    <x v="107"/>
    <n v="32000"/>
    <s v=""/>
    <n v="32000"/>
  </r>
  <r>
    <s v="2026-02-28"/>
    <x v="13"/>
    <x v="24"/>
    <x v="9"/>
    <s v="Sales General &amp; Administration "/>
    <x v="26"/>
    <n v="160000"/>
    <s v=""/>
    <n v="160000"/>
  </r>
  <r>
    <s v="2026-02-28"/>
    <x v="13"/>
    <x v="24"/>
    <x v="9"/>
    <s v="Sales General &amp; Administration "/>
    <x v="26"/>
    <n v="247074"/>
    <s v=""/>
    <n v="247074"/>
  </r>
  <r>
    <s v="2026-02-28"/>
    <x v="13"/>
    <x v="31"/>
    <x v="3"/>
    <s v="Sales General &amp; Administration "/>
    <x v="33"/>
    <n v="6000"/>
    <s v=""/>
    <n v="6000"/>
  </r>
  <r>
    <s v="2026-02-28"/>
    <x v="13"/>
    <x v="32"/>
    <x v="3"/>
    <s v="Sales General &amp; Administration "/>
    <x v="34"/>
    <n v="6000"/>
    <s v=""/>
    <n v="6000"/>
  </r>
  <r>
    <s v="2026-02-28"/>
    <x v="13"/>
    <x v="24"/>
    <x v="9"/>
    <s v="Sales General &amp; Administration "/>
    <x v="26"/>
    <n v="60000"/>
    <s v=""/>
    <n v="60000"/>
  </r>
  <r>
    <s v="2026-02-28"/>
    <x v="13"/>
    <x v="24"/>
    <x v="9"/>
    <s v="Sales General &amp; Administration "/>
    <x v="26"/>
    <n v="268000"/>
    <s v=""/>
    <n v="268000"/>
  </r>
  <r>
    <s v="2026-02-28"/>
    <x v="13"/>
    <x v="31"/>
    <x v="3"/>
    <s v="Sales General &amp; Administration "/>
    <x v="33"/>
    <n v="12000"/>
    <s v=""/>
    <n v="12000"/>
  </r>
  <r>
    <s v="2026-02-28"/>
    <x v="13"/>
    <x v="32"/>
    <x v="3"/>
    <s v="Sales General &amp; Administration "/>
    <x v="34"/>
    <n v="12000"/>
    <s v=""/>
    <n v="12000"/>
  </r>
  <r>
    <s v="2026-02-28"/>
    <x v="13"/>
    <x v="24"/>
    <x v="9"/>
    <s v="Sales General &amp; Administration "/>
    <x v="26"/>
    <n v="160000"/>
    <s v=""/>
    <n v="160000"/>
  </r>
  <r>
    <s v="2026-02-28"/>
    <x v="13"/>
    <x v="25"/>
    <x v="7"/>
    <s v="Operational Cost"/>
    <x v="27"/>
    <n v="20000"/>
    <s v=""/>
    <n v="20000"/>
  </r>
  <r>
    <s v="2026-02-28"/>
    <x v="13"/>
    <x v="37"/>
    <x v="9"/>
    <s v="Sales General &amp; Administration "/>
    <x v="39"/>
    <n v="37715"/>
    <s v=""/>
    <n v="37715"/>
  </r>
  <r>
    <s v="2026-02-28"/>
    <x v="13"/>
    <x v="27"/>
    <x v="3"/>
    <s v="Sales General &amp; Administration "/>
    <x v="29"/>
    <n v="34044"/>
    <s v=""/>
    <n v="34044"/>
  </r>
  <r>
    <s v="2026-02-28"/>
    <x v="13"/>
    <x v="28"/>
    <x v="3"/>
    <s v="Sales General &amp; Administration "/>
    <x v="30"/>
    <n v="267000"/>
    <s v=""/>
    <n v="267000"/>
  </r>
  <r>
    <s v="2026-02-28"/>
    <x v="13"/>
    <x v="29"/>
    <x v="7"/>
    <s v="Operational Cost"/>
    <x v="31"/>
    <n v="6115267"/>
    <s v=""/>
    <n v="6115267"/>
  </r>
  <r>
    <s v="2026-02-28"/>
    <x v="13"/>
    <x v="30"/>
    <x v="7"/>
    <s v="Operational Cost"/>
    <x v="32"/>
    <n v="3333406"/>
    <s v=""/>
    <n v="3333406"/>
  </r>
  <r>
    <s v="2026-02-28"/>
    <x v="13"/>
    <x v="31"/>
    <x v="3"/>
    <s v="Sales General &amp; Administration "/>
    <x v="33"/>
    <n v="408537"/>
    <s v=""/>
    <n v="408537"/>
  </r>
  <r>
    <s v="2026-02-28"/>
    <x v="13"/>
    <x v="32"/>
    <x v="3"/>
    <s v="Sales General &amp; Administration "/>
    <x v="34"/>
    <n v="408537"/>
    <s v=""/>
    <n v="408537"/>
  </r>
  <r>
    <s v="2026-02-28"/>
    <x v="13"/>
    <x v="33"/>
    <x v="3"/>
    <s v="Sales General &amp; Administration "/>
    <x v="35"/>
    <n v="31935"/>
    <s v=""/>
    <n v="31935"/>
  </r>
  <r>
    <s v="2026-02-28"/>
    <x v="13"/>
    <x v="34"/>
    <x v="3"/>
    <s v="Sales General &amp; Administration "/>
    <x v="36"/>
    <n v="7397"/>
    <s v=""/>
    <n v="7397"/>
  </r>
  <r>
    <s v="2026-02-28"/>
    <x v="13"/>
    <x v="35"/>
    <x v="10"/>
    <s v="Sales General &amp; Administration "/>
    <x v="37"/>
    <n v="93372"/>
    <s v=""/>
    <n v="93372"/>
  </r>
  <r>
    <s v="2026-02-28"/>
    <x v="13"/>
    <x v="36"/>
    <x v="9"/>
    <s v="Sales General &amp; Administration "/>
    <x v="38"/>
    <n v="68994"/>
    <s v=""/>
    <n v="68994"/>
  </r>
  <r>
    <s v="2026-02-28"/>
    <x v="13"/>
    <x v="37"/>
    <x v="9"/>
    <s v="Sales General &amp; Administration "/>
    <x v="39"/>
    <n v="42470"/>
    <s v=""/>
    <n v="42470"/>
  </r>
  <r>
    <s v="2026-02-28"/>
    <x v="13"/>
    <x v="38"/>
    <x v="9"/>
    <s v="Sales General &amp; Administration "/>
    <x v="40"/>
    <n v="61960"/>
    <s v=""/>
    <n v="61960"/>
  </r>
  <r>
    <s v="2026-02-28"/>
    <x v="13"/>
    <x v="39"/>
    <x v="3"/>
    <s v="Sales General &amp; Administration "/>
    <x v="41"/>
    <n v="59223"/>
    <s v=""/>
    <n v="59223"/>
  </r>
  <r>
    <s v="2026-03-01"/>
    <x v="14"/>
    <x v="0"/>
    <x v="0"/>
    <s v="Operational Cost"/>
    <x v="0"/>
    <n v="395769"/>
    <s v=""/>
    <n v="395769"/>
  </r>
  <r>
    <s v="2026-03-01"/>
    <x v="14"/>
    <x v="1"/>
    <x v="0"/>
    <s v="Operational Cost"/>
    <x v="0"/>
    <n v="68360"/>
    <s v=""/>
    <n v="68360"/>
  </r>
  <r>
    <s v="2026-03-01"/>
    <x v="14"/>
    <x v="52"/>
    <x v="0"/>
    <s v="Operational Cost"/>
    <x v="82"/>
    <n v="400000"/>
    <s v=""/>
    <n v="400000"/>
  </r>
  <r>
    <s v="2026-03-01"/>
    <x v="14"/>
    <x v="46"/>
    <x v="8"/>
    <s v="Sales General &amp; Administration "/>
    <x v="55"/>
    <n v="76512"/>
    <s v=""/>
    <n v="76512"/>
  </r>
  <r>
    <s v="2026-03-01"/>
    <x v="14"/>
    <x v="3"/>
    <x v="1"/>
    <s v="Sales General &amp; Administration "/>
    <x v="2"/>
    <n v="125000"/>
    <s v=""/>
    <n v="125000"/>
  </r>
  <r>
    <s v="2026-03-01"/>
    <x v="14"/>
    <x v="10"/>
    <x v="3"/>
    <s v="Operational Cost"/>
    <x v="98"/>
    <n v="1096.71"/>
    <s v=""/>
    <n v="1096.71"/>
  </r>
  <r>
    <s v="2026-03-01"/>
    <x v="14"/>
    <x v="13"/>
    <x v="2"/>
    <s v="Operational Cost"/>
    <x v="14"/>
    <n v="9147"/>
    <s v=""/>
    <n v="9147"/>
  </r>
  <r>
    <s v="2026-03-01"/>
    <x v="14"/>
    <x v="13"/>
    <x v="2"/>
    <s v="Operational Cost"/>
    <x v="14"/>
    <n v="577"/>
    <s v=""/>
    <n v="577"/>
  </r>
  <r>
    <s v="2026-03-02"/>
    <x v="14"/>
    <x v="3"/>
    <x v="1"/>
    <s v="Sales General &amp; Administration "/>
    <x v="2"/>
    <n v="60000"/>
    <s v=""/>
    <n v="60000"/>
  </r>
  <r>
    <s v="2026-03-02"/>
    <x v="14"/>
    <x v="6"/>
    <x v="4"/>
    <s v="Operational Cost"/>
    <x v="5"/>
    <n v="318700"/>
    <s v=""/>
    <n v="318700"/>
  </r>
  <r>
    <s v="2026-03-02"/>
    <x v="14"/>
    <x v="14"/>
    <x v="3"/>
    <s v="Sales General &amp; Administration "/>
    <x v="98"/>
    <n v="190"/>
    <s v=""/>
    <n v="190"/>
  </r>
  <r>
    <s v="2026-03-02"/>
    <x v="14"/>
    <x v="16"/>
    <x v="6"/>
    <s v="Operational Cost"/>
    <x v="15"/>
    <n v="5605"/>
    <s v=""/>
    <n v="5605"/>
  </r>
  <r>
    <s v="2026-03-02"/>
    <x v="14"/>
    <x v="15"/>
    <x v="2"/>
    <s v="Operational Cost"/>
    <x v="19"/>
    <n v="368.99"/>
    <s v=""/>
    <n v="368.99"/>
  </r>
  <r>
    <s v="2026-03-02"/>
    <x v="14"/>
    <x v="13"/>
    <x v="2"/>
    <s v="Operational Cost"/>
    <x v="14"/>
    <n v="1083"/>
    <s v=""/>
    <n v="1083"/>
  </r>
  <r>
    <s v="2026-03-03"/>
    <x v="14"/>
    <x v="17"/>
    <x v="0"/>
    <s v="Operational Cost"/>
    <x v="82"/>
    <n v="32304"/>
    <s v=""/>
    <n v="32304"/>
  </r>
  <r>
    <s v="2026-03-03"/>
    <x v="14"/>
    <x v="13"/>
    <x v="2"/>
    <s v="Operational Cost"/>
    <x v="22"/>
    <n v="12701.69"/>
    <s v=""/>
    <n v="12701.69"/>
  </r>
  <r>
    <s v="2026-03-03"/>
    <x v="14"/>
    <x v="4"/>
    <x v="2"/>
    <s v="Operational Cost"/>
    <x v="3"/>
    <n v="17400"/>
    <s v=""/>
    <n v="17400"/>
  </r>
  <r>
    <s v="2026-03-03"/>
    <x v="14"/>
    <x v="7"/>
    <x v="3"/>
    <s v="Sales General &amp; Administration "/>
    <x v="6"/>
    <n v="21443.5"/>
    <s v=""/>
    <n v="21443.5"/>
  </r>
  <r>
    <s v="2026-03-03"/>
    <x v="14"/>
    <x v="14"/>
    <x v="3"/>
    <s v="Sales General &amp; Administration "/>
    <x v="98"/>
    <n v="150"/>
    <s v=""/>
    <n v="150"/>
  </r>
  <r>
    <s v="2026-03-03"/>
    <x v="14"/>
    <x v="7"/>
    <x v="3"/>
    <s v="Sales General &amp; Administration "/>
    <x v="98"/>
    <n v="218"/>
    <s v=""/>
    <n v="218"/>
  </r>
  <r>
    <s v="2026-03-03"/>
    <x v="14"/>
    <x v="9"/>
    <x v="2"/>
    <s v="Operational Cost"/>
    <x v="8"/>
    <n v="23333"/>
    <s v=""/>
    <n v="23333"/>
  </r>
  <r>
    <s v="2026-03-03"/>
    <x v="14"/>
    <x v="9"/>
    <x v="2"/>
    <s v="Operational Cost"/>
    <x v="8"/>
    <n v="10417"/>
    <s v=""/>
    <n v="10417"/>
  </r>
  <r>
    <s v="2026-03-03"/>
    <x v="14"/>
    <x v="9"/>
    <x v="2"/>
    <s v="Operational Cost"/>
    <x v="8"/>
    <n v="9167"/>
    <s v=""/>
    <n v="9167"/>
  </r>
  <r>
    <s v="2026-03-03"/>
    <x v="14"/>
    <x v="58"/>
    <x v="3"/>
    <s v="Sales General &amp; Administration "/>
    <x v="122"/>
    <n v="5.9"/>
    <s v=""/>
    <n v="5.9"/>
  </r>
  <r>
    <s v="2026-03-04"/>
    <x v="14"/>
    <x v="23"/>
    <x v="2"/>
    <s v="Operational Cost"/>
    <x v="89"/>
    <n v="15000"/>
    <s v=""/>
    <n v="15000"/>
  </r>
  <r>
    <s v="2026-03-04"/>
    <x v="14"/>
    <x v="19"/>
    <x v="8"/>
    <s v="Sales General &amp; Administration "/>
    <x v="51"/>
    <n v="130"/>
    <s v=""/>
    <n v="130"/>
  </r>
  <r>
    <s v="2026-03-04"/>
    <x v="14"/>
    <x v="14"/>
    <x v="3"/>
    <s v="Sales General &amp; Administration "/>
    <x v="98"/>
    <n v="180"/>
    <s v=""/>
    <n v="180"/>
  </r>
  <r>
    <s v="2026-03-04"/>
    <x v="14"/>
    <x v="14"/>
    <x v="3"/>
    <s v="Sales General &amp; Administration "/>
    <x v="98"/>
    <n v="168"/>
    <s v=""/>
    <n v="168"/>
  </r>
  <r>
    <s v="2026-03-04"/>
    <x v="14"/>
    <x v="14"/>
    <x v="3"/>
    <s v="Sales General &amp; Administration "/>
    <x v="98"/>
    <n v="580"/>
    <s v=""/>
    <n v="580"/>
  </r>
  <r>
    <s v="2026-03-05"/>
    <x v="14"/>
    <x v="14"/>
    <x v="3"/>
    <s v="Sales General &amp; Administration "/>
    <x v="98"/>
    <n v="306"/>
    <s v=""/>
    <n v="306"/>
  </r>
  <r>
    <s v="2026-03-05"/>
    <x v="14"/>
    <x v="10"/>
    <x v="3"/>
    <s v="Operational Cost"/>
    <x v="98"/>
    <n v="2404.34"/>
    <s v=""/>
    <n v="2404.34"/>
  </r>
  <r>
    <s v="2026-03-05"/>
    <x v="14"/>
    <x v="7"/>
    <x v="3"/>
    <s v="Sales General &amp; Administration "/>
    <x v="98"/>
    <n v="620.4"/>
    <s v=""/>
    <n v="620.4"/>
  </r>
  <r>
    <s v="2026-03-05"/>
    <x v="14"/>
    <x v="14"/>
    <x v="3"/>
    <s v="Sales General &amp; Administration "/>
    <x v="98"/>
    <n v="267"/>
    <s v=""/>
    <n v="267"/>
  </r>
  <r>
    <s v="2026-03-05"/>
    <x v="14"/>
    <x v="7"/>
    <x v="3"/>
    <s v="Sales General &amp; Administration "/>
    <x v="97"/>
    <n v="480"/>
    <s v=""/>
    <n v="480"/>
  </r>
  <r>
    <d v="2026-02-28T00:00:00"/>
    <x v="13"/>
    <x v="6"/>
    <x v="4"/>
    <s v="Operational Cost"/>
    <x v="104"/>
    <n v="89700"/>
    <s v=""/>
    <n v="89700"/>
  </r>
  <r>
    <s v="2026-03-06"/>
    <x v="14"/>
    <x v="14"/>
    <x v="3"/>
    <s v="Sales General &amp; Administration "/>
    <x v="98"/>
    <n v="352"/>
    <s v=""/>
    <n v="352"/>
  </r>
  <r>
    <s v="2026-03-06"/>
    <x v="14"/>
    <x v="13"/>
    <x v="2"/>
    <s v="Operational Cost"/>
    <x v="14"/>
    <n v="2479"/>
    <s v=""/>
    <n v="2479"/>
  </r>
  <r>
    <s v="2026-03-07"/>
    <x v="14"/>
    <x v="16"/>
    <x v="6"/>
    <s v="Operational Cost"/>
    <x v="15"/>
    <n v="59099"/>
    <s v=""/>
    <n v="59099"/>
  </r>
  <r>
    <s v="2026-03-08"/>
    <x v="14"/>
    <x v="10"/>
    <x v="3"/>
    <s v="Operational Cost"/>
    <x v="98"/>
    <n v="1096.71"/>
    <s v=""/>
    <n v="1096.71"/>
  </r>
  <r>
    <s v="2026-03-08"/>
    <x v="14"/>
    <x v="10"/>
    <x v="3"/>
    <s v="Operational Cost"/>
    <x v="98"/>
    <n v="975.51"/>
    <s v=""/>
    <n v="975.51"/>
  </r>
  <r>
    <s v="2026-03-09"/>
    <x v="14"/>
    <x v="15"/>
    <x v="2"/>
    <s v="Operational Cost"/>
    <x v="19"/>
    <n v="1298"/>
    <s v=""/>
    <n v="1298"/>
  </r>
  <r>
    <s v="2026-03-09"/>
    <x v="14"/>
    <x v="11"/>
    <x v="6"/>
    <s v="Operational Cost"/>
    <x v="126"/>
    <n v="2800"/>
    <s v=""/>
    <n v="2800"/>
  </r>
  <r>
    <s v="2026-03-09"/>
    <x v="14"/>
    <x v="18"/>
    <x v="0"/>
    <s v="Operational Cost"/>
    <x v="17"/>
    <n v="26250"/>
    <s v=""/>
    <n v="26250"/>
  </r>
  <r>
    <s v="2026-03-09"/>
    <x v="14"/>
    <x v="55"/>
    <x v="0"/>
    <s v="Operational Cost"/>
    <x v="101"/>
    <n v="25000"/>
    <s v=""/>
    <n v="25000"/>
  </r>
  <r>
    <s v="2026-03-09"/>
    <x v="14"/>
    <x v="11"/>
    <x v="6"/>
    <s v="Operational Cost"/>
    <x v="9"/>
    <n v="22581"/>
    <s v=""/>
    <n v="22581"/>
  </r>
  <r>
    <s v="2026-03-09"/>
    <x v="14"/>
    <x v="11"/>
    <x v="6"/>
    <s v="Operational Cost"/>
    <x v="9"/>
    <n v="4165"/>
    <s v=""/>
    <n v="4165"/>
  </r>
  <r>
    <s v="2026-03-09"/>
    <x v="14"/>
    <x v="11"/>
    <x v="6"/>
    <s v="Operational Cost"/>
    <x v="9"/>
    <n v="270"/>
    <s v=""/>
    <n v="270"/>
  </r>
  <r>
    <s v="2026-03-09"/>
    <x v="14"/>
    <x v="14"/>
    <x v="3"/>
    <s v="Sales General &amp; Administration "/>
    <x v="98"/>
    <n v="386"/>
    <s v=""/>
    <n v="386"/>
  </r>
  <r>
    <s v="2026-03-09"/>
    <x v="14"/>
    <x v="10"/>
    <x v="3"/>
    <s v="Operational Cost"/>
    <x v="98"/>
    <n v="1369.86"/>
    <s v=""/>
    <n v="1369.86"/>
  </r>
  <r>
    <s v="2026-03-09"/>
    <x v="14"/>
    <x v="13"/>
    <x v="2"/>
    <s v="Operational Cost"/>
    <x v="14"/>
    <n v="8350"/>
    <s v=""/>
    <n v="8350"/>
  </r>
  <r>
    <s v="2026-03-09"/>
    <x v="14"/>
    <x v="13"/>
    <x v="2"/>
    <s v="Operational Cost"/>
    <x v="14"/>
    <n v="223"/>
    <s v=""/>
    <n v="223"/>
  </r>
  <r>
    <s v="2026-03-09"/>
    <x v="14"/>
    <x v="8"/>
    <x v="5"/>
    <s v="Indirect Income"/>
    <x v="7"/>
    <s v=""/>
    <n v="82773.850000000006"/>
    <n v="-82773.850000000006"/>
  </r>
  <r>
    <s v="2026-03-10"/>
    <x v="14"/>
    <x v="10"/>
    <x v="3"/>
    <s v="Operational Cost"/>
    <x v="98"/>
    <n v="879.56"/>
    <s v=""/>
    <n v="879.56"/>
  </r>
  <r>
    <s v="2026-03-10"/>
    <x v="14"/>
    <x v="14"/>
    <x v="3"/>
    <s v="Sales General &amp; Administration "/>
    <x v="98"/>
    <n v="100"/>
    <s v=""/>
    <n v="100"/>
  </r>
  <r>
    <s v="2026-03-10"/>
    <x v="14"/>
    <x v="14"/>
    <x v="3"/>
    <s v="Sales General &amp; Administration "/>
    <x v="98"/>
    <n v="155"/>
    <s v=""/>
    <n v="155"/>
  </r>
  <r>
    <s v="2026-03-10"/>
    <x v="14"/>
    <x v="10"/>
    <x v="3"/>
    <s v="Operational Cost"/>
    <x v="98"/>
    <n v="783.61"/>
    <s v=""/>
    <n v="783.61"/>
  </r>
  <r>
    <s v="2026-03-10"/>
    <x v="14"/>
    <x v="10"/>
    <x v="3"/>
    <s v="Operational Cost"/>
    <x v="9"/>
    <n v="2450"/>
    <s v=""/>
    <n v="2450"/>
  </r>
  <r>
    <s v="2026-03-10"/>
    <x v="14"/>
    <x v="46"/>
    <x v="8"/>
    <s v="Sales General &amp; Administration "/>
    <x v="55"/>
    <s v=""/>
    <n v="133.9"/>
    <n v="-133.9"/>
  </r>
  <r>
    <s v="2026-03-11"/>
    <x v="14"/>
    <x v="23"/>
    <x v="2"/>
    <s v="Operational Cost"/>
    <x v="89"/>
    <n v="16855.18"/>
    <s v=""/>
    <n v="16855.18"/>
  </r>
  <r>
    <s v="2026-03-11"/>
    <x v="14"/>
    <x v="13"/>
    <x v="2"/>
    <s v="Operational Cost"/>
    <x v="22"/>
    <n v="9198.18"/>
    <s v=""/>
    <n v="9198.18"/>
  </r>
  <r>
    <s v="2026-03-11"/>
    <x v="14"/>
    <x v="11"/>
    <x v="6"/>
    <s v="Operational Cost"/>
    <x v="9"/>
    <n v="2000"/>
    <s v=""/>
    <n v="2000"/>
  </r>
  <r>
    <s v="2026-03-11"/>
    <x v="14"/>
    <x v="11"/>
    <x v="6"/>
    <s v="Operational Cost"/>
    <x v="9"/>
    <n v="4800"/>
    <s v=""/>
    <n v="4800"/>
  </r>
  <r>
    <s v="2026-03-12"/>
    <x v="14"/>
    <x v="11"/>
    <x v="6"/>
    <s v="Operational Cost"/>
    <x v="9"/>
    <n v="4827"/>
    <s v=""/>
    <n v="4827"/>
  </r>
  <r>
    <s v="2026-03-12"/>
    <x v="14"/>
    <x v="13"/>
    <x v="2"/>
    <s v="Operational Cost"/>
    <x v="14"/>
    <n v="2775"/>
    <s v=""/>
    <n v="2775"/>
  </r>
  <r>
    <s v="2026-03-12"/>
    <x v="14"/>
    <x v="2"/>
    <x v="1"/>
    <s v="Sales General &amp; Administration "/>
    <x v="9"/>
    <n v="11172"/>
    <s v=""/>
    <n v="11172"/>
  </r>
  <r>
    <s v="2026-03-12"/>
    <x v="14"/>
    <x v="7"/>
    <x v="3"/>
    <s v="Sales General &amp; Administration "/>
    <x v="9"/>
    <n v="44118"/>
    <s v=""/>
    <n v="44118"/>
  </r>
  <r>
    <s v="2026-03-13"/>
    <x v="14"/>
    <x v="14"/>
    <x v="3"/>
    <s v="Sales General &amp; Administration "/>
    <x v="9"/>
    <n v="710"/>
    <s v=""/>
    <n v="710"/>
  </r>
  <r>
    <s v="2026-03-15"/>
    <x v="14"/>
    <x v="13"/>
    <x v="2"/>
    <s v="Operational Cost"/>
    <x v="21"/>
    <n v="2793.06"/>
    <s v=""/>
    <n v="2793.06"/>
  </r>
  <r>
    <s v="2026-03-15"/>
    <x v="14"/>
    <x v="7"/>
    <x v="3"/>
    <s v="Sales General &amp; Administration "/>
    <x v="99"/>
    <n v="4238"/>
    <s v=""/>
    <n v="4238"/>
  </r>
  <r>
    <s v="2026-03-15"/>
    <x v="14"/>
    <x v="13"/>
    <x v="2"/>
    <s v="Operational Cost"/>
    <x v="14"/>
    <n v="8913"/>
    <s v=""/>
    <n v="8913"/>
  </r>
  <r>
    <s v="2026-03-15"/>
    <x v="14"/>
    <x v="13"/>
    <x v="2"/>
    <s v="Operational Cost"/>
    <x v="14"/>
    <n v="3535"/>
    <s v=""/>
    <n v="3535"/>
  </r>
  <r>
    <s v="2026-03-17"/>
    <x v="14"/>
    <x v="15"/>
    <x v="2"/>
    <s v="Operational Cost"/>
    <x v="19"/>
    <n v="782.9"/>
    <s v=""/>
    <n v="782.9"/>
  </r>
  <r>
    <s v="2026-03-17"/>
    <x v="14"/>
    <x v="17"/>
    <x v="0"/>
    <s v="Operational Cost"/>
    <x v="16"/>
    <n v="213603.73"/>
    <s v=""/>
    <n v="213603.73"/>
  </r>
  <r>
    <s v="2026-03-18"/>
    <x v="14"/>
    <x v="15"/>
    <x v="2"/>
    <s v="Operational Cost"/>
    <x v="19"/>
    <n v="370.52"/>
    <s v=""/>
    <n v="370.52"/>
  </r>
  <r>
    <s v="2026-03-18"/>
    <x v="14"/>
    <x v="15"/>
    <x v="2"/>
    <s v="Operational Cost"/>
    <x v="19"/>
    <n v="336.3"/>
    <s v=""/>
    <n v="336.3"/>
  </r>
  <r>
    <s v="2026-03-18"/>
    <x v="14"/>
    <x v="13"/>
    <x v="2"/>
    <s v="Operational Cost"/>
    <x v="14"/>
    <n v="1499"/>
    <s v=""/>
    <n v="1499"/>
  </r>
  <r>
    <s v="2026-03-18"/>
    <x v="14"/>
    <x v="54"/>
    <x v="3"/>
    <s v="Sales General &amp; Administration "/>
    <x v="9"/>
    <n v="5000"/>
    <s v=""/>
    <n v="5000"/>
  </r>
  <r>
    <s v="2026-03-19"/>
    <x v="14"/>
    <x v="11"/>
    <x v="6"/>
    <s v="Operational Cost"/>
    <x v="9"/>
    <n v="1026"/>
    <s v=""/>
    <n v="1026"/>
  </r>
  <r>
    <s v="2026-03-19"/>
    <x v="14"/>
    <x v="11"/>
    <x v="6"/>
    <s v="Operational Cost"/>
    <x v="9"/>
    <n v="1868"/>
    <s v=""/>
    <n v="1868"/>
  </r>
  <r>
    <s v="2026-03-19"/>
    <x v="14"/>
    <x v="9"/>
    <x v="2"/>
    <s v="Operational Cost"/>
    <x v="128"/>
    <n v="1673.76"/>
    <s v=""/>
    <n v="1673.76"/>
  </r>
  <r>
    <s v="2026-03-20"/>
    <x v="14"/>
    <x v="14"/>
    <x v="3"/>
    <s v="Sales General &amp; Administration "/>
    <x v="12"/>
    <n v="2150"/>
    <s v=""/>
    <n v="2150"/>
  </r>
  <r>
    <s v="2026-03-20"/>
    <x v="14"/>
    <x v="16"/>
    <x v="6"/>
    <s v="Operational Cost"/>
    <x v="15"/>
    <n v="4833"/>
    <s v=""/>
    <n v="4833"/>
  </r>
  <r>
    <s v="2026-03-21"/>
    <x v="14"/>
    <x v="19"/>
    <x v="8"/>
    <s v="Sales General &amp; Administration "/>
    <x v="51"/>
    <n v="16.739999999999998"/>
    <s v=""/>
    <n v="16.739999999999998"/>
  </r>
  <r>
    <s v="2026-03-21"/>
    <x v="14"/>
    <x v="11"/>
    <x v="6"/>
    <s v="Operational Cost"/>
    <x v="45"/>
    <n v="104969.25"/>
    <s v=""/>
    <n v="104969.25"/>
  </r>
  <r>
    <s v="2026-03-22"/>
    <x v="14"/>
    <x v="13"/>
    <x v="2"/>
    <s v="Operational Cost"/>
    <x v="14"/>
    <n v="5372"/>
    <s v=""/>
    <n v="5372"/>
  </r>
  <r>
    <s v="2026-03-23"/>
    <x v="14"/>
    <x v="17"/>
    <x v="0"/>
    <s v="Operational Cost"/>
    <x v="16"/>
    <n v="302"/>
    <s v=""/>
    <n v="302"/>
  </r>
  <r>
    <s v="2026-03-24"/>
    <x v="14"/>
    <x v="13"/>
    <x v="2"/>
    <s v="Operational Cost"/>
    <x v="21"/>
    <n v="2367"/>
    <s v=""/>
    <n v="2367"/>
  </r>
  <r>
    <s v="2026-03-24"/>
    <x v="14"/>
    <x v="13"/>
    <x v="2"/>
    <s v="Operational Cost"/>
    <x v="21"/>
    <n v="3382"/>
    <s v=""/>
    <n v="3382"/>
  </r>
  <r>
    <s v="2026-03-24"/>
    <x v="14"/>
    <x v="60"/>
    <x v="3"/>
    <s v="Operational Cost"/>
    <x v="9"/>
    <n v="25000"/>
    <s v=""/>
    <n v="25000"/>
  </r>
  <r>
    <s v="2026-03-24"/>
    <x v="14"/>
    <x v="46"/>
    <x v="8"/>
    <s v="Sales General &amp; Administration "/>
    <x v="55"/>
    <n v="54000"/>
    <s v=""/>
    <n v="54000"/>
  </r>
  <r>
    <s v="2026-03-25"/>
    <x v="14"/>
    <x v="11"/>
    <x v="6"/>
    <s v="Operational Cost"/>
    <x v="9"/>
    <n v="500"/>
    <s v=""/>
    <n v="500"/>
  </r>
  <r>
    <s v="2026-03-25"/>
    <x v="14"/>
    <x v="19"/>
    <x v="8"/>
    <s v="Sales General &amp; Administration "/>
    <x v="12"/>
    <n v="57.49"/>
    <s v=""/>
    <n v="57.49"/>
  </r>
  <r>
    <s v="2026-03-25"/>
    <x v="14"/>
    <x v="11"/>
    <x v="6"/>
    <s v="Operational Cost"/>
    <x v="45"/>
    <n v="164389.20000000001"/>
    <s v=""/>
    <n v="164389.20000000001"/>
  </r>
  <r>
    <s v="2026-03-25"/>
    <x v="14"/>
    <x v="11"/>
    <x v="6"/>
    <s v="Operational Cost"/>
    <x v="9"/>
    <n v="3000"/>
    <s v=""/>
    <n v="3000"/>
  </r>
  <r>
    <s v="2026-03-27"/>
    <x v="14"/>
    <x v="13"/>
    <x v="2"/>
    <s v="Operational Cost"/>
    <x v="21"/>
    <n v="2714"/>
    <s v=""/>
    <n v="2714"/>
  </r>
  <r>
    <s v="2026-03-30"/>
    <x v="14"/>
    <x v="8"/>
    <x v="5"/>
    <s v="Indirect Income"/>
    <x v="7"/>
    <s v=""/>
    <n v="82546.14"/>
    <n v="-82546.14"/>
  </r>
  <r>
    <s v="2026-03-30"/>
    <x v="14"/>
    <x v="8"/>
    <x v="5"/>
    <s v="Indirect Income"/>
    <x v="7"/>
    <s v=""/>
    <n v="615033.78"/>
    <n v="-615033.78"/>
  </r>
  <r>
    <s v="2026-03-31"/>
    <x v="14"/>
    <x v="58"/>
    <x v="3"/>
    <s v="Sales General &amp; Administration "/>
    <x v="122"/>
    <n v="27100"/>
    <s v=""/>
    <n v="27100"/>
  </r>
  <r>
    <s v="2026-03-31"/>
    <x v="14"/>
    <x v="11"/>
    <x v="6"/>
    <s v="Operational Cost"/>
    <x v="58"/>
    <n v="2570"/>
    <s v=""/>
    <n v="2570"/>
  </r>
  <r>
    <s v="2026-03-31"/>
    <x v="14"/>
    <x v="23"/>
    <x v="2"/>
    <s v="Operational Cost"/>
    <x v="89"/>
    <n v="32348.7"/>
    <s v=""/>
    <n v="32348.7"/>
  </r>
  <r>
    <s v="2026-03-31"/>
    <x v="14"/>
    <x v="26"/>
    <x v="3"/>
    <s v="Sales General &amp; Administration "/>
    <x v="107"/>
    <n v="32000"/>
    <s v=""/>
    <n v="32000"/>
  </r>
  <r>
    <s v="2026-03-31"/>
    <x v="14"/>
    <x v="26"/>
    <x v="3"/>
    <s v="Sales General &amp; Administration "/>
    <x v="92"/>
    <n v="14000"/>
    <s v=""/>
    <n v="14000"/>
  </r>
  <r>
    <s v="2026-03-31"/>
    <x v="14"/>
    <x v="21"/>
    <x v="0"/>
    <s v="Operational Cost"/>
    <x v="20"/>
    <n v="126551.08"/>
    <s v=""/>
    <n v="126551.08"/>
  </r>
  <r>
    <s v="2026-03-31"/>
    <x v="14"/>
    <x v="21"/>
    <x v="0"/>
    <s v="Operational Cost"/>
    <x v="20"/>
    <n v="11730"/>
    <s v=""/>
    <n v="11730"/>
  </r>
  <r>
    <s v="2026-03-31"/>
    <x v="14"/>
    <x v="21"/>
    <x v="0"/>
    <s v="Operational Cost"/>
    <x v="20"/>
    <n v="37155.01"/>
    <s v=""/>
    <n v="37155.01"/>
  </r>
  <r>
    <s v="2026-03-31"/>
    <x v="14"/>
    <x v="6"/>
    <x v="4"/>
    <s v="Operational Cost"/>
    <x v="104"/>
    <n v="83850"/>
    <s v=""/>
    <n v="83850"/>
  </r>
  <r>
    <s v="2026-03-31"/>
    <x v="14"/>
    <x v="23"/>
    <x v="2"/>
    <s v="Operational Cost"/>
    <x v="67"/>
    <n v="55800"/>
    <s v=""/>
    <n v="55800"/>
  </r>
  <r>
    <s v="2026-03-31"/>
    <x v="14"/>
    <x v="11"/>
    <x v="6"/>
    <s v="Operational Cost"/>
    <x v="129"/>
    <n v="22339"/>
    <s v=""/>
    <n v="22339"/>
  </r>
  <r>
    <s v="2026-03-31"/>
    <x v="14"/>
    <x v="24"/>
    <x v="9"/>
    <s v="Sales General &amp; Administration "/>
    <x v="26"/>
    <n v="160000"/>
    <s v=""/>
    <n v="160000"/>
  </r>
  <r>
    <s v="2026-03-31"/>
    <x v="14"/>
    <x v="24"/>
    <x v="9"/>
    <s v="Sales General &amp; Administration "/>
    <x v="26"/>
    <n v="247074"/>
    <s v=""/>
    <n v="247074"/>
  </r>
  <r>
    <s v="2026-03-31"/>
    <x v="14"/>
    <x v="31"/>
    <x v="3"/>
    <s v="Sales General &amp; Administration "/>
    <x v="33"/>
    <n v="6000"/>
    <s v=""/>
    <n v="6000"/>
  </r>
  <r>
    <s v="2026-03-31"/>
    <x v="14"/>
    <x v="32"/>
    <x v="3"/>
    <s v="Sales General &amp; Administration "/>
    <x v="34"/>
    <n v="6000"/>
    <s v=""/>
    <n v="6000"/>
  </r>
  <r>
    <s v="2026-03-31"/>
    <x v="14"/>
    <x v="24"/>
    <x v="9"/>
    <s v="Sales General &amp; Administration "/>
    <x v="26"/>
    <n v="60000"/>
    <s v=""/>
    <n v="60000"/>
  </r>
  <r>
    <s v="2026-03-31"/>
    <x v="14"/>
    <x v="24"/>
    <x v="9"/>
    <s v="Sales General &amp; Administration "/>
    <x v="26"/>
    <n v="268000"/>
    <s v=""/>
    <n v="268000"/>
  </r>
  <r>
    <s v="2026-03-31"/>
    <x v="14"/>
    <x v="31"/>
    <x v="3"/>
    <s v="Sales General &amp; Administration "/>
    <x v="33"/>
    <n v="12000"/>
    <s v=""/>
    <n v="12000"/>
  </r>
  <r>
    <s v="2026-03-31"/>
    <x v="14"/>
    <x v="32"/>
    <x v="3"/>
    <s v="Sales General &amp; Administration "/>
    <x v="34"/>
    <n v="12000"/>
    <s v=""/>
    <n v="12000"/>
  </r>
  <r>
    <s v="2026-03-31"/>
    <x v="14"/>
    <x v="24"/>
    <x v="9"/>
    <s v="Sales General &amp; Administration "/>
    <x v="26"/>
    <n v="160000"/>
    <s v=""/>
    <n v="160000"/>
  </r>
  <r>
    <s v="2026-03-31"/>
    <x v="14"/>
    <x v="25"/>
    <x v="7"/>
    <s v="Operational Cost"/>
    <x v="27"/>
    <n v="20000"/>
    <s v=""/>
    <n v="20000"/>
  </r>
  <r>
    <s v="2026-03-31"/>
    <x v="14"/>
    <x v="37"/>
    <x v="9"/>
    <s v="Sales General &amp; Administration "/>
    <x v="39"/>
    <n v="20000"/>
    <s v=""/>
    <n v="20000"/>
  </r>
  <r>
    <s v="2026-03-31"/>
    <x v="14"/>
    <x v="7"/>
    <x v="3"/>
    <s v="Sales General &amp; Administration "/>
    <x v="42"/>
    <n v="4000"/>
    <s v=""/>
    <n v="4000"/>
  </r>
  <r>
    <s v="2026-03-31"/>
    <x v="14"/>
    <x v="11"/>
    <x v="6"/>
    <s v="Operational Cost"/>
    <x v="45"/>
    <n v="16000"/>
    <s v=""/>
    <n v="16000"/>
  </r>
  <r>
    <s v="2026-03-31"/>
    <x v="14"/>
    <x v="27"/>
    <x v="3"/>
    <s v="Sales General &amp; Administration "/>
    <x v="29"/>
    <n v="36098"/>
    <s v=""/>
    <n v="36098"/>
  </r>
  <r>
    <s v="2026-03-31"/>
    <x v="14"/>
    <x v="28"/>
    <x v="3"/>
    <s v="Sales General &amp; Administration "/>
    <x v="30"/>
    <n v="282458"/>
    <s v=""/>
    <n v="282458"/>
  </r>
  <r>
    <s v="2026-03-31"/>
    <x v="14"/>
    <x v="29"/>
    <x v="7"/>
    <s v="Operational Cost"/>
    <x v="31"/>
    <n v="6041252"/>
    <s v=""/>
    <n v="6041252"/>
  </r>
  <r>
    <s v="2026-03-31"/>
    <x v="14"/>
    <x v="30"/>
    <x v="7"/>
    <s v="Operational Cost"/>
    <x v="32"/>
    <n v="3516012"/>
    <s v=""/>
    <n v="3516012"/>
  </r>
  <r>
    <s v="2026-03-31"/>
    <x v="14"/>
    <x v="31"/>
    <x v="3"/>
    <s v="Sales General &amp; Administration "/>
    <x v="33"/>
    <n v="440363"/>
    <s v=""/>
    <n v="440363"/>
  </r>
  <r>
    <s v="2026-03-31"/>
    <x v="14"/>
    <x v="32"/>
    <x v="3"/>
    <s v="Sales General &amp; Administration "/>
    <x v="34"/>
    <n v="440363"/>
    <s v=""/>
    <n v="440363"/>
  </r>
  <r>
    <s v="2026-03-31"/>
    <x v="14"/>
    <x v="33"/>
    <x v="3"/>
    <s v="Sales General &amp; Administration "/>
    <x v="35"/>
    <n v="30201"/>
    <s v=""/>
    <n v="30201"/>
  </r>
  <r>
    <s v="2026-03-31"/>
    <x v="14"/>
    <x v="34"/>
    <x v="3"/>
    <s v="Sales General &amp; Administration "/>
    <x v="36"/>
    <n v="6991"/>
    <s v=""/>
    <n v="6991"/>
  </r>
  <r>
    <s v="2026-03-31"/>
    <x v="14"/>
    <x v="35"/>
    <x v="10"/>
    <s v="Sales General &amp; Administration "/>
    <x v="37"/>
    <n v="116553"/>
    <s v=""/>
    <n v="116553"/>
  </r>
  <r>
    <s v="2026-03-31"/>
    <x v="14"/>
    <x v="36"/>
    <x v="9"/>
    <s v="Sales General &amp; Administration "/>
    <x v="38"/>
    <n v="77295"/>
    <s v=""/>
    <n v="77295"/>
  </r>
  <r>
    <s v="2026-03-31"/>
    <x v="14"/>
    <x v="37"/>
    <x v="9"/>
    <s v="Sales General &amp; Administration "/>
    <x v="39"/>
    <n v="51674"/>
    <s v=""/>
    <n v="51674"/>
  </r>
  <r>
    <s v="2026-03-31"/>
    <x v="14"/>
    <x v="38"/>
    <x v="9"/>
    <s v="Sales General &amp; Administration "/>
    <x v="40"/>
    <n v="81042"/>
    <s v=""/>
    <n v="81042"/>
  </r>
  <r>
    <s v="2026-03-31"/>
    <x v="14"/>
    <x v="39"/>
    <x v="3"/>
    <s v="Sales General &amp; Administration "/>
    <x v="41"/>
    <n v="58813"/>
    <s v=""/>
    <n v="58813"/>
  </r>
  <r>
    <s v="2026-04-01"/>
    <x v="15"/>
    <x v="3"/>
    <x v="1"/>
    <s v="Sales General &amp; Administration "/>
    <x v="2"/>
    <n v="125000"/>
    <s v=""/>
    <n v="125000"/>
  </r>
  <r>
    <s v="2026-04-01"/>
    <x v="15"/>
    <x v="52"/>
    <x v="0"/>
    <s v="Operational Cost"/>
    <x v="82"/>
    <n v="400000"/>
    <s v=""/>
    <n v="400000"/>
  </r>
  <r>
    <s v="2026-04-01"/>
    <x v="15"/>
    <x v="0"/>
    <x v="0"/>
    <s v="Operational Cost"/>
    <x v="0"/>
    <n v="395769"/>
    <s v=""/>
    <n v="395769"/>
  </r>
  <r>
    <s v="2026-04-01"/>
    <x v="15"/>
    <x v="1"/>
    <x v="0"/>
    <s v="Operational Cost"/>
    <x v="0"/>
    <n v="68360"/>
    <s v=""/>
    <n v="68360"/>
  </r>
  <r>
    <s v="2026-04-01"/>
    <x v="15"/>
    <x v="6"/>
    <x v="4"/>
    <s v="Operational Cost"/>
    <x v="5"/>
    <n v="286700"/>
    <s v=""/>
    <n v="286700"/>
  </r>
  <r>
    <s v="2026-04-01"/>
    <x v="15"/>
    <x v="46"/>
    <x v="8"/>
    <s v="Sales General &amp; Administration "/>
    <x v="55"/>
    <n v="87283"/>
    <s v=""/>
    <n v="87283"/>
  </r>
  <r>
    <s v="2026-04-01"/>
    <x v="15"/>
    <x v="4"/>
    <x v="2"/>
    <s v="Operational Cost"/>
    <x v="3"/>
    <n v="19560"/>
    <s v=""/>
    <n v="19560"/>
  </r>
  <r>
    <s v="2026-04-01"/>
    <x v="15"/>
    <x v="7"/>
    <x v="3"/>
    <s v="Sales General &amp; Administration "/>
    <x v="6"/>
    <n v="18622"/>
    <s v=""/>
    <n v="18622"/>
  </r>
  <r>
    <s v="2026-04-01"/>
    <x v="15"/>
    <x v="61"/>
    <x v="3"/>
    <s v="Sales General &amp; Administration "/>
    <x v="9"/>
    <n v="4007"/>
    <s v=""/>
    <n v="4007"/>
  </r>
  <r>
    <s v="2026-04-01"/>
    <x v="15"/>
    <x v="14"/>
    <x v="3"/>
    <s v="Sales General &amp; Administration "/>
    <x v="98"/>
    <n v="165"/>
    <s v=""/>
    <n v="165"/>
  </r>
  <r>
    <s v="2026-04-01"/>
    <x v="15"/>
    <x v="10"/>
    <x v="3"/>
    <s v="Operational Cost"/>
    <x v="98"/>
    <n v="783.61"/>
    <s v=""/>
    <n v="783.61"/>
  </r>
  <r>
    <s v="2026-04-01"/>
    <x v="15"/>
    <x v="13"/>
    <x v="2"/>
    <s v="Operational Cost"/>
    <x v="14"/>
    <n v="577"/>
    <s v=""/>
    <n v="577"/>
  </r>
  <r>
    <s v="2026-04-01"/>
    <x v="15"/>
    <x v="13"/>
    <x v="2"/>
    <s v="Operational Cost"/>
    <x v="14"/>
    <n v="9147"/>
    <s v=""/>
    <n v="9147"/>
  </r>
  <r>
    <s v="2026-04-02"/>
    <x v="15"/>
    <x v="7"/>
    <x v="3"/>
    <s v="Sales General &amp; Administration "/>
    <x v="98"/>
    <n v="1929.25"/>
    <s v=""/>
    <n v="1929.25"/>
  </r>
  <r>
    <s v="2026-04-02"/>
    <x v="15"/>
    <x v="10"/>
    <x v="3"/>
    <s v="Operational Cost"/>
    <x v="98"/>
    <n v="1020.96"/>
    <s v=""/>
    <n v="1020.96"/>
  </r>
  <r>
    <s v="2026-04-02"/>
    <x v="15"/>
    <x v="13"/>
    <x v="2"/>
    <s v="Operational Cost"/>
    <x v="14"/>
    <n v="1083"/>
    <s v=""/>
    <n v="1083"/>
  </r>
  <r>
    <s v="2026-04-02"/>
    <x v="15"/>
    <x v="16"/>
    <x v="6"/>
    <s v="Operational Cost"/>
    <x v="15"/>
    <n v="5605"/>
    <s v=""/>
    <n v="5605"/>
  </r>
  <r>
    <s v="2026-04-02"/>
    <x v="15"/>
    <x v="11"/>
    <x v="6"/>
    <s v="Operational Cost"/>
    <x v="126"/>
    <n v="4800"/>
    <s v=""/>
    <n v="4800"/>
  </r>
  <r>
    <s v="2026-04-03"/>
    <x v="15"/>
    <x v="14"/>
    <x v="3"/>
    <s v="Sales General &amp; Administration "/>
    <x v="98"/>
    <n v="274"/>
    <s v=""/>
    <n v="274"/>
  </r>
  <r>
    <s v="2026-04-03"/>
    <x v="15"/>
    <x v="9"/>
    <x v="2"/>
    <s v="Operational Cost"/>
    <x v="8"/>
    <n v="23333"/>
    <s v=""/>
    <n v="23333"/>
  </r>
  <r>
    <s v="2026-04-03"/>
    <x v="15"/>
    <x v="9"/>
    <x v="2"/>
    <s v="Operational Cost"/>
    <x v="8"/>
    <n v="10417"/>
    <s v=""/>
    <n v="10417"/>
  </r>
  <r>
    <s v="2026-04-03"/>
    <x v="15"/>
    <x v="9"/>
    <x v="2"/>
    <s v="Operational Cost"/>
    <x v="8"/>
    <n v="9167"/>
    <s v=""/>
    <n v="9167"/>
  </r>
  <r>
    <s v="2026-04-04"/>
    <x v="15"/>
    <x v="13"/>
    <x v="2"/>
    <s v="Operational Cost"/>
    <x v="22"/>
    <n v="1895.7"/>
    <s v=""/>
    <n v="1895.7"/>
  </r>
  <r>
    <s v="2026-04-06"/>
    <x v="15"/>
    <x v="10"/>
    <x v="3"/>
    <s v="Operational Cost"/>
    <x v="51"/>
    <n v="965.94"/>
    <s v=""/>
    <n v="965.94"/>
  </r>
  <r>
    <s v="2026-04-06"/>
    <x v="15"/>
    <x v="14"/>
    <x v="3"/>
    <s v="Sales General &amp; Administration "/>
    <x v="98"/>
    <n v="314"/>
    <s v=""/>
    <n v="314"/>
  </r>
  <r>
    <s v="2026-04-06"/>
    <x v="15"/>
    <x v="13"/>
    <x v="2"/>
    <s v="Operational Cost"/>
    <x v="14"/>
    <n v="2479"/>
    <s v=""/>
    <n v="2479"/>
  </r>
  <r>
    <s v="2026-04-07"/>
    <x v="15"/>
    <x v="23"/>
    <x v="2"/>
    <s v="Operational Cost"/>
    <x v="89"/>
    <n v="15000"/>
    <s v=""/>
    <n v="15000"/>
  </r>
  <r>
    <s v="2026-04-07"/>
    <x v="15"/>
    <x v="14"/>
    <x v="3"/>
    <s v="Sales General &amp; Administration "/>
    <x v="98"/>
    <n v="99"/>
    <s v=""/>
    <n v="99"/>
  </r>
  <r>
    <s v="2026-04-07"/>
    <x v="15"/>
    <x v="7"/>
    <x v="3"/>
    <s v="Sales General &amp; Administration "/>
    <x v="98"/>
    <n v="555.76"/>
    <s v=""/>
    <n v="555.76"/>
  </r>
  <r>
    <s v="2026-04-07"/>
    <x v="15"/>
    <x v="14"/>
    <x v="3"/>
    <s v="Sales General &amp; Administration "/>
    <x v="98"/>
    <n v="115"/>
    <s v=""/>
    <n v="115"/>
  </r>
  <r>
    <s v="2026-04-07"/>
    <x v="15"/>
    <x v="16"/>
    <x v="6"/>
    <s v="Operational Cost"/>
    <x v="15"/>
    <n v="59099"/>
    <s v=""/>
    <n v="59099"/>
  </r>
  <r>
    <s v="2026-04-07"/>
    <x v="15"/>
    <x v="7"/>
    <x v="3"/>
    <s v="Sales General &amp; Administration "/>
    <x v="9"/>
    <n v="690"/>
    <s v=""/>
    <n v="690"/>
  </r>
  <r>
    <s v="2026-04-08"/>
    <x v="15"/>
    <x v="10"/>
    <x v="3"/>
    <s v="Operational Cost"/>
    <x v="51"/>
    <s v=""/>
    <n v="845.36"/>
    <n v="-845.36"/>
  </r>
  <r>
    <s v="2026-04-08"/>
    <x v="15"/>
    <x v="14"/>
    <x v="3"/>
    <s v="Sales General &amp; Administration "/>
    <x v="98"/>
    <n v="130"/>
    <s v=""/>
    <n v="130"/>
  </r>
  <r>
    <s v="2026-04-08"/>
    <x v="15"/>
    <x v="14"/>
    <x v="3"/>
    <s v="Sales General &amp; Administration "/>
    <x v="98"/>
    <n v="333"/>
    <s v=""/>
    <n v="333"/>
  </r>
  <r>
    <s v="2026-04-08"/>
    <x v="15"/>
    <x v="55"/>
    <x v="0"/>
    <s v="Operational Cost"/>
    <x v="101"/>
    <n v="25000"/>
    <s v=""/>
    <n v="25000"/>
  </r>
  <r>
    <s v="2026-04-08"/>
    <x v="15"/>
    <x v="7"/>
    <x v="3"/>
    <s v="Sales General &amp; Administration "/>
    <x v="9"/>
    <n v="2066"/>
    <s v=""/>
    <n v="2066"/>
  </r>
  <r>
    <s v="2026-04-08"/>
    <x v="15"/>
    <x v="7"/>
    <x v="3"/>
    <s v="Sales General &amp; Administration "/>
    <x v="9"/>
    <n v="218"/>
    <s v=""/>
    <n v="218"/>
  </r>
  <r>
    <s v="2026-04-08"/>
    <x v="15"/>
    <x v="7"/>
    <x v="3"/>
    <s v="Sales General &amp; Administration "/>
    <x v="9"/>
    <n v="2284.5"/>
    <s v=""/>
    <n v="2284.5"/>
  </r>
  <r>
    <s v="2026-04-08"/>
    <x v="15"/>
    <x v="11"/>
    <x v="6"/>
    <s v="Operational Cost"/>
    <x v="12"/>
    <n v="5300"/>
    <s v=""/>
    <n v="5300"/>
  </r>
  <r>
    <s v="2026-04-09"/>
    <x v="15"/>
    <x v="15"/>
    <x v="2"/>
    <s v="Operational Cost"/>
    <x v="19"/>
    <n v="1298"/>
    <s v=""/>
    <n v="1298"/>
  </r>
  <r>
    <s v="2026-04-09"/>
    <x v="15"/>
    <x v="17"/>
    <x v="0"/>
    <s v="Operational Cost"/>
    <x v="82"/>
    <n v="50052"/>
    <s v=""/>
    <n v="50052"/>
  </r>
  <r>
    <s v="2026-04-09"/>
    <x v="15"/>
    <x v="14"/>
    <x v="3"/>
    <s v="Sales General &amp; Administration "/>
    <x v="98"/>
    <n v="276"/>
    <s v=""/>
    <n v="276"/>
  </r>
  <r>
    <s v="2026-04-09"/>
    <x v="15"/>
    <x v="14"/>
    <x v="3"/>
    <s v="Sales General &amp; Administration "/>
    <x v="98"/>
    <n v="417"/>
    <s v=""/>
    <n v="417"/>
  </r>
  <r>
    <s v="2026-04-09"/>
    <x v="15"/>
    <x v="10"/>
    <x v="3"/>
    <s v="Operational Cost"/>
    <x v="98"/>
    <n v="4241.21"/>
    <s v=""/>
    <n v="4241.21"/>
  </r>
  <r>
    <s v="2026-04-09"/>
    <x v="15"/>
    <x v="13"/>
    <x v="2"/>
    <s v="Operational Cost"/>
    <x v="14"/>
    <n v="223"/>
    <s v=""/>
    <n v="223"/>
  </r>
  <r>
    <s v="2026-04-09"/>
    <x v="15"/>
    <x v="13"/>
    <x v="2"/>
    <s v="Operational Cost"/>
    <x v="14"/>
    <n v="8350"/>
    <s v=""/>
    <n v="8350"/>
  </r>
  <r>
    <s v="2026-04-09"/>
    <x v="15"/>
    <x v="18"/>
    <x v="0"/>
    <s v="Operational Cost"/>
    <x v="17"/>
    <n v="26250"/>
    <s v=""/>
    <n v="26250"/>
  </r>
  <r>
    <s v="2026-04-09"/>
    <x v="15"/>
    <x v="17"/>
    <x v="0"/>
    <s v="Operational Cost"/>
    <x v="16"/>
    <n v="35244"/>
    <s v=""/>
    <n v="35244"/>
  </r>
  <r>
    <s v="2026-04-09"/>
    <x v="15"/>
    <x v="7"/>
    <x v="3"/>
    <s v="Sales General &amp; Administration "/>
    <x v="9"/>
    <n v="250"/>
    <s v=""/>
    <n v="250"/>
  </r>
  <r>
    <s v="2026-04-10"/>
    <x v="15"/>
    <x v="14"/>
    <x v="3"/>
    <s v="Sales General &amp; Administration "/>
    <x v="98"/>
    <n v="2955"/>
    <s v=""/>
    <n v="2955"/>
  </r>
  <r>
    <s v="2026-04-10"/>
    <x v="15"/>
    <x v="10"/>
    <x v="3"/>
    <s v="Operational Cost"/>
    <x v="98"/>
    <n v="783.61"/>
    <s v=""/>
    <n v="783.61"/>
  </r>
  <r>
    <s v="2026-04-10"/>
    <x v="15"/>
    <x v="14"/>
    <x v="3"/>
    <s v="Sales General &amp; Administration "/>
    <x v="9"/>
    <n v="160"/>
    <s v=""/>
    <n v="160"/>
  </r>
  <r>
    <s v="2026-04-10"/>
    <x v="15"/>
    <x v="7"/>
    <x v="3"/>
    <s v="Sales General &amp; Administration "/>
    <x v="9"/>
    <n v="300"/>
    <s v=""/>
    <n v="300"/>
  </r>
  <r>
    <s v="2026-04-10"/>
    <x v="15"/>
    <x v="10"/>
    <x v="3"/>
    <s v="Operational Cost"/>
    <x v="9"/>
    <n v="2450"/>
    <s v=""/>
    <n v="2450"/>
  </r>
  <r>
    <s v="2026-04-10"/>
    <x v="15"/>
    <x v="7"/>
    <x v="3"/>
    <s v="Sales General &amp; Administration "/>
    <x v="9"/>
    <n v="7308"/>
    <s v=""/>
    <n v="7308"/>
  </r>
  <r>
    <s v="2026-04-10"/>
    <x v="15"/>
    <x v="7"/>
    <x v="3"/>
    <s v="Sales General &amp; Administration "/>
    <x v="9"/>
    <n v="250"/>
    <s v=""/>
    <n v="250"/>
  </r>
  <r>
    <s v="2026-04-12"/>
    <x v="15"/>
    <x v="13"/>
    <x v="2"/>
    <s v="Operational Cost"/>
    <x v="14"/>
    <n v="2775"/>
    <s v=""/>
    <n v="2775"/>
  </r>
  <r>
    <s v="2026-04-12"/>
    <x v="15"/>
    <x v="10"/>
    <x v="3"/>
    <s v="Operational Cost"/>
    <x v="98"/>
    <n v="975.51"/>
    <s v=""/>
    <n v="975.51"/>
  </r>
  <r>
    <s v="2026-04-13"/>
    <x v="15"/>
    <x v="27"/>
    <x v="3"/>
    <s v="Sales General &amp; Administration "/>
    <x v="9"/>
    <n v="900"/>
    <s v=""/>
    <n v="900"/>
  </r>
  <r>
    <s v="2026-04-13"/>
    <x v="15"/>
    <x v="14"/>
    <x v="3"/>
    <s v="Sales General &amp; Administration "/>
    <x v="98"/>
    <n v="300"/>
    <s v=""/>
    <n v="300"/>
  </r>
  <r>
    <s v="2026-04-14"/>
    <x v="15"/>
    <x v="14"/>
    <x v="3"/>
    <s v="Sales General &amp; Administration "/>
    <x v="98"/>
    <n v="115"/>
    <s v=""/>
    <n v="115"/>
  </r>
  <r>
    <s v="2026-04-15"/>
    <x v="15"/>
    <x v="13"/>
    <x v="2"/>
    <s v="Operational Cost"/>
    <x v="14"/>
    <n v="3535"/>
    <s v=""/>
    <n v="3535"/>
  </r>
  <r>
    <s v="2026-04-15"/>
    <x v="15"/>
    <x v="13"/>
    <x v="2"/>
    <s v="Operational Cost"/>
    <x v="14"/>
    <n v="8913"/>
    <s v=""/>
    <n v="8913"/>
  </r>
  <r>
    <s v="2026-04-15"/>
    <x v="15"/>
    <x v="13"/>
    <x v="2"/>
    <s v="Operational Cost"/>
    <x v="21"/>
    <n v="2793.06"/>
    <s v=""/>
    <n v="2793.06"/>
  </r>
  <r>
    <s v="2026-04-15"/>
    <x v="15"/>
    <x v="17"/>
    <x v="0"/>
    <s v="Operational Cost"/>
    <x v="16"/>
    <n v="188900"/>
    <s v=""/>
    <n v="188900"/>
  </r>
  <r>
    <s v="2026-04-15"/>
    <x v="15"/>
    <x v="14"/>
    <x v="3"/>
    <s v="Sales General &amp; Administration "/>
    <x v="98"/>
    <n v="327"/>
    <s v=""/>
    <n v="327"/>
  </r>
  <r>
    <s v="2026-04-16"/>
    <x v="15"/>
    <x v="15"/>
    <x v="2"/>
    <s v="Operational Cost"/>
    <x v="19"/>
    <n v="782.9"/>
    <s v=""/>
    <n v="782.9"/>
  </r>
  <r>
    <s v="2026-04-16"/>
    <x v="15"/>
    <x v="13"/>
    <x v="2"/>
    <s v="Operational Cost"/>
    <x v="21"/>
    <n v="3382"/>
    <s v=""/>
    <n v="3382"/>
  </r>
  <r>
    <s v="2026-04-16"/>
    <x v="15"/>
    <x v="11"/>
    <x v="6"/>
    <s v="Operational Cost"/>
    <x v="12"/>
    <n v="740"/>
    <s v=""/>
    <n v="740"/>
  </r>
  <r>
    <s v="2026-04-16"/>
    <x v="15"/>
    <x v="11"/>
    <x v="6"/>
    <s v="Operational Cost"/>
    <x v="12"/>
    <n v="1547.89"/>
    <s v=""/>
    <n v="1547.89"/>
  </r>
  <r>
    <s v="2026-04-16"/>
    <x v="15"/>
    <x v="14"/>
    <x v="3"/>
    <s v="Sales General &amp; Administration "/>
    <x v="98"/>
    <n v="290"/>
    <s v=""/>
    <n v="290"/>
  </r>
  <r>
    <s v="2026-04-16"/>
    <x v="15"/>
    <x v="7"/>
    <x v="3"/>
    <s v="Sales General &amp; Administration "/>
    <x v="98"/>
    <n v="900"/>
    <s v=""/>
    <n v="900"/>
  </r>
  <r>
    <s v="2026-04-17"/>
    <x v="15"/>
    <x v="11"/>
    <x v="6"/>
    <s v="Operational Cost"/>
    <x v="9"/>
    <n v="4000"/>
    <s v=""/>
    <n v="4000"/>
  </r>
  <r>
    <s v="2026-04-17"/>
    <x v="15"/>
    <x v="19"/>
    <x v="8"/>
    <s v="Sales General &amp; Administration "/>
    <x v="12"/>
    <n v="33.82"/>
    <s v=""/>
    <n v="33.82"/>
  </r>
  <r>
    <s v="2026-04-17"/>
    <x v="15"/>
    <x v="11"/>
    <x v="6"/>
    <s v="Operational Cost"/>
    <x v="9"/>
    <n v="5000"/>
    <s v=""/>
    <n v="5000"/>
  </r>
  <r>
    <s v="2026-04-17"/>
    <x v="15"/>
    <x v="11"/>
    <x v="6"/>
    <s v="Operational Cost"/>
    <x v="12"/>
    <n v="980"/>
    <s v=""/>
    <n v="980"/>
  </r>
  <r>
    <s v="2026-04-17"/>
    <x v="15"/>
    <x v="7"/>
    <x v="3"/>
    <s v="Sales General &amp; Administration "/>
    <x v="51"/>
    <n v="25245.71"/>
    <s v=""/>
    <n v="25245.71"/>
  </r>
  <r>
    <s v="2026-04-17"/>
    <x v="15"/>
    <x v="14"/>
    <x v="3"/>
    <s v="Sales General &amp; Administration "/>
    <x v="98"/>
    <n v="296"/>
    <s v=""/>
    <n v="296"/>
  </r>
  <r>
    <s v="2026-04-17"/>
    <x v="15"/>
    <x v="10"/>
    <x v="3"/>
    <s v="Operational Cost"/>
    <x v="98"/>
    <n v="1349.21"/>
    <s v=""/>
    <n v="1349.21"/>
  </r>
  <r>
    <s v="2026-04-18"/>
    <x v="15"/>
    <x v="13"/>
    <x v="2"/>
    <s v="Operational Cost"/>
    <x v="14"/>
    <n v="1499"/>
    <s v=""/>
    <n v="1499"/>
  </r>
  <r>
    <s v="2026-04-18"/>
    <x v="15"/>
    <x v="11"/>
    <x v="6"/>
    <s v="Operational Cost"/>
    <x v="12"/>
    <n v="380"/>
    <s v=""/>
    <n v="380"/>
  </r>
  <r>
    <s v="2026-04-19"/>
    <x v="15"/>
    <x v="13"/>
    <x v="2"/>
    <s v="Operational Cost"/>
    <x v="22"/>
    <n v="7640.5"/>
    <s v=""/>
    <n v="7640.5"/>
  </r>
  <r>
    <s v="2026-04-19"/>
    <x v="15"/>
    <x v="9"/>
    <x v="2"/>
    <s v="Operational Cost"/>
    <x v="128"/>
    <n v="1179"/>
    <s v=""/>
    <n v="1179"/>
  </r>
  <r>
    <s v="2026-04-19"/>
    <x v="15"/>
    <x v="11"/>
    <x v="6"/>
    <s v="Operational Cost"/>
    <x v="12"/>
    <n v="6000"/>
    <s v=""/>
    <n v="6000"/>
  </r>
  <r>
    <s v="2026-04-19"/>
    <x v="15"/>
    <x v="10"/>
    <x v="3"/>
    <s v="Operational Cost"/>
    <x v="98"/>
    <n v="561.41"/>
    <s v=""/>
    <n v="561.41"/>
  </r>
  <r>
    <s v="2026-04-19"/>
    <x v="15"/>
    <x v="10"/>
    <x v="3"/>
    <s v="Operational Cost"/>
    <x v="98"/>
    <n v="975.51"/>
    <s v=""/>
    <n v="975.51"/>
  </r>
  <r>
    <s v="2026-04-20"/>
    <x v="15"/>
    <x v="16"/>
    <x v="6"/>
    <s v="Operational Cost"/>
    <x v="15"/>
    <n v="4833"/>
    <s v=""/>
    <n v="4833"/>
  </r>
  <r>
    <s v="2026-04-20"/>
    <x v="15"/>
    <x v="7"/>
    <x v="3"/>
    <s v="Sales General &amp; Administration "/>
    <x v="9"/>
    <n v="5400"/>
    <s v=""/>
    <n v="5400"/>
  </r>
  <r>
    <s v="2026-04-20"/>
    <x v="15"/>
    <x v="11"/>
    <x v="6"/>
    <s v="Operational Cost"/>
    <x v="9"/>
    <s v=""/>
    <n v="2865"/>
    <n v="-2865"/>
  </r>
  <r>
    <s v="2026-04-20"/>
    <x v="15"/>
    <x v="14"/>
    <x v="3"/>
    <s v="Sales General &amp; Administration "/>
    <x v="98"/>
    <n v="226"/>
    <s v=""/>
    <n v="226"/>
  </r>
  <r>
    <s v="2026-04-20"/>
    <x v="15"/>
    <x v="10"/>
    <x v="3"/>
    <s v="Operational Cost"/>
    <x v="98"/>
    <n v="308.91000000000003"/>
    <s v=""/>
    <n v="308.91000000000003"/>
  </r>
  <r>
    <s v="2026-04-21"/>
    <x v="15"/>
    <x v="11"/>
    <x v="6"/>
    <s v="Operational Cost"/>
    <x v="45"/>
    <n v="104969.25"/>
    <s v=""/>
    <n v="104969.25"/>
  </r>
  <r>
    <s v="2026-04-21"/>
    <x v="15"/>
    <x v="19"/>
    <x v="8"/>
    <s v="Sales General &amp; Administration "/>
    <x v="51"/>
    <n v="11.79"/>
    <s v=""/>
    <n v="11.79"/>
  </r>
  <r>
    <s v="2026-04-21"/>
    <x v="15"/>
    <x v="14"/>
    <x v="3"/>
    <s v="Sales General &amp; Administration "/>
    <x v="98"/>
    <n v="266"/>
    <s v=""/>
    <n v="266"/>
  </r>
  <r>
    <s v="2026-04-21"/>
    <x v="15"/>
    <x v="7"/>
    <x v="3"/>
    <s v="Sales General &amp; Administration "/>
    <x v="98"/>
    <n v="727"/>
    <s v=""/>
    <n v="727"/>
  </r>
  <r>
    <s v="2026-04-22"/>
    <x v="15"/>
    <x v="13"/>
    <x v="2"/>
    <s v="Operational Cost"/>
    <x v="14"/>
    <n v="5372"/>
    <s v=""/>
    <n v="5372"/>
  </r>
  <r>
    <s v="2026-04-22"/>
    <x v="15"/>
    <x v="11"/>
    <x v="6"/>
    <s v="Operational Cost"/>
    <x v="9"/>
    <n v="4000"/>
    <s v=""/>
    <n v="4000"/>
  </r>
  <r>
    <s v="2026-04-22"/>
    <x v="15"/>
    <x v="14"/>
    <x v="3"/>
    <s v="Sales General &amp; Administration "/>
    <x v="98"/>
    <n v="280"/>
    <s v=""/>
    <n v="280"/>
  </r>
  <r>
    <s v="2026-04-22"/>
    <x v="15"/>
    <x v="14"/>
    <x v="3"/>
    <s v="Sales General &amp; Administration "/>
    <x v="98"/>
    <n v="126"/>
    <s v=""/>
    <n v="126"/>
  </r>
  <r>
    <s v="2026-04-23"/>
    <x v="15"/>
    <x v="13"/>
    <x v="2"/>
    <s v="Operational Cost"/>
    <x v="21"/>
    <n v="2367"/>
    <s v=""/>
    <n v="2367"/>
  </r>
  <r>
    <s v="2026-04-24"/>
    <x v="15"/>
    <x v="19"/>
    <x v="8"/>
    <s v="Sales General &amp; Administration "/>
    <x v="12"/>
    <n v="23.67"/>
    <s v=""/>
    <n v="23.67"/>
  </r>
  <r>
    <s v="2026-04-24"/>
    <x v="15"/>
    <x v="14"/>
    <x v="3"/>
    <s v="Sales General &amp; Administration "/>
    <x v="98"/>
    <n v="306"/>
    <s v=""/>
    <n v="306"/>
  </r>
  <r>
    <s v="2026-04-25"/>
    <x v="15"/>
    <x v="10"/>
    <x v="3"/>
    <s v="Operational Cost"/>
    <x v="119"/>
    <n v="1479"/>
    <s v=""/>
    <n v="1479"/>
  </r>
  <r>
    <s v="2026-04-25"/>
    <x v="15"/>
    <x v="14"/>
    <x v="3"/>
    <s v="Sales General &amp; Administration "/>
    <x v="98"/>
    <n v="138"/>
    <s v=""/>
    <n v="138"/>
  </r>
  <r>
    <s v="2026-04-25"/>
    <x v="15"/>
    <x v="14"/>
    <x v="3"/>
    <s v="Sales General &amp; Administration "/>
    <x v="98"/>
    <n v="136"/>
    <s v=""/>
    <n v="136"/>
  </r>
  <r>
    <s v="2026-04-26"/>
    <x v="15"/>
    <x v="14"/>
    <x v="3"/>
    <s v="Sales General &amp; Administration "/>
    <x v="98"/>
    <n v="381"/>
    <s v=""/>
    <n v="381"/>
  </r>
  <r>
    <s v="2026-04-27"/>
    <x v="15"/>
    <x v="13"/>
    <x v="2"/>
    <s v="Operational Cost"/>
    <x v="21"/>
    <n v="2714"/>
    <s v=""/>
    <n v="2714"/>
  </r>
  <r>
    <s v="2026-04-27"/>
    <x v="15"/>
    <x v="14"/>
    <x v="3"/>
    <s v="Sales General &amp; Administration "/>
    <x v="98"/>
    <n v="475"/>
    <s v=""/>
    <n v="475"/>
  </r>
  <r>
    <s v="2026-04-27"/>
    <x v="15"/>
    <x v="14"/>
    <x v="3"/>
    <s v="Sales General &amp; Administration "/>
    <x v="98"/>
    <n v="105"/>
    <s v=""/>
    <n v="105"/>
  </r>
  <r>
    <s v="2026-04-28"/>
    <x v="15"/>
    <x v="14"/>
    <x v="3"/>
    <s v="Sales General &amp; Administration "/>
    <x v="98"/>
    <n v="189"/>
    <s v=""/>
    <n v="189"/>
  </r>
  <r>
    <s v="2026-04-28"/>
    <x v="15"/>
    <x v="15"/>
    <x v="2"/>
    <s v="Operational Cost"/>
    <x v="19"/>
    <n v="599"/>
    <s v=""/>
    <n v="599"/>
  </r>
  <r>
    <s v="2026-04-29"/>
    <x v="15"/>
    <x v="7"/>
    <x v="3"/>
    <s v="Sales General &amp; Administration "/>
    <x v="9"/>
    <n v="750"/>
    <s v=""/>
    <n v="750"/>
  </r>
  <r>
    <s v="2026-04-29"/>
    <x v="15"/>
    <x v="8"/>
    <x v="5"/>
    <s v="Indirect Income"/>
    <x v="7"/>
    <s v=""/>
    <n v="260272.13"/>
    <n v="-260272.13"/>
  </r>
  <r>
    <s v="2026-04-29"/>
    <x v="15"/>
    <x v="8"/>
    <x v="5"/>
    <s v="Indirect Income"/>
    <x v="7"/>
    <s v=""/>
    <n v="123964.87"/>
    <n v="-123964.87"/>
  </r>
  <r>
    <s v="2026-04-29"/>
    <x v="15"/>
    <x v="14"/>
    <x v="3"/>
    <s v="Sales General &amp; Administration "/>
    <x v="98"/>
    <n v="322"/>
    <s v=""/>
    <n v="322"/>
  </r>
  <r>
    <s v="2026-04-29"/>
    <x v="15"/>
    <x v="10"/>
    <x v="3"/>
    <s v="Operational Cost"/>
    <x v="98"/>
    <n v="1020.96"/>
    <s v=""/>
    <n v="1020.96"/>
  </r>
  <r>
    <s v="2026-04-30"/>
    <x v="15"/>
    <x v="58"/>
    <x v="3"/>
    <s v="Sales General &amp; Administration "/>
    <x v="122"/>
    <n v="27000"/>
    <s v=""/>
    <n v="27000"/>
  </r>
  <r>
    <s v="2026-04-30"/>
    <x v="15"/>
    <x v="58"/>
    <x v="3"/>
    <s v="Sales General &amp; Administration "/>
    <x v="122"/>
    <n v="30"/>
    <s v=""/>
    <n v="30"/>
  </r>
  <r>
    <s v="2026-04-30"/>
    <x v="15"/>
    <x v="13"/>
    <x v="2"/>
    <s v="Operational Cost"/>
    <x v="14"/>
    <n v="4650"/>
    <s v=""/>
    <n v="4650"/>
  </r>
  <r>
    <s v="2026-04-30"/>
    <x v="15"/>
    <x v="37"/>
    <x v="9"/>
    <s v="Sales General &amp; Administration "/>
    <x v="39"/>
    <n v="20000"/>
    <s v=""/>
    <n v="20000"/>
  </r>
  <r>
    <s v="2026-04-30"/>
    <x v="15"/>
    <x v="24"/>
    <x v="9"/>
    <s v="Sales General &amp; Administration "/>
    <x v="26"/>
    <n v="160000"/>
    <s v=""/>
    <n v="160000"/>
  </r>
  <r>
    <s v="2026-04-30"/>
    <x v="15"/>
    <x v="24"/>
    <x v="9"/>
    <s v="Sales General &amp; Administration "/>
    <x v="26"/>
    <n v="160000"/>
    <s v=""/>
    <n v="160000"/>
  </r>
  <r>
    <s v="2026-04-30"/>
    <x v="15"/>
    <x v="24"/>
    <x v="9"/>
    <s v="Sales General &amp; Administration "/>
    <x v="26"/>
    <n v="60000"/>
    <s v=""/>
    <n v="60000"/>
  </r>
  <r>
    <s v="2026-04-30"/>
    <x v="15"/>
    <x v="26"/>
    <x v="3"/>
    <s v="Sales General &amp; Administration "/>
    <x v="92"/>
    <n v="13533"/>
    <s v=""/>
    <n v="13533"/>
  </r>
  <r>
    <s v="2026-04-30"/>
    <x v="15"/>
    <x v="21"/>
    <x v="0"/>
    <s v="Operational Cost"/>
    <x v="20"/>
    <n v="11040"/>
    <s v=""/>
    <n v="11040"/>
  </r>
  <r>
    <s v="2026-04-30"/>
    <x v="15"/>
    <x v="21"/>
    <x v="0"/>
    <s v="Operational Cost"/>
    <x v="20"/>
    <n v="127391.08"/>
    <s v=""/>
    <n v="127391.08"/>
  </r>
  <r>
    <s v="2026-04-30"/>
    <x v="15"/>
    <x v="21"/>
    <x v="0"/>
    <s v="Operational Cost"/>
    <x v="20"/>
    <n v="42265.01"/>
    <s v=""/>
    <n v="42265.01"/>
  </r>
  <r>
    <s v="2026-04-30"/>
    <x v="15"/>
    <x v="26"/>
    <x v="3"/>
    <s v="Sales General &amp; Administration "/>
    <x v="107"/>
    <n v="32000"/>
    <s v=""/>
    <n v="32000"/>
  </r>
  <r>
    <s v="2026-04-30"/>
    <x v="15"/>
    <x v="11"/>
    <x v="6"/>
    <s v="Operational Cost"/>
    <x v="45"/>
    <n v="18000"/>
    <s v=""/>
    <n v="18000"/>
  </r>
  <r>
    <s v="2026-04-30"/>
    <x v="15"/>
    <x v="11"/>
    <x v="6"/>
    <s v="Operational Cost"/>
    <x v="129"/>
    <n v="24040"/>
    <s v=""/>
    <n v="24040"/>
  </r>
  <r>
    <s v="2026-04-30"/>
    <x v="15"/>
    <x v="27"/>
    <x v="3"/>
    <s v="Sales General &amp; Administration "/>
    <x v="29"/>
    <n v="805"/>
    <s v=""/>
    <n v="805"/>
  </r>
  <r>
    <s v="2026-04-30"/>
    <x v="15"/>
    <x v="24"/>
    <x v="9"/>
    <s v="Sales General &amp; Administration "/>
    <x v="26"/>
    <n v="255946"/>
    <s v=""/>
    <n v="255946"/>
  </r>
  <r>
    <s v="2026-04-30"/>
    <x v="15"/>
    <x v="31"/>
    <x v="3"/>
    <s v="Sales General &amp; Administration "/>
    <x v="33"/>
    <n v="17520"/>
    <s v=""/>
    <n v="17520"/>
  </r>
  <r>
    <s v="2026-04-30"/>
    <x v="15"/>
    <x v="32"/>
    <x v="3"/>
    <s v="Sales General &amp; Administration "/>
    <x v="34"/>
    <n v="17520"/>
    <s v=""/>
    <n v="17520"/>
  </r>
  <r>
    <s v="2026-04-30"/>
    <x v="15"/>
    <x v="39"/>
    <x v="3"/>
    <s v="Sales General &amp; Administration "/>
    <x v="41"/>
    <n v="209"/>
    <s v=""/>
    <n v="209"/>
  </r>
  <r>
    <s v="2026-04-30"/>
    <x v="15"/>
    <x v="27"/>
    <x v="3"/>
    <s v="Sales General &amp; Administration "/>
    <x v="29"/>
    <n v="35284"/>
    <s v=""/>
    <n v="35284"/>
  </r>
  <r>
    <s v="2026-04-30"/>
    <x v="15"/>
    <x v="28"/>
    <x v="3"/>
    <s v="Sales General &amp; Administration "/>
    <x v="30"/>
    <n v="271457"/>
    <s v=""/>
    <n v="271457"/>
  </r>
  <r>
    <s v="2026-04-30"/>
    <x v="15"/>
    <x v="29"/>
    <x v="7"/>
    <s v="Operational Cost"/>
    <x v="31"/>
    <n v="5768982"/>
    <s v=""/>
    <n v="5768982"/>
  </r>
  <r>
    <s v="2026-04-30"/>
    <x v="15"/>
    <x v="30"/>
    <x v="7"/>
    <s v="Operational Cost"/>
    <x v="32"/>
    <n v="3503973"/>
    <s v=""/>
    <n v="3503973"/>
  </r>
  <r>
    <s v="2026-04-30"/>
    <x v="15"/>
    <x v="31"/>
    <x v="3"/>
    <s v="Sales General &amp; Administration "/>
    <x v="33"/>
    <n v="423386"/>
    <s v=""/>
    <n v="423386"/>
  </r>
  <r>
    <s v="2026-04-30"/>
    <x v="15"/>
    <x v="32"/>
    <x v="3"/>
    <s v="Sales General &amp; Administration "/>
    <x v="34"/>
    <n v="423386"/>
    <s v=""/>
    <n v="423386"/>
  </r>
  <r>
    <s v="2026-04-30"/>
    <x v="15"/>
    <x v="33"/>
    <x v="3"/>
    <s v="Sales General &amp; Administration "/>
    <x v="35"/>
    <n v="29236"/>
    <s v=""/>
    <n v="29236"/>
  </r>
  <r>
    <s v="2026-04-30"/>
    <x v="15"/>
    <x v="34"/>
    <x v="3"/>
    <s v="Sales General &amp; Administration "/>
    <x v="36"/>
    <n v="6769"/>
    <s v=""/>
    <n v="6769"/>
  </r>
  <r>
    <s v="2026-04-30"/>
    <x v="15"/>
    <x v="35"/>
    <x v="10"/>
    <s v="Sales General &amp; Administration "/>
    <x v="37"/>
    <n v="114721"/>
    <s v=""/>
    <n v="114721"/>
  </r>
  <r>
    <s v="2026-04-30"/>
    <x v="15"/>
    <x v="36"/>
    <x v="9"/>
    <s v="Sales General &amp; Administration "/>
    <x v="38"/>
    <n v="58100"/>
    <s v=""/>
    <n v="58100"/>
  </r>
  <r>
    <s v="2026-04-30"/>
    <x v="15"/>
    <x v="37"/>
    <x v="9"/>
    <s v="Sales General &amp; Administration "/>
    <x v="39"/>
    <n v="51219"/>
    <s v=""/>
    <n v="51219"/>
  </r>
  <r>
    <s v="2026-04-30"/>
    <x v="15"/>
    <x v="38"/>
    <x v="9"/>
    <s v="Sales General &amp; Administration "/>
    <x v="40"/>
    <n v="76922"/>
    <s v=""/>
    <n v="76922"/>
  </r>
  <r>
    <s v="2026-04-30"/>
    <x v="15"/>
    <x v="39"/>
    <x v="3"/>
    <s v="Sales General &amp; Administration "/>
    <x v="41"/>
    <n v="55745"/>
    <s v=""/>
    <n v="55745"/>
  </r>
  <r>
    <s v="2026-04-30"/>
    <x v="15"/>
    <x v="27"/>
    <x v="3"/>
    <s v="Sales General &amp; Administration "/>
    <x v="29"/>
    <n v="790"/>
    <s v=""/>
    <n v="790"/>
  </r>
  <r>
    <s v="2026-04-30"/>
    <x v="15"/>
    <x v="24"/>
    <x v="9"/>
    <s v="Sales General &amp; Administration "/>
    <x v="26"/>
    <n v="250992"/>
    <s v=""/>
    <n v="250992"/>
  </r>
  <r>
    <s v="2026-04-30"/>
    <x v="15"/>
    <x v="31"/>
    <x v="3"/>
    <s v="Sales General &amp; Administration "/>
    <x v="33"/>
    <n v="17181"/>
    <s v=""/>
    <n v="17181"/>
  </r>
  <r>
    <s v="2026-04-30"/>
    <x v="15"/>
    <x v="32"/>
    <x v="3"/>
    <s v="Sales General &amp; Administration "/>
    <x v="34"/>
    <n v="17181"/>
    <s v=""/>
    <n v="17181"/>
  </r>
  <r>
    <s v="2026-04-30"/>
    <x v="15"/>
    <x v="39"/>
    <x v="3"/>
    <s v="Sales General &amp; Administration "/>
    <x v="41"/>
    <n v="209"/>
    <s v=""/>
    <n v="209"/>
  </r>
  <r>
    <s v="2026-04-30"/>
    <x v="15"/>
    <x v="14"/>
    <x v="3"/>
    <s v="Sales General &amp; Administration "/>
    <x v="98"/>
    <n v="298"/>
    <s v=""/>
    <n v="298"/>
  </r>
  <r>
    <s v="2026-04-30"/>
    <x v="15"/>
    <x v="7"/>
    <x v="3"/>
    <s v="Sales General &amp; Administration "/>
    <x v="98"/>
    <n v="795.9"/>
    <s v=""/>
    <n v="795.9"/>
  </r>
  <r>
    <s v="2026-04-30"/>
    <x v="15"/>
    <x v="6"/>
    <x v="4"/>
    <s v="Operational Cost"/>
    <x v="104"/>
    <n v="89050"/>
    <s v=""/>
    <n v="89050"/>
  </r>
  <r>
    <s v="2026-05-01"/>
    <x v="16"/>
    <x v="46"/>
    <x v="8"/>
    <s v="Sales General &amp; Administration "/>
    <x v="55"/>
    <n v="81227"/>
    <s v=""/>
    <n v="81227"/>
  </r>
  <r>
    <s v="2026-05-01"/>
    <x v="16"/>
    <x v="19"/>
    <x v="8"/>
    <s v="Sales General &amp; Administration "/>
    <x v="12"/>
    <n v="47.16"/>
    <s v=""/>
    <n v="47.16"/>
  </r>
  <r>
    <s v="2026-05-01"/>
    <x v="16"/>
    <x v="0"/>
    <x v="0"/>
    <s v="Operational Cost"/>
    <x v="0"/>
    <n v="395769"/>
    <s v=""/>
    <n v="395769"/>
  </r>
  <r>
    <s v="2026-05-01"/>
    <x v="16"/>
    <x v="52"/>
    <x v="0"/>
    <s v="Operational Cost"/>
    <x v="82"/>
    <n v="400000"/>
    <s v=""/>
    <n v="400000"/>
  </r>
  <r>
    <s v="2026-05-01"/>
    <x v="16"/>
    <x v="4"/>
    <x v="2"/>
    <s v="Operational Cost"/>
    <x v="3"/>
    <n v="19886"/>
    <s v=""/>
    <n v="19886"/>
  </r>
  <r>
    <s v="2026-05-01"/>
    <x v="16"/>
    <x v="1"/>
    <x v="0"/>
    <s v="Operational Cost"/>
    <x v="0"/>
    <n v="68360"/>
    <s v=""/>
    <n v="68360"/>
  </r>
  <r>
    <s v="2026-05-01"/>
    <x v="16"/>
    <x v="6"/>
    <x v="4"/>
    <s v="Operational Cost"/>
    <x v="5"/>
    <n v="325500"/>
    <s v=""/>
    <n v="325500"/>
  </r>
  <r>
    <s v="2026-05-01"/>
    <x v="16"/>
    <x v="13"/>
    <x v="2"/>
    <s v="Operational Cost"/>
    <x v="14"/>
    <n v="9147"/>
    <s v=""/>
    <n v="9147"/>
  </r>
  <r>
    <s v="2026-05-01"/>
    <x v="16"/>
    <x v="13"/>
    <x v="2"/>
    <s v="Operational Cost"/>
    <x v="14"/>
    <n v="577"/>
    <s v=""/>
    <n v="577"/>
  </r>
  <r>
    <s v="2026-05-02"/>
    <x v="16"/>
    <x v="10"/>
    <x v="3"/>
    <s v="Operational Cost"/>
    <x v="98"/>
    <n v="1177.51"/>
    <s v=""/>
    <n v="1177.51"/>
  </r>
  <r>
    <s v="2026-05-02"/>
    <x v="16"/>
    <x v="16"/>
    <x v="6"/>
    <s v="Operational Cost"/>
    <x v="15"/>
    <n v="5605"/>
    <s v=""/>
    <n v="5605"/>
  </r>
  <r>
    <s v="2026-05-02"/>
    <x v="16"/>
    <x v="13"/>
    <x v="2"/>
    <s v="Operational Cost"/>
    <x v="14"/>
    <n v="1083"/>
    <s v=""/>
    <n v="1083"/>
  </r>
  <r>
    <s v="2026-05-03"/>
    <x v="16"/>
    <x v="14"/>
    <x v="3"/>
    <s v="Sales General &amp; Administration "/>
    <x v="98"/>
    <n v="196"/>
    <s v=""/>
    <n v="196"/>
  </r>
  <r>
    <s v="2026-05-03"/>
    <x v="16"/>
    <x v="9"/>
    <x v="2"/>
    <s v="Operational Cost"/>
    <x v="8"/>
    <n v="9167"/>
    <s v=""/>
    <n v="9167"/>
  </r>
  <r>
    <s v="2026-05-03"/>
    <x v="16"/>
    <x v="9"/>
    <x v="2"/>
    <s v="Operational Cost"/>
    <x v="8"/>
    <n v="10417"/>
    <s v=""/>
    <n v="10417"/>
  </r>
  <r>
    <s v="2026-05-03"/>
    <x v="16"/>
    <x v="9"/>
    <x v="2"/>
    <s v="Operational Cost"/>
    <x v="8"/>
    <n v="23333"/>
    <s v=""/>
    <n v="23333"/>
  </r>
  <r>
    <s v="2026-05-04"/>
    <x v="16"/>
    <x v="17"/>
    <x v="0"/>
    <s v="Operational Cost"/>
    <x v="82"/>
    <n v="42360"/>
    <s v=""/>
    <n v="42360"/>
  </r>
  <r>
    <s v="2026-05-04"/>
    <x v="16"/>
    <x v="7"/>
    <x v="3"/>
    <s v="Sales General &amp; Administration "/>
    <x v="6"/>
    <n v="18919"/>
    <s v=""/>
    <n v="18919"/>
  </r>
  <r>
    <s v="2026-05-04"/>
    <x v="16"/>
    <x v="55"/>
    <x v="0"/>
    <s v="Operational Cost"/>
    <x v="101"/>
    <n v="25000"/>
    <s v=""/>
    <n v="25000"/>
  </r>
  <r>
    <s v="2026-05-04"/>
    <x v="16"/>
    <x v="17"/>
    <x v="0"/>
    <s v="Operational Cost"/>
    <x v="101"/>
    <n v="4907"/>
    <s v=""/>
    <n v="4907"/>
  </r>
  <r>
    <s v="2026-05-04"/>
    <x v="16"/>
    <x v="11"/>
    <x v="6"/>
    <s v="Operational Cost"/>
    <x v="9"/>
    <n v="150"/>
    <s v=""/>
    <n v="150"/>
  </r>
  <r>
    <s v="2026-05-04"/>
    <x v="16"/>
    <x v="11"/>
    <x v="6"/>
    <s v="Operational Cost"/>
    <x v="9"/>
    <n v="378"/>
    <s v=""/>
    <n v="378"/>
  </r>
  <r>
    <s v="2026-05-04"/>
    <x v="16"/>
    <x v="9"/>
    <x v="2"/>
    <s v="Operational Cost"/>
    <x v="130"/>
    <n v="20750"/>
    <s v=""/>
    <n v="20750"/>
  </r>
  <r>
    <s v="2026-05-05"/>
    <x v="16"/>
    <x v="7"/>
    <x v="3"/>
    <s v="Sales General &amp; Administration "/>
    <x v="97"/>
    <n v="1047"/>
    <s v=""/>
    <n v="1047"/>
  </r>
  <r>
    <s v="2026-05-05"/>
    <x v="16"/>
    <x v="14"/>
    <x v="3"/>
    <s v="Sales General &amp; Administration "/>
    <x v="98"/>
    <n v="430"/>
    <s v=""/>
    <n v="430"/>
  </r>
  <r>
    <s v="2026-05-05"/>
    <x v="16"/>
    <x v="11"/>
    <x v="6"/>
    <s v="Operational Cost"/>
    <x v="9"/>
    <n v="1224.05"/>
    <s v=""/>
    <n v="1224.05"/>
  </r>
  <r>
    <s v="2026-05-05"/>
    <x v="16"/>
    <x v="11"/>
    <x v="6"/>
    <s v="Operational Cost"/>
    <x v="9"/>
    <n v="1224.05"/>
    <s v=""/>
    <n v="1224.05"/>
  </r>
  <r>
    <s v="2026-05-05"/>
    <x v="16"/>
    <x v="11"/>
    <x v="6"/>
    <s v="Operational Cost"/>
    <x v="9"/>
    <n v="2455"/>
    <s v=""/>
    <n v="2455"/>
  </r>
  <r>
    <s v="2026-05-06"/>
    <x v="16"/>
    <x v="14"/>
    <x v="3"/>
    <s v="Sales General &amp; Administration "/>
    <x v="98"/>
    <n v="359"/>
    <s v=""/>
    <n v="359"/>
  </r>
  <r>
    <s v="2026-05-06"/>
    <x v="16"/>
    <x v="14"/>
    <x v="3"/>
    <s v="Sales General &amp; Administration "/>
    <x v="98"/>
    <n v="145"/>
    <s v=""/>
    <n v="145"/>
  </r>
  <r>
    <s v="2026-05-06"/>
    <x v="16"/>
    <x v="7"/>
    <x v="3"/>
    <s v="Sales General &amp; Administration "/>
    <x v="98"/>
    <n v="225.7"/>
    <s v=""/>
    <n v="225.7"/>
  </r>
  <r>
    <s v="2026-05-06"/>
    <x v="16"/>
    <x v="10"/>
    <x v="3"/>
    <s v="Operational Cost"/>
    <x v="9"/>
    <n v="2664.35"/>
    <s v=""/>
    <n v="2664.35"/>
  </r>
  <r>
    <s v="2026-05-06"/>
    <x v="16"/>
    <x v="13"/>
    <x v="2"/>
    <s v="Operational Cost"/>
    <x v="14"/>
    <n v="2479"/>
    <s v=""/>
    <n v="2479"/>
  </r>
  <r>
    <s v="2026-05-06"/>
    <x v="16"/>
    <x v="11"/>
    <x v="6"/>
    <s v="Operational Cost"/>
    <x v="9"/>
    <n v="2214.5"/>
    <s v=""/>
    <n v="2214.5"/>
  </r>
  <r>
    <s v="2026-05-06"/>
    <x v="16"/>
    <x v="11"/>
    <x v="6"/>
    <s v="Operational Cost"/>
    <x v="9"/>
    <n v="2024.5"/>
    <s v=""/>
    <n v="2024.5"/>
  </r>
  <r>
    <s v="2026-05-06"/>
    <x v="16"/>
    <x v="11"/>
    <x v="6"/>
    <s v="Operational Cost"/>
    <x v="9"/>
    <n v="250"/>
    <s v=""/>
    <n v="250"/>
  </r>
  <r>
    <s v="2026-05-07"/>
    <x v="16"/>
    <x v="11"/>
    <x v="6"/>
    <s v="Operational Cost"/>
    <x v="126"/>
    <n v="1200"/>
    <s v=""/>
    <n v="1200"/>
  </r>
  <r>
    <s v="2026-05-07"/>
    <x v="16"/>
    <x v="14"/>
    <x v="3"/>
    <s v="Sales General &amp; Administration "/>
    <x v="98"/>
    <n v="267"/>
    <s v=""/>
    <n v="267"/>
  </r>
  <r>
    <s v="2026-05-07"/>
    <x v="16"/>
    <x v="10"/>
    <x v="3"/>
    <s v="Operational Cost"/>
    <x v="98"/>
    <n v="2353.29"/>
    <s v=""/>
    <n v="2353.29"/>
  </r>
  <r>
    <s v="2026-05-07"/>
    <x v="16"/>
    <x v="14"/>
    <x v="3"/>
    <s v="Sales General &amp; Administration "/>
    <x v="98"/>
    <n v="1500"/>
    <s v=""/>
    <n v="1500"/>
  </r>
  <r>
    <s v="2026-05-07"/>
    <x v="16"/>
    <x v="58"/>
    <x v="3"/>
    <s v="Sales General &amp; Administration "/>
    <x v="122"/>
    <n v="200"/>
    <s v=""/>
    <n v="200"/>
  </r>
  <r>
    <s v="2026-05-07"/>
    <x v="16"/>
    <x v="14"/>
    <x v="3"/>
    <s v="Sales General &amp; Administration "/>
    <x v="9"/>
    <n v="730"/>
    <s v=""/>
    <n v="730"/>
  </r>
  <r>
    <s v="2026-05-07"/>
    <x v="16"/>
    <x v="48"/>
    <x v="8"/>
    <s v="Sales General &amp; Administration "/>
    <x v="9"/>
    <n v="729"/>
    <s v=""/>
    <n v="729"/>
  </r>
  <r>
    <s v="2026-05-07"/>
    <x v="16"/>
    <x v="23"/>
    <x v="2"/>
    <s v="Operational Cost"/>
    <x v="89"/>
    <n v="24529.52"/>
    <s v=""/>
    <n v="24529.52"/>
  </r>
  <r>
    <s v="2026-05-07"/>
    <x v="16"/>
    <x v="23"/>
    <x v="2"/>
    <s v="Operational Cost"/>
    <x v="89"/>
    <n v="15000"/>
    <s v=""/>
    <n v="15000"/>
  </r>
  <r>
    <s v="2026-05-07"/>
    <x v="16"/>
    <x v="16"/>
    <x v="6"/>
    <s v="Operational Cost"/>
    <x v="15"/>
    <n v="59099"/>
    <s v=""/>
    <n v="59099"/>
  </r>
  <r>
    <s v="2026-05-08"/>
    <x v="16"/>
    <x v="14"/>
    <x v="3"/>
    <s v="Sales General &amp; Administration "/>
    <x v="98"/>
    <n v="234"/>
    <s v=""/>
    <n v="234"/>
  </r>
  <r>
    <s v="2026-05-08"/>
    <x v="16"/>
    <x v="10"/>
    <x v="3"/>
    <s v="Operational Cost"/>
    <x v="98"/>
    <n v="1389.61"/>
    <s v=""/>
    <n v="1389.61"/>
  </r>
  <r>
    <s v="2026-05-08"/>
    <x v="16"/>
    <x v="14"/>
    <x v="3"/>
    <s v="Sales General &amp; Administration "/>
    <x v="98"/>
    <n v="8950"/>
    <s v=""/>
    <n v="8950"/>
  </r>
  <r>
    <s v="2026-05-09"/>
    <x v="16"/>
    <x v="15"/>
    <x v="2"/>
    <s v="Operational Cost"/>
    <x v="19"/>
    <n v="1298"/>
    <s v=""/>
    <n v="1298"/>
  </r>
  <r>
    <s v="2026-05-09"/>
    <x v="16"/>
    <x v="13"/>
    <x v="2"/>
    <s v="Operational Cost"/>
    <x v="14"/>
    <n v="8350"/>
    <s v=""/>
    <n v="8350"/>
  </r>
  <r>
    <s v="2026-05-09"/>
    <x v="16"/>
    <x v="13"/>
    <x v="2"/>
    <s v="Operational Cost"/>
    <x v="14"/>
    <n v="223"/>
    <s v=""/>
    <n v="223"/>
  </r>
  <r>
    <s v="2026-05-10"/>
    <x v="16"/>
    <x v="10"/>
    <x v="3"/>
    <s v="Operational Cost"/>
    <x v="98"/>
    <n v="975.51"/>
    <s v=""/>
    <n v="975.51"/>
  </r>
  <r>
    <s v="2026-05-11"/>
    <x v="16"/>
    <x v="14"/>
    <x v="3"/>
    <s v="Sales General &amp; Administration "/>
    <x v="98"/>
    <n v="426"/>
    <s v=""/>
    <n v="426"/>
  </r>
  <r>
    <s v="2026-05-11"/>
    <x v="16"/>
    <x v="3"/>
    <x v="1"/>
    <s v="Sales General &amp; Administration "/>
    <x v="2"/>
    <n v="125000"/>
    <s v=""/>
    <n v="125000"/>
  </r>
  <r>
    <s v="2026-05-11"/>
    <x v="16"/>
    <x v="11"/>
    <x v="6"/>
    <s v="Operational Cost"/>
    <x v="9"/>
    <s v=""/>
    <n v="1490.72"/>
    <n v="-1490.72"/>
  </r>
  <r>
    <s v="2026-05-11"/>
    <x v="16"/>
    <x v="11"/>
    <x v="6"/>
    <s v="Operational Cost"/>
    <x v="9"/>
    <s v=""/>
    <n v="1630.72"/>
    <n v="-1630.72"/>
  </r>
  <r>
    <s v="2026-05-12"/>
    <x v="16"/>
    <x v="19"/>
    <x v="8"/>
    <s v="Sales General &amp; Administration "/>
    <x v="51"/>
    <n v="631.14"/>
    <s v=""/>
    <n v="631.14"/>
  </r>
  <r>
    <s v="2026-05-12"/>
    <x v="16"/>
    <x v="14"/>
    <x v="3"/>
    <s v="Sales General &amp; Administration "/>
    <x v="98"/>
    <n v="361"/>
    <s v=""/>
    <n v="361"/>
  </r>
  <r>
    <s v="2026-05-12"/>
    <x v="16"/>
    <x v="13"/>
    <x v="2"/>
    <s v="Operational Cost"/>
    <x v="14"/>
    <n v="2775"/>
    <s v=""/>
    <n v="2775"/>
  </r>
  <r>
    <s v="2026-05-13"/>
    <x v="16"/>
    <x v="14"/>
    <x v="3"/>
    <s v="Sales General &amp; Administration "/>
    <x v="98"/>
    <n v="305"/>
    <s v=""/>
    <n v="305"/>
  </r>
  <r>
    <s v="2026-05-14"/>
    <x v="16"/>
    <x v="11"/>
    <x v="6"/>
    <s v="Operational Cost"/>
    <x v="9"/>
    <n v="1404"/>
    <s v=""/>
    <n v="1404"/>
  </r>
  <r>
    <s v="2026-05-14"/>
    <x v="16"/>
    <x v="17"/>
    <x v="0"/>
    <s v="Operational Cost"/>
    <x v="16"/>
    <n v="205399"/>
    <s v=""/>
    <n v="205399"/>
  </r>
  <r>
    <s v="2026-05-14"/>
    <x v="16"/>
    <x v="11"/>
    <x v="6"/>
    <s v="Operational Cost"/>
    <x v="9"/>
    <n v="630"/>
    <s v=""/>
    <n v="630"/>
  </r>
  <r>
    <s v="2026-05-14"/>
    <x v="16"/>
    <x v="10"/>
    <x v="3"/>
    <s v="Operational Cost"/>
    <x v="9"/>
    <n v="2450"/>
    <s v=""/>
    <n v="2450"/>
  </r>
  <r>
    <s v="2026-05-14"/>
    <x v="16"/>
    <x v="11"/>
    <x v="6"/>
    <s v="Operational Cost"/>
    <x v="9"/>
    <n v="2000"/>
    <s v=""/>
    <n v="2000"/>
  </r>
  <r>
    <s v="2026-05-14"/>
    <x v="16"/>
    <x v="11"/>
    <x v="6"/>
    <s v="Operational Cost"/>
    <x v="9"/>
    <n v="2492"/>
    <s v=""/>
    <n v="2492"/>
  </r>
  <r>
    <s v="2026-05-15"/>
    <x v="16"/>
    <x v="15"/>
    <x v="2"/>
    <s v="Operational Cost"/>
    <x v="19"/>
    <n v="782.9"/>
    <s v=""/>
    <n v="782.9"/>
  </r>
  <r>
    <s v="2026-05-15"/>
    <x v="16"/>
    <x v="14"/>
    <x v="3"/>
    <s v="Sales General &amp; Administration "/>
    <x v="98"/>
    <n v="375"/>
    <s v=""/>
    <n v="375"/>
  </r>
  <r>
    <s v="2026-05-15"/>
    <x v="16"/>
    <x v="14"/>
    <x v="3"/>
    <s v="Sales General &amp; Administration "/>
    <x v="98"/>
    <n v="145"/>
    <s v=""/>
    <n v="145"/>
  </r>
  <r>
    <s v="2026-05-15"/>
    <x v="16"/>
    <x v="13"/>
    <x v="2"/>
    <s v="Operational Cost"/>
    <x v="14"/>
    <n v="8913"/>
    <s v=""/>
    <n v="8913"/>
  </r>
  <r>
    <s v="2026-05-15"/>
    <x v="16"/>
    <x v="13"/>
    <x v="2"/>
    <s v="Operational Cost"/>
    <x v="14"/>
    <n v="3535"/>
    <s v=""/>
    <n v="3535"/>
  </r>
  <r>
    <s v="2026-05-15"/>
    <x v="16"/>
    <x v="10"/>
    <x v="3"/>
    <s v="Operational Cost"/>
    <x v="98"/>
    <n v="2459.54"/>
    <s v=""/>
    <n v="2459.54"/>
  </r>
  <r>
    <s v="2026-05-16"/>
    <x v="16"/>
    <x v="14"/>
    <x v="3"/>
    <s v="Sales General &amp; Administration "/>
    <x v="98"/>
    <n v="259"/>
    <s v=""/>
    <n v="259"/>
  </r>
  <r>
    <s v="2026-05-16"/>
    <x v="16"/>
    <x v="14"/>
    <x v="3"/>
    <s v="Sales General &amp; Administration "/>
    <x v="98"/>
    <n v="276"/>
    <s v=""/>
    <n v="276"/>
  </r>
  <r>
    <s v="2026-05-17"/>
    <x v="16"/>
    <x v="10"/>
    <x v="3"/>
    <s v="Operational Cost"/>
    <x v="98"/>
    <n v="2135.7600000000002"/>
    <s v=""/>
    <n v="2135.7600000000002"/>
  </r>
  <r>
    <s v="2026-05-18"/>
    <x v="16"/>
    <x v="18"/>
    <x v="0"/>
    <s v="Operational Cost"/>
    <x v="17"/>
    <n v="27562"/>
    <s v=""/>
    <n v="27562"/>
  </r>
  <r>
    <s v="2026-05-18"/>
    <x v="16"/>
    <x v="13"/>
    <x v="2"/>
    <s v="Operational Cost"/>
    <x v="14"/>
    <n v="1499"/>
    <s v=""/>
    <n v="1499"/>
  </r>
  <r>
    <s v="2026-05-18"/>
    <x v="16"/>
    <x v="14"/>
    <x v="3"/>
    <s v="Sales General &amp; Administration "/>
    <x v="12"/>
    <n v="390"/>
    <s v=""/>
    <n v="390"/>
  </r>
  <r>
    <s v="2026-05-18"/>
    <x v="16"/>
    <x v="14"/>
    <x v="3"/>
    <s v="Sales General &amp; Administration "/>
    <x v="12"/>
    <n v="190"/>
    <s v=""/>
    <n v="190"/>
  </r>
  <r>
    <s v="2026-05-18"/>
    <x v="16"/>
    <x v="8"/>
    <x v="5"/>
    <s v="Indirect Income"/>
    <x v="7"/>
    <s v=""/>
    <n v="150920.79999999999"/>
    <n v="-150920.79999999999"/>
  </r>
  <r>
    <s v="2026-05-19"/>
    <x v="16"/>
    <x v="11"/>
    <x v="6"/>
    <s v="Operational Cost"/>
    <x v="12"/>
    <n v="1083.72"/>
    <s v=""/>
    <n v="1083.72"/>
  </r>
  <r>
    <s v="2026-05-19"/>
    <x v="16"/>
    <x v="14"/>
    <x v="3"/>
    <s v="Sales General &amp; Administration "/>
    <x v="98"/>
    <n v="385"/>
    <s v=""/>
    <n v="385"/>
  </r>
  <r>
    <s v="2026-05-19"/>
    <x v="16"/>
    <x v="7"/>
    <x v="3"/>
    <s v="Sales General &amp; Administration "/>
    <x v="98"/>
    <n v="485"/>
    <s v=""/>
    <n v="485"/>
  </r>
  <r>
    <s v="2026-05-19"/>
    <x v="16"/>
    <x v="15"/>
    <x v="2"/>
    <s v="Operational Cost"/>
    <x v="19"/>
    <n v="599"/>
    <s v=""/>
    <n v="599"/>
  </r>
  <r>
    <s v="2026-05-19"/>
    <x v="16"/>
    <x v="11"/>
    <x v="6"/>
    <s v="Operational Cost"/>
    <x v="51"/>
    <n v="3622"/>
    <s v=""/>
    <n v="3622"/>
  </r>
  <r>
    <s v="2026-05-20"/>
    <x v="16"/>
    <x v="9"/>
    <x v="2"/>
    <s v="Operational Cost"/>
    <x v="128"/>
    <n v="1149.52"/>
    <s v=""/>
    <n v="1149.52"/>
  </r>
  <r>
    <s v="2026-05-20"/>
    <x v="16"/>
    <x v="16"/>
    <x v="6"/>
    <s v="Operational Cost"/>
    <x v="15"/>
    <n v="4833"/>
    <s v=""/>
    <n v="4833"/>
  </r>
  <r>
    <s v="2026-05-20"/>
    <x v="16"/>
    <x v="23"/>
    <x v="2"/>
    <s v="Operational Cost"/>
    <x v="131"/>
    <n v="847.46"/>
    <s v=""/>
    <n v="847.46"/>
  </r>
  <r>
    <s v="2026-05-20"/>
    <x v="16"/>
    <x v="11"/>
    <x v="6"/>
    <s v="Operational Cost"/>
    <x v="9"/>
    <n v="2523"/>
    <s v=""/>
    <n v="2523"/>
  </r>
  <r>
    <s v="2026-05-21"/>
    <x v="16"/>
    <x v="14"/>
    <x v="3"/>
    <s v="Sales General &amp; Administration "/>
    <x v="98"/>
    <n v="290"/>
    <s v=""/>
    <n v="290"/>
  </r>
  <r>
    <s v="2026-05-21"/>
    <x v="16"/>
    <x v="7"/>
    <x v="3"/>
    <s v="Sales General &amp; Administration "/>
    <x v="98"/>
    <n v="232"/>
    <s v=""/>
    <n v="232"/>
  </r>
  <r>
    <s v="2026-05-21"/>
    <x v="16"/>
    <x v="11"/>
    <x v="6"/>
    <s v="Operational Cost"/>
    <x v="45"/>
    <n v="104969.25"/>
    <s v=""/>
    <n v="104969.25"/>
  </r>
  <r>
    <s v="2026-05-21"/>
    <x v="16"/>
    <x v="10"/>
    <x v="3"/>
    <s v="Operational Cost"/>
    <x v="98"/>
    <n v="2095.2800000000002"/>
    <s v=""/>
    <n v="2095.2800000000002"/>
  </r>
  <r>
    <s v="2026-05-21"/>
    <x v="16"/>
    <x v="19"/>
    <x v="8"/>
    <s v="Sales General &amp; Administration "/>
    <x v="51"/>
    <n v="99"/>
    <s v=""/>
    <n v="99"/>
  </r>
  <r>
    <s v="2026-05-22"/>
    <x v="16"/>
    <x v="11"/>
    <x v="6"/>
    <s v="Operational Cost"/>
    <x v="9"/>
    <n v="5100"/>
    <s v=""/>
    <n v="5100"/>
  </r>
  <r>
    <s v="2026-05-22"/>
    <x v="16"/>
    <x v="19"/>
    <x v="8"/>
    <s v="Sales General &amp; Administration "/>
    <x v="51"/>
    <n v="11.5"/>
    <s v=""/>
    <n v="11.5"/>
  </r>
  <r>
    <s v="2026-05-22"/>
    <x v="16"/>
    <x v="14"/>
    <x v="3"/>
    <s v="Sales General &amp; Administration "/>
    <x v="98"/>
    <n v="160"/>
    <s v=""/>
    <n v="160"/>
  </r>
  <r>
    <s v="2026-05-22"/>
    <x v="16"/>
    <x v="13"/>
    <x v="2"/>
    <s v="Operational Cost"/>
    <x v="14"/>
    <n v="5372"/>
    <s v=""/>
    <n v="5372"/>
  </r>
  <r>
    <s v="2026-05-23"/>
    <x v="16"/>
    <x v="10"/>
    <x v="3"/>
    <s v="Operational Cost"/>
    <x v="98"/>
    <n v="1111.8599999999999"/>
    <s v=""/>
    <n v="1111.8599999999999"/>
  </r>
  <r>
    <s v="2026-05-24"/>
    <x v="16"/>
    <x v="14"/>
    <x v="3"/>
    <s v="Sales General &amp; Administration "/>
    <x v="98"/>
    <n v="287"/>
    <s v=""/>
    <n v="287"/>
  </r>
  <r>
    <s v="2026-05-25"/>
    <x v="16"/>
    <x v="7"/>
    <x v="3"/>
    <s v="Sales General &amp; Administration "/>
    <x v="99"/>
    <n v="4238"/>
    <s v=""/>
    <n v="4238"/>
  </r>
  <r>
    <s v="2026-05-25"/>
    <x v="16"/>
    <x v="14"/>
    <x v="3"/>
    <s v="Sales General &amp; Administration "/>
    <x v="98"/>
    <n v="173"/>
    <s v=""/>
    <n v="173"/>
  </r>
  <r>
    <s v="2026-05-26"/>
    <x v="16"/>
    <x v="10"/>
    <x v="3"/>
    <s v="Operational Cost"/>
    <x v="9"/>
    <n v="1804.5"/>
    <s v=""/>
    <n v="1804.5"/>
  </r>
  <r>
    <s v="2026-05-26"/>
    <x v="16"/>
    <x v="17"/>
    <x v="0"/>
    <s v="Operational Cost"/>
    <x v="16"/>
    <n v="373"/>
    <s v=""/>
    <n v="373"/>
  </r>
  <r>
    <s v="2026-05-26"/>
    <x v="16"/>
    <x v="11"/>
    <x v="6"/>
    <s v="Operational Cost"/>
    <x v="9"/>
    <n v="171"/>
    <s v=""/>
    <n v="171"/>
  </r>
  <r>
    <s v="2026-05-27"/>
    <x v="16"/>
    <x v="10"/>
    <x v="3"/>
    <s v="Operational Cost"/>
    <x v="9"/>
    <n v="2214.5"/>
    <s v=""/>
    <n v="2214.5"/>
  </r>
  <r>
    <s v="2026-05-27"/>
    <x v="16"/>
    <x v="14"/>
    <x v="3"/>
    <s v="Sales General &amp; Administration "/>
    <x v="98"/>
    <n v="204"/>
    <s v=""/>
    <n v="204"/>
  </r>
  <r>
    <s v="2026-05-27"/>
    <x v="16"/>
    <x v="14"/>
    <x v="3"/>
    <s v="Sales General &amp; Administration "/>
    <x v="98"/>
    <n v="145"/>
    <s v=""/>
    <n v="145"/>
  </r>
  <r>
    <s v="2026-05-28"/>
    <x v="16"/>
    <x v="13"/>
    <x v="2"/>
    <s v="Operational Cost"/>
    <x v="132"/>
    <n v="1916.04"/>
    <s v=""/>
    <n v="1916.04"/>
  </r>
  <r>
    <s v="2026-05-28"/>
    <x v="16"/>
    <x v="13"/>
    <x v="2"/>
    <s v="Operational Cost"/>
    <x v="21"/>
    <n v="2367"/>
    <s v=""/>
    <n v="2367"/>
  </r>
  <r>
    <s v="2026-05-28"/>
    <x v="16"/>
    <x v="14"/>
    <x v="3"/>
    <s v="Sales General &amp; Administration "/>
    <x v="98"/>
    <n v="415"/>
    <s v=""/>
    <n v="415"/>
  </r>
  <r>
    <s v="2026-05-28"/>
    <x v="16"/>
    <x v="14"/>
    <x v="3"/>
    <s v="Sales General &amp; Administration "/>
    <x v="98"/>
    <n v="129"/>
    <s v=""/>
    <n v="129"/>
  </r>
  <r>
    <s v="2026-05-29"/>
    <x v="16"/>
    <x v="58"/>
    <x v="3"/>
    <s v="Sales General &amp; Administration "/>
    <x v="122"/>
    <n v="26500"/>
    <s v=""/>
    <n v="26500"/>
  </r>
  <r>
    <s v="2026-05-29"/>
    <x v="16"/>
    <x v="11"/>
    <x v="6"/>
    <s v="Operational Cost"/>
    <x v="129"/>
    <n v="22340"/>
    <s v=""/>
    <n v="22340"/>
  </r>
  <r>
    <s v="2026-05-29"/>
    <x v="16"/>
    <x v="14"/>
    <x v="3"/>
    <s v="Sales General &amp; Administration "/>
    <x v="12"/>
    <n v="3600"/>
    <s v=""/>
    <n v="3600"/>
  </r>
  <r>
    <s v="2026-05-29"/>
    <x v="16"/>
    <x v="14"/>
    <x v="3"/>
    <s v="Sales General &amp; Administration "/>
    <x v="12"/>
    <n v="2900"/>
    <s v=""/>
    <n v="2900"/>
  </r>
  <r>
    <s v="2026-05-29"/>
    <x v="16"/>
    <x v="25"/>
    <x v="7"/>
    <s v="Operational Cost"/>
    <x v="27"/>
    <n v="20000"/>
    <s v=""/>
    <n v="20000"/>
  </r>
  <r>
    <s v="2026-05-29"/>
    <x v="16"/>
    <x v="24"/>
    <x v="9"/>
    <s v="Sales General &amp; Administration "/>
    <x v="26"/>
    <n v="60000"/>
    <s v=""/>
    <n v="60000"/>
  </r>
  <r>
    <s v="2026-05-29"/>
    <x v="16"/>
    <x v="24"/>
    <x v="9"/>
    <s v="Sales General &amp; Administration "/>
    <x v="26"/>
    <n v="160000"/>
    <s v=""/>
    <n v="160000"/>
  </r>
  <r>
    <s v="2026-05-29"/>
    <x v="16"/>
    <x v="24"/>
    <x v="9"/>
    <s v="Sales General &amp; Administration "/>
    <x v="26"/>
    <n v="160000"/>
    <s v=""/>
    <n v="160000"/>
  </r>
  <r>
    <s v="2026-05-29"/>
    <x v="16"/>
    <x v="37"/>
    <x v="9"/>
    <s v="Sales General &amp; Administration "/>
    <x v="39"/>
    <n v="19613"/>
    <s v=""/>
    <n v="19613"/>
  </r>
  <r>
    <s v="2026-05-29"/>
    <x v="16"/>
    <x v="13"/>
    <x v="2"/>
    <s v="Operational Cost"/>
    <x v="14"/>
    <n v="4650"/>
    <s v=""/>
    <n v="4650"/>
  </r>
  <r>
    <s v="2026-05-29"/>
    <x v="16"/>
    <x v="11"/>
    <x v="6"/>
    <s v="Operational Cost"/>
    <x v="9"/>
    <n v="7500"/>
    <s v=""/>
    <n v="7500"/>
  </r>
  <r>
    <s v="2026-05-29"/>
    <x v="16"/>
    <x v="62"/>
    <x v="8"/>
    <s v="Sales General &amp; Administration "/>
    <x v="9"/>
    <n v="11745"/>
    <s v=""/>
    <n v="11745"/>
  </r>
  <r>
    <s v="2026-05-29"/>
    <x v="16"/>
    <x v="11"/>
    <x v="6"/>
    <s v="Operational Cost"/>
    <x v="9"/>
    <n v="2563"/>
    <s v=""/>
    <n v="2563"/>
  </r>
  <r>
    <s v="2026-05-29"/>
    <x v="16"/>
    <x v="11"/>
    <x v="6"/>
    <s v="Operational Cost"/>
    <x v="9"/>
    <n v="327"/>
    <s v=""/>
    <n v="327"/>
  </r>
  <r>
    <s v="2026-05-29"/>
    <x v="16"/>
    <x v="8"/>
    <x v="5"/>
    <s v="Indirect Income"/>
    <x v="7"/>
    <s v=""/>
    <n v="184269.28"/>
    <n v="-184269.28"/>
  </r>
  <r>
    <s v="2026-05-29"/>
    <x v="16"/>
    <x v="8"/>
    <x v="5"/>
    <s v="Indirect Income"/>
    <x v="7"/>
    <s v=""/>
    <n v="339773.72"/>
    <n v="-339773.72"/>
  </r>
  <r>
    <s v="2026-05-29"/>
    <x v="16"/>
    <x v="27"/>
    <x v="3"/>
    <s v="Sales General &amp; Administration "/>
    <x v="29"/>
    <n v="805"/>
    <s v=""/>
    <n v="805"/>
  </r>
  <r>
    <s v="2026-05-29"/>
    <x v="16"/>
    <x v="24"/>
    <x v="9"/>
    <s v="Sales General &amp; Administration "/>
    <x v="26"/>
    <n v="255946"/>
    <s v=""/>
    <n v="255946"/>
  </r>
  <r>
    <s v="2026-05-29"/>
    <x v="16"/>
    <x v="31"/>
    <x v="3"/>
    <s v="Sales General &amp; Administration "/>
    <x v="33"/>
    <n v="17520"/>
    <s v=""/>
    <n v="17520"/>
  </r>
  <r>
    <s v="2026-05-29"/>
    <x v="16"/>
    <x v="32"/>
    <x v="3"/>
    <s v="Sales General &amp; Administration "/>
    <x v="34"/>
    <n v="17520"/>
    <s v=""/>
    <n v="17520"/>
  </r>
  <r>
    <s v="2026-05-29"/>
    <x v="16"/>
    <x v="39"/>
    <x v="3"/>
    <s v="Sales General &amp; Administration "/>
    <x v="41"/>
    <n v="209"/>
    <s v=""/>
    <n v="209"/>
  </r>
  <r>
    <s v="2026-05-29"/>
    <x v="16"/>
    <x v="27"/>
    <x v="3"/>
    <s v="Sales General &amp; Administration "/>
    <x v="29"/>
    <n v="791"/>
    <s v=""/>
    <n v="791"/>
  </r>
  <r>
    <s v="2026-05-29"/>
    <x v="16"/>
    <x v="24"/>
    <x v="9"/>
    <s v="Sales General &amp; Administration "/>
    <x v="26"/>
    <n v="250992"/>
    <s v=""/>
    <n v="250992"/>
  </r>
  <r>
    <s v="2026-05-29"/>
    <x v="16"/>
    <x v="31"/>
    <x v="3"/>
    <s v="Sales General &amp; Administration "/>
    <x v="33"/>
    <n v="17181"/>
    <s v=""/>
    <n v="17181"/>
  </r>
  <r>
    <s v="2026-05-29"/>
    <x v="16"/>
    <x v="32"/>
    <x v="3"/>
    <s v="Sales General &amp; Administration "/>
    <x v="34"/>
    <n v="17181"/>
    <s v=""/>
    <n v="17181"/>
  </r>
  <r>
    <s v="2026-05-29"/>
    <x v="16"/>
    <x v="39"/>
    <x v="3"/>
    <s v="Sales General &amp; Administration "/>
    <x v="41"/>
    <n v="209"/>
    <s v=""/>
    <n v="209"/>
  </r>
  <r>
    <s v="2026-05-29"/>
    <x v="16"/>
    <x v="27"/>
    <x v="3"/>
    <s v="Sales General &amp; Administration "/>
    <x v="29"/>
    <n v="34642"/>
    <s v=""/>
    <n v="34642"/>
  </r>
  <r>
    <s v="2026-05-29"/>
    <x v="16"/>
    <x v="28"/>
    <x v="3"/>
    <s v="Sales General &amp; Administration "/>
    <x v="30"/>
    <n v="268211"/>
    <s v=""/>
    <n v="268211"/>
  </r>
  <r>
    <s v="2026-05-29"/>
    <x v="16"/>
    <x v="29"/>
    <x v="7"/>
    <s v="Operational Cost"/>
    <x v="31"/>
    <n v="5470829"/>
    <s v=""/>
    <n v="5470829"/>
  </r>
  <r>
    <s v="2026-05-29"/>
    <x v="16"/>
    <x v="30"/>
    <x v="7"/>
    <s v="Operational Cost"/>
    <x v="32"/>
    <n v="3335558"/>
    <s v=""/>
    <n v="3335558"/>
  </r>
  <r>
    <s v="2026-05-29"/>
    <x v="16"/>
    <x v="31"/>
    <x v="3"/>
    <s v="Sales General &amp; Administration "/>
    <x v="33"/>
    <n v="416285.5"/>
    <s v=""/>
    <n v="416285.5"/>
  </r>
  <r>
    <s v="2026-05-29"/>
    <x v="16"/>
    <x v="32"/>
    <x v="3"/>
    <s v="Sales General &amp; Administration "/>
    <x v="34"/>
    <n v="416285.5"/>
    <s v=""/>
    <n v="416285.5"/>
  </r>
  <r>
    <s v="2026-05-29"/>
    <x v="16"/>
    <x v="33"/>
    <x v="3"/>
    <s v="Sales General &amp; Administration "/>
    <x v="35"/>
    <n v="28238"/>
    <s v=""/>
    <n v="28238"/>
  </r>
  <r>
    <s v="2026-05-29"/>
    <x v="16"/>
    <x v="34"/>
    <x v="3"/>
    <s v="Sales General &amp; Administration "/>
    <x v="36"/>
    <n v="6545"/>
    <s v=""/>
    <n v="6545"/>
  </r>
  <r>
    <s v="2026-05-29"/>
    <x v="16"/>
    <x v="35"/>
    <x v="10"/>
    <s v="Sales General &amp; Administration "/>
    <x v="37"/>
    <n v="104048"/>
    <s v=""/>
    <n v="104048"/>
  </r>
  <r>
    <s v="2026-05-29"/>
    <x v="16"/>
    <x v="36"/>
    <x v="9"/>
    <s v="Sales General &amp; Administration "/>
    <x v="38"/>
    <n v="53341"/>
    <s v=""/>
    <n v="53341"/>
  </r>
  <r>
    <s v="2026-05-29"/>
    <x v="16"/>
    <x v="37"/>
    <x v="9"/>
    <s v="Sales General &amp; Administration "/>
    <x v="39"/>
    <n v="46648"/>
    <s v=""/>
    <n v="46648"/>
  </r>
  <r>
    <s v="2026-05-29"/>
    <x v="16"/>
    <x v="38"/>
    <x v="9"/>
    <s v="Sales General &amp; Administration "/>
    <x v="40"/>
    <n v="73941"/>
    <s v=""/>
    <n v="73941"/>
  </r>
  <r>
    <s v="2026-05-29"/>
    <x v="16"/>
    <x v="39"/>
    <x v="3"/>
    <s v="Sales General &amp; Administration "/>
    <x v="41"/>
    <n v="56420"/>
    <s v=""/>
    <n v="56420"/>
  </r>
  <r>
    <s v="2026-05-30"/>
    <x v="16"/>
    <x v="14"/>
    <x v="3"/>
    <s v="Sales General &amp; Administration "/>
    <x v="98"/>
    <n v="250"/>
    <s v=""/>
    <n v="250"/>
  </r>
  <r>
    <s v="2026-05-30"/>
    <x v="16"/>
    <x v="14"/>
    <x v="3"/>
    <s v="Sales General &amp; Administration "/>
    <x v="98"/>
    <n v="205"/>
    <s v=""/>
    <n v="205"/>
  </r>
  <r>
    <s v="2026-05-30"/>
    <x v="16"/>
    <x v="21"/>
    <x v="0"/>
    <s v="Operational Cost"/>
    <x v="20"/>
    <n v="11040"/>
    <s v=""/>
    <n v="11040"/>
  </r>
  <r>
    <s v="2026-05-30"/>
    <x v="16"/>
    <x v="21"/>
    <x v="0"/>
    <s v="Operational Cost"/>
    <x v="20"/>
    <n v="44755.01"/>
    <s v=""/>
    <n v="44755.01"/>
  </r>
  <r>
    <s v="2026-05-30"/>
    <x v="16"/>
    <x v="21"/>
    <x v="0"/>
    <s v="Operational Cost"/>
    <x v="20"/>
    <n v="127193.08"/>
    <s v=""/>
    <n v="127193.08"/>
  </r>
  <r>
    <s v="2026-05-30"/>
    <x v="16"/>
    <x v="14"/>
    <x v="3"/>
    <s v="Sales General &amp; Administration "/>
    <x v="98"/>
    <n v="190"/>
    <s v=""/>
    <n v="190"/>
  </r>
  <r>
    <s v="2026-05-31"/>
    <x v="16"/>
    <x v="58"/>
    <x v="3"/>
    <s v="Sales General &amp; Administration "/>
    <x v="122"/>
    <n v="210"/>
    <s v=""/>
    <n v="210"/>
  </r>
  <r>
    <s v="2026-05-31"/>
    <x v="16"/>
    <x v="14"/>
    <x v="3"/>
    <s v="Sales General &amp; Administration "/>
    <x v="98"/>
    <n v="166"/>
    <s v=""/>
    <n v="166"/>
  </r>
  <r>
    <s v="2026-05-31"/>
    <x v="16"/>
    <x v="14"/>
    <x v="3"/>
    <s v="Sales General &amp; Administration "/>
    <x v="98"/>
    <n v="245"/>
    <s v=""/>
    <n v="245"/>
  </r>
  <r>
    <s v="2026-05-31"/>
    <x v="16"/>
    <x v="26"/>
    <x v="3"/>
    <s v="Sales General &amp; Administration "/>
    <x v="107"/>
    <n v="32000"/>
    <s v=""/>
    <n v="32000"/>
  </r>
  <r>
    <s v="2026-05-31"/>
    <x v="16"/>
    <x v="26"/>
    <x v="3"/>
    <s v="Sales General &amp; Administration "/>
    <x v="92"/>
    <n v="14000"/>
    <s v=""/>
    <n v="14000"/>
  </r>
  <r>
    <s v="2026-05-31"/>
    <x v="16"/>
    <x v="6"/>
    <x v="4"/>
    <s v="Operational Cost"/>
    <x v="104"/>
    <n v="78650"/>
    <s v=""/>
    <n v="78650"/>
  </r>
  <r>
    <s v="2026-05-31"/>
    <x v="16"/>
    <x v="7"/>
    <x v="3"/>
    <s v="Sales General &amp; Administration "/>
    <x v="42"/>
    <n v="4000"/>
    <s v=""/>
    <n v="4000"/>
  </r>
  <r>
    <s v="2026-05-31"/>
    <x v="16"/>
    <x v="11"/>
    <x v="6"/>
    <s v="Operational Cost"/>
    <x v="45"/>
    <n v="16000"/>
    <s v=""/>
    <n v="16000"/>
  </r>
  <r>
    <s v="2026-06-01"/>
    <x v="17"/>
    <x v="1"/>
    <x v="0"/>
    <s v="Operational Cost"/>
    <x v="0"/>
    <n v="68360"/>
    <s v=""/>
    <n v="68360"/>
  </r>
  <r>
    <s v="2026-06-01"/>
    <x v="17"/>
    <x v="4"/>
    <x v="2"/>
    <s v="Operational Cost"/>
    <x v="3"/>
    <n v="19500"/>
    <s v=""/>
    <n v="19500"/>
  </r>
  <r>
    <s v="2026-06-01"/>
    <x v="17"/>
    <x v="46"/>
    <x v="8"/>
    <s v="Sales General &amp; Administration "/>
    <x v="55"/>
    <n v="76365"/>
    <s v=""/>
    <n v="76365"/>
  </r>
  <r>
    <s v="2026-06-01"/>
    <x v="17"/>
    <x v="14"/>
    <x v="3"/>
    <s v="Sales General &amp; Administration "/>
    <x v="59"/>
    <n v="180000"/>
    <s v=""/>
    <n v="180000"/>
  </r>
  <r>
    <s v="2026-06-01"/>
    <x v="17"/>
    <x v="11"/>
    <x v="6"/>
    <s v="Operational Cost"/>
    <x v="9"/>
    <n v="3860"/>
    <s v=""/>
    <n v="3860"/>
  </r>
  <r>
    <s v="2026-06-01"/>
    <x v="17"/>
    <x v="13"/>
    <x v="2"/>
    <s v="Operational Cost"/>
    <x v="14"/>
    <n v="9147"/>
    <s v=""/>
    <n v="9147"/>
  </r>
  <r>
    <s v="2026-06-01"/>
    <x v="17"/>
    <x v="0"/>
    <x v="0"/>
    <s v="Operational Cost"/>
    <x v="0"/>
    <n v="395769"/>
    <s v=""/>
    <n v="395769"/>
  </r>
  <r>
    <s v="2026-06-01"/>
    <x v="17"/>
    <x v="52"/>
    <x v="0"/>
    <s v="Operational Cost"/>
    <x v="82"/>
    <n v="400000"/>
    <s v=""/>
    <n v="400000"/>
  </r>
  <r>
    <s v="2026-06-01"/>
    <x v="17"/>
    <x v="3"/>
    <x v="1"/>
    <s v="Sales General &amp; Administration "/>
    <x v="2"/>
    <n v="125000"/>
    <s v=""/>
    <n v="125000"/>
  </r>
  <r>
    <s v="2026-06-02"/>
    <x v="17"/>
    <x v="6"/>
    <x v="4"/>
    <s v="Operational Cost"/>
    <x v="5"/>
    <n v="353900"/>
    <s v=""/>
    <n v="353900"/>
  </r>
  <r>
    <s v="2026-06-02"/>
    <x v="17"/>
    <x v="14"/>
    <x v="3"/>
    <s v="Sales General &amp; Administration "/>
    <x v="98"/>
    <n v="345"/>
    <s v=""/>
    <n v="345"/>
  </r>
  <r>
    <s v="2026-06-02"/>
    <x v="17"/>
    <x v="11"/>
    <x v="6"/>
    <s v="Operational Cost"/>
    <x v="98"/>
    <n v="340"/>
    <s v=""/>
    <n v="340"/>
  </r>
  <r>
    <s v="2026-06-02"/>
    <x v="17"/>
    <x v="11"/>
    <x v="6"/>
    <s v="Operational Cost"/>
    <x v="9"/>
    <n v="4000"/>
    <s v=""/>
    <n v="4000"/>
  </r>
  <r>
    <s v="2026-06-02"/>
    <x v="17"/>
    <x v="13"/>
    <x v="2"/>
    <s v="Operational Cost"/>
    <x v="14"/>
    <n v="1083"/>
    <s v=""/>
    <n v="1083"/>
  </r>
  <r>
    <s v="2026-06-02"/>
    <x v="17"/>
    <x v="16"/>
    <x v="6"/>
    <s v="Operational Cost"/>
    <x v="15"/>
    <n v="5605"/>
    <s v=""/>
    <n v="5605"/>
  </r>
  <r>
    <s v="2026-06-03"/>
    <x v="17"/>
    <x v="14"/>
    <x v="3"/>
    <s v="Sales General &amp; Administration "/>
    <x v="98"/>
    <n v="180"/>
    <s v=""/>
    <n v="180"/>
  </r>
  <r>
    <s v="2026-06-03"/>
    <x v="17"/>
    <x v="14"/>
    <x v="3"/>
    <s v="Sales General &amp; Administration "/>
    <x v="98"/>
    <n v="234"/>
    <s v=""/>
    <n v="234"/>
  </r>
  <r>
    <s v="2026-06-03"/>
    <x v="17"/>
    <x v="11"/>
    <x v="6"/>
    <s v="Operational Cost"/>
    <x v="98"/>
    <n v="960"/>
    <s v=""/>
    <n v="960"/>
  </r>
  <r>
    <s v="2026-06-03"/>
    <x v="17"/>
    <x v="7"/>
    <x v="3"/>
    <s v="Sales General &amp; Administration "/>
    <x v="6"/>
    <n v="18792"/>
    <s v=""/>
    <n v="18792"/>
  </r>
  <r>
    <s v="2026-06-03"/>
    <x v="17"/>
    <x v="54"/>
    <x v="3"/>
    <s v="Sales General &amp; Administration "/>
    <x v="9"/>
    <n v="5000"/>
    <s v=""/>
    <n v="5000"/>
  </r>
  <r>
    <s v="2026-06-03"/>
    <x v="17"/>
    <x v="11"/>
    <x v="6"/>
    <s v="Operational Cost"/>
    <x v="12"/>
    <n v="500"/>
    <s v=""/>
    <n v="500"/>
  </r>
  <r>
    <s v="2026-06-03"/>
    <x v="17"/>
    <x v="9"/>
    <x v="2"/>
    <s v="Operational Cost"/>
    <x v="8"/>
    <n v="23334"/>
    <s v=""/>
    <n v="23334"/>
  </r>
  <r>
    <s v="2026-06-03"/>
    <x v="17"/>
    <x v="9"/>
    <x v="2"/>
    <s v="Operational Cost"/>
    <x v="8"/>
    <n v="10416"/>
    <s v=""/>
    <n v="10416"/>
  </r>
  <r>
    <s v="2026-06-03"/>
    <x v="17"/>
    <x v="9"/>
    <x v="2"/>
    <s v="Operational Cost"/>
    <x v="8"/>
    <n v="9166"/>
    <s v=""/>
    <n v="9166"/>
  </r>
  <r>
    <s v="2026-06-03"/>
    <x v="17"/>
    <x v="23"/>
    <x v="2"/>
    <s v="Operational Cost"/>
    <x v="89"/>
    <n v="59866"/>
    <s v=""/>
    <n v="59866"/>
  </r>
  <r>
    <s v="2026-06-03"/>
    <x v="17"/>
    <x v="23"/>
    <x v="2"/>
    <s v="Operational Cost"/>
    <x v="89"/>
    <n v="15000"/>
    <s v=""/>
    <n v="15000"/>
  </r>
  <r>
    <s v="2026-06-04"/>
    <x v="17"/>
    <x v="14"/>
    <x v="3"/>
    <s v="Sales General &amp; Administration "/>
    <x v="98"/>
    <n v="390"/>
    <s v=""/>
    <n v="390"/>
  </r>
  <r>
    <s v="2026-06-04"/>
    <x v="17"/>
    <x v="7"/>
    <x v="3"/>
    <s v="Sales General &amp; Administration "/>
    <x v="98"/>
    <n v="436"/>
    <s v=""/>
    <n v="436"/>
  </r>
  <r>
    <s v="2026-06-05"/>
    <x v="17"/>
    <x v="17"/>
    <x v="0"/>
    <s v="Operational Cost"/>
    <x v="82"/>
    <n v="54060"/>
    <s v=""/>
    <n v="54060"/>
  </r>
  <r>
    <s v="2026-06-05"/>
    <x v="17"/>
    <x v="13"/>
    <x v="2"/>
    <s v="Operational Cost"/>
    <x v="14"/>
    <n v="577"/>
    <s v=""/>
    <n v="577"/>
  </r>
  <r>
    <s v="2026-06-05"/>
    <x v="17"/>
    <x v="11"/>
    <x v="6"/>
    <s v="Operational Cost"/>
    <x v="9"/>
    <n v="780"/>
    <s v=""/>
    <n v="780"/>
  </r>
  <r>
    <s v="2026-06-06"/>
    <x v="17"/>
    <x v="14"/>
    <x v="3"/>
    <s v="Sales General &amp; Administration "/>
    <x v="98"/>
    <n v="180"/>
    <s v=""/>
    <n v="180"/>
  </r>
  <r>
    <s v="2026-06-06"/>
    <x v="17"/>
    <x v="14"/>
    <x v="3"/>
    <s v="Sales General &amp; Administration "/>
    <x v="98"/>
    <n v="150"/>
    <s v=""/>
    <n v="150"/>
  </r>
  <r>
    <s v="2026-06-06"/>
    <x v="17"/>
    <x v="10"/>
    <x v="3"/>
    <s v="Operational Cost"/>
    <x v="98"/>
    <n v="1010"/>
    <s v=""/>
    <n v="1010"/>
  </r>
  <r>
    <s v="2026-06-06"/>
    <x v="17"/>
    <x v="10"/>
    <x v="3"/>
    <s v="Operational Cost"/>
    <x v="98"/>
    <s v=""/>
    <n v="10"/>
    <n v="-10"/>
  </r>
  <r>
    <s v="2026-06-06"/>
    <x v="17"/>
    <x v="14"/>
    <x v="3"/>
    <s v="Sales General &amp; Administration "/>
    <x v="98"/>
    <n v="226.58"/>
    <s v=""/>
    <n v="226.58"/>
  </r>
  <r>
    <s v="2026-06-06"/>
    <x v="17"/>
    <x v="13"/>
    <x v="2"/>
    <s v="Operational Cost"/>
    <x v="14"/>
    <n v="2479"/>
    <s v=""/>
    <n v="2479"/>
  </r>
  <r>
    <s v="2026-06-07"/>
    <x v="17"/>
    <x v="14"/>
    <x v="3"/>
    <s v="Sales General &amp; Administration "/>
    <x v="98"/>
    <n v="430"/>
    <s v=""/>
    <n v="430"/>
  </r>
  <r>
    <s v="2026-06-07"/>
    <x v="17"/>
    <x v="10"/>
    <x v="3"/>
    <s v="Operational Cost"/>
    <x v="98"/>
    <n v="1061.3599999999999"/>
    <s v=""/>
    <n v="1061.3599999999999"/>
  </r>
  <r>
    <s v="2026-06-07"/>
    <x v="17"/>
    <x v="16"/>
    <x v="6"/>
    <s v="Operational Cost"/>
    <x v="15"/>
    <n v="59099"/>
    <s v=""/>
    <n v="59099"/>
  </r>
  <r>
    <s v="2026-06-08"/>
    <x v="17"/>
    <x v="14"/>
    <x v="3"/>
    <s v="Sales General &amp; Administration "/>
    <x v="98"/>
    <n v="210"/>
    <s v=""/>
    <n v="210"/>
  </r>
  <r>
    <s v="2026-06-08"/>
    <x v="17"/>
    <x v="10"/>
    <x v="3"/>
    <s v="Operational Cost"/>
    <x v="98"/>
    <n v="1061.3599999999999"/>
    <s v=""/>
    <n v="1061.3599999999999"/>
  </r>
  <r>
    <s v="2026-06-08"/>
    <x v="17"/>
    <x v="17"/>
    <x v="0"/>
    <s v="Operational Cost"/>
    <x v="16"/>
    <n v="45505"/>
    <s v=""/>
    <n v="45505"/>
  </r>
  <r>
    <s v="2026-06-09"/>
    <x v="17"/>
    <x v="15"/>
    <x v="2"/>
    <s v="Operational Cost"/>
    <x v="19"/>
    <n v="1298"/>
    <s v=""/>
    <n v="1298"/>
  </r>
  <r>
    <s v="2026-06-09"/>
    <x v="17"/>
    <x v="14"/>
    <x v="3"/>
    <s v="Sales General &amp; Administration "/>
    <x v="98"/>
    <n v="259"/>
    <s v=""/>
    <n v="259"/>
  </r>
  <r>
    <s v="2026-06-09"/>
    <x v="17"/>
    <x v="11"/>
    <x v="6"/>
    <s v="Operational Cost"/>
    <x v="9"/>
    <n v="8000"/>
    <s v=""/>
    <n v="8000"/>
  </r>
  <r>
    <s v="2026-06-09"/>
    <x v="17"/>
    <x v="11"/>
    <x v="6"/>
    <s v="Operational Cost"/>
    <x v="9"/>
    <n v="5300"/>
    <s v=""/>
    <n v="5300"/>
  </r>
  <r>
    <s v="2026-06-09"/>
    <x v="17"/>
    <x v="13"/>
    <x v="2"/>
    <s v="Operational Cost"/>
    <x v="14"/>
    <n v="223"/>
    <s v=""/>
    <n v="223"/>
  </r>
  <r>
    <s v="2026-06-09"/>
    <x v="17"/>
    <x v="13"/>
    <x v="2"/>
    <s v="Operational Cost"/>
    <x v="14"/>
    <n v="8350"/>
    <s v=""/>
    <n v="8350"/>
  </r>
  <r>
    <s v="2026-06-10"/>
    <x v="17"/>
    <x v="14"/>
    <x v="3"/>
    <s v="Sales General &amp; Administration "/>
    <x v="98"/>
    <n v="226"/>
    <s v=""/>
    <n v="226"/>
  </r>
  <r>
    <s v="2026-06-10"/>
    <x v="17"/>
    <x v="14"/>
    <x v="3"/>
    <s v="Sales General &amp; Administration "/>
    <x v="98"/>
    <n v="184"/>
    <s v=""/>
    <n v="184"/>
  </r>
  <r>
    <s v="2026-06-10"/>
    <x v="17"/>
    <x v="10"/>
    <x v="3"/>
    <s v="Operational Cost"/>
    <x v="12"/>
    <s v=""/>
    <n v="4.46"/>
    <n v="-4.46"/>
  </r>
  <r>
    <s v="2026-06-10"/>
    <x v="17"/>
    <x v="10"/>
    <x v="3"/>
    <s v="Operational Cost"/>
    <x v="12"/>
    <n v="450.55"/>
    <s v=""/>
    <n v="450.55"/>
  </r>
  <r>
    <s v="2026-06-10"/>
    <x v="17"/>
    <x v="11"/>
    <x v="6"/>
    <s v="Operational Cost"/>
    <x v="9"/>
    <n v="460"/>
    <s v=""/>
    <n v="460"/>
  </r>
  <r>
    <s v="2026-06-11"/>
    <x v="17"/>
    <x v="14"/>
    <x v="3"/>
    <s v="Sales General &amp; Administration "/>
    <x v="98"/>
    <n v="2450"/>
    <s v=""/>
    <n v="2450"/>
  </r>
  <r>
    <s v="2026-06-11"/>
    <x v="17"/>
    <x v="10"/>
    <x v="3"/>
    <s v="Operational Cost"/>
    <x v="98"/>
    <n v="2996.71"/>
    <s v=""/>
    <n v="2996.71"/>
  </r>
  <r>
    <s v="2026-06-12"/>
    <x v="17"/>
    <x v="19"/>
    <x v="8"/>
    <s v="Sales General &amp; Administration "/>
    <x v="51"/>
    <n v="47.9"/>
    <s v=""/>
    <n v="47.9"/>
  </r>
  <r>
    <s v="2026-06-12"/>
    <x v="17"/>
    <x v="14"/>
    <x v="3"/>
    <s v="Sales General &amp; Administration "/>
    <x v="98"/>
    <n v="103"/>
    <s v=""/>
    <n v="103"/>
  </r>
  <r>
    <s v="2026-06-12"/>
    <x v="17"/>
    <x v="11"/>
    <x v="6"/>
    <s v="Operational Cost"/>
    <x v="12"/>
    <n v="8847"/>
    <s v=""/>
    <n v="8847"/>
  </r>
  <r>
    <s v="2026-06-12"/>
    <x v="17"/>
    <x v="11"/>
    <x v="6"/>
    <s v="Operational Cost"/>
    <x v="12"/>
    <n v="1595.33"/>
    <s v=""/>
    <n v="1595.33"/>
  </r>
  <r>
    <s v="2026-06-12"/>
    <x v="17"/>
    <x v="13"/>
    <x v="2"/>
    <s v="Operational Cost"/>
    <x v="14"/>
    <n v="2775"/>
    <s v=""/>
    <n v="2775"/>
  </r>
  <r>
    <s v="2026-06-14"/>
    <x v="17"/>
    <x v="6"/>
    <x v="4"/>
    <s v="Operational Cost"/>
    <x v="133"/>
    <n v="8500"/>
    <s v=""/>
    <n v="8500"/>
  </r>
  <r>
    <s v="2026-06-14"/>
    <x v="17"/>
    <x v="10"/>
    <x v="3"/>
    <s v="Operational Cost"/>
    <x v="98"/>
    <n v="4287.1899999999996"/>
    <s v=""/>
    <n v="4287.1899999999996"/>
  </r>
  <r>
    <s v="2026-06-15"/>
    <x v="17"/>
    <x v="6"/>
    <x v="4"/>
    <s v="Operational Cost"/>
    <x v="5"/>
    <n v="56700"/>
    <s v=""/>
    <n v="56700"/>
  </r>
  <r>
    <s v="2026-06-15"/>
    <x v="17"/>
    <x v="14"/>
    <x v="3"/>
    <s v="Sales General &amp; Administration "/>
    <x v="98"/>
    <n v="2500"/>
    <s v=""/>
    <n v="2500"/>
  </r>
  <r>
    <s v="2026-06-15"/>
    <x v="17"/>
    <x v="10"/>
    <x v="3"/>
    <s v="Operational Cost"/>
    <x v="98"/>
    <n v="3456.6"/>
    <s v=""/>
    <n v="3456.6"/>
  </r>
  <r>
    <s v="2026-06-15"/>
    <x v="17"/>
    <x v="14"/>
    <x v="3"/>
    <s v="Sales General &amp; Administration "/>
    <x v="98"/>
    <n v="548"/>
    <s v=""/>
    <n v="548"/>
  </r>
  <r>
    <s v="2026-06-15"/>
    <x v="17"/>
    <x v="10"/>
    <x v="3"/>
    <s v="Operational Cost"/>
    <x v="9"/>
    <n v="2684.5"/>
    <s v=""/>
    <n v="2684.5"/>
  </r>
  <r>
    <s v="2026-06-15"/>
    <x v="17"/>
    <x v="10"/>
    <x v="3"/>
    <s v="Operational Cost"/>
    <x v="9"/>
    <n v="2684.5"/>
    <s v=""/>
    <n v="2684.5"/>
  </r>
  <r>
    <s v="2026-06-15"/>
    <x v="17"/>
    <x v="11"/>
    <x v="6"/>
    <s v="Operational Cost"/>
    <x v="9"/>
    <n v="28500"/>
    <s v=""/>
    <n v="28500"/>
  </r>
  <r>
    <s v="2026-06-15"/>
    <x v="17"/>
    <x v="11"/>
    <x v="6"/>
    <s v="Operational Cost"/>
    <x v="9"/>
    <n v="325"/>
    <s v=""/>
    <n v="325"/>
  </r>
  <r>
    <s v="2026-06-15"/>
    <x v="17"/>
    <x v="11"/>
    <x v="6"/>
    <s v="Operational Cost"/>
    <x v="9"/>
    <s v=""/>
    <n v="2684.5"/>
    <n v="-2684.5"/>
  </r>
  <r>
    <s v="2026-06-15"/>
    <x v="17"/>
    <x v="13"/>
    <x v="2"/>
    <s v="Operational Cost"/>
    <x v="14"/>
    <n v="3535"/>
    <s v=""/>
    <n v="3535"/>
  </r>
  <r>
    <s v="2026-06-15"/>
    <x v="17"/>
    <x v="13"/>
    <x v="2"/>
    <s v="Operational Cost"/>
    <x v="14"/>
    <n v="8913"/>
    <s v=""/>
    <n v="8913"/>
  </r>
  <r>
    <s v="2026-06-15"/>
    <x v="17"/>
    <x v="8"/>
    <x v="5"/>
    <s v="Indirect Income"/>
    <x v="7"/>
    <s v=""/>
    <n v="231866.7"/>
    <n v="-231866.7"/>
  </r>
  <r>
    <s v="2026-06-15"/>
    <x v="17"/>
    <x v="8"/>
    <x v="5"/>
    <s v="Indirect Income"/>
    <x v="7"/>
    <s v=""/>
    <n v="132632.70000000001"/>
    <n v="-132632.70000000001"/>
  </r>
  <r>
    <s v="2026-06-15"/>
    <x v="17"/>
    <x v="17"/>
    <x v="0"/>
    <s v="Operational Cost"/>
    <x v="16"/>
    <n v="226235"/>
    <s v=""/>
    <n v="226235"/>
  </r>
  <r>
    <s v="2026-06-16"/>
    <x v="17"/>
    <x v="11"/>
    <x v="6"/>
    <s v="Operational Cost"/>
    <x v="58"/>
    <n v="21743"/>
    <s v=""/>
    <n v="21743"/>
  </r>
  <r>
    <s v="2026-06-16"/>
    <x v="17"/>
    <x v="11"/>
    <x v="6"/>
    <s v="Operational Cost"/>
    <x v="58"/>
    <n v="129000"/>
    <s v=""/>
    <n v="129000"/>
  </r>
  <r>
    <s v="2026-06-16"/>
    <x v="17"/>
    <x v="14"/>
    <x v="3"/>
    <s v="Sales General &amp; Administration "/>
    <x v="98"/>
    <n v="970"/>
    <s v=""/>
    <n v="970"/>
  </r>
  <r>
    <s v="2026-06-16"/>
    <x v="17"/>
    <x v="14"/>
    <x v="3"/>
    <s v="Sales General &amp; Administration "/>
    <x v="98"/>
    <n v="264"/>
    <s v=""/>
    <n v="264"/>
  </r>
  <r>
    <s v="2026-06-16"/>
    <x v="17"/>
    <x v="15"/>
    <x v="2"/>
    <s v="Operational Cost"/>
    <x v="19"/>
    <n v="782.9"/>
    <s v=""/>
    <n v="782.9"/>
  </r>
  <r>
    <s v="2026-06-16"/>
    <x v="17"/>
    <x v="11"/>
    <x v="6"/>
    <s v="Operational Cost"/>
    <x v="9"/>
    <n v="250"/>
    <s v=""/>
    <n v="250"/>
  </r>
  <r>
    <s v="2026-06-17"/>
    <x v="17"/>
    <x v="14"/>
    <x v="3"/>
    <s v="Sales General &amp; Administration "/>
    <x v="98"/>
    <n v="530"/>
    <s v=""/>
    <n v="530"/>
  </r>
  <r>
    <s v="2026-06-17"/>
    <x v="17"/>
    <x v="14"/>
    <x v="3"/>
    <s v="Sales General &amp; Administration "/>
    <x v="98"/>
    <n v="850"/>
    <s v=""/>
    <n v="850"/>
  </r>
  <r>
    <s v="2026-06-17"/>
    <x v="17"/>
    <x v="7"/>
    <x v="3"/>
    <s v="Sales General &amp; Administration "/>
    <x v="9"/>
    <n v="4000"/>
    <s v=""/>
    <n v="4000"/>
  </r>
  <r>
    <s v="2026-06-18"/>
    <x v="17"/>
    <x v="7"/>
    <x v="3"/>
    <s v="Sales General &amp; Administration "/>
    <x v="80"/>
    <n v="6650"/>
    <s v=""/>
    <n v="6650"/>
  </r>
  <r>
    <s v="2026-06-18"/>
    <x v="17"/>
    <x v="14"/>
    <x v="3"/>
    <s v="Sales General &amp; Administration "/>
    <x v="98"/>
    <n v="1900"/>
    <s v=""/>
    <n v="1900"/>
  </r>
  <r>
    <s v="2026-06-18"/>
    <x v="17"/>
    <x v="10"/>
    <x v="3"/>
    <s v="Operational Cost"/>
    <x v="98"/>
    <n v="2006.16"/>
    <s v=""/>
    <n v="2006.16"/>
  </r>
  <r>
    <s v="2026-06-18"/>
    <x v="17"/>
    <x v="13"/>
    <x v="2"/>
    <s v="Operational Cost"/>
    <x v="14"/>
    <n v="1499"/>
    <s v=""/>
    <n v="1499"/>
  </r>
  <r>
    <s v="2026-06-19"/>
    <x v="17"/>
    <x v="14"/>
    <x v="3"/>
    <s v="Sales General &amp; Administration "/>
    <x v="98"/>
    <n v="138"/>
    <s v=""/>
    <n v="138"/>
  </r>
  <r>
    <s v="2026-06-19"/>
    <x v="17"/>
    <x v="9"/>
    <x v="2"/>
    <s v="Operational Cost"/>
    <x v="128"/>
    <n v="1616.37"/>
    <s v=""/>
    <n v="1616.37"/>
  </r>
  <r>
    <s v="2026-06-19"/>
    <x v="17"/>
    <x v="11"/>
    <x v="6"/>
    <s v="Operational Cost"/>
    <x v="12"/>
    <n v="462"/>
    <s v=""/>
    <n v="462"/>
  </r>
  <r>
    <s v="2026-06-19"/>
    <x v="17"/>
    <x v="43"/>
    <x v="6"/>
    <s v="Operational Cost"/>
    <x v="134"/>
    <n v="25000"/>
    <s v=""/>
    <n v="25000"/>
  </r>
  <r>
    <s v="2026-06-20"/>
    <x v="17"/>
    <x v="14"/>
    <x v="3"/>
    <s v="Sales General &amp; Administration "/>
    <x v="98"/>
    <n v="302"/>
    <s v=""/>
    <n v="302"/>
  </r>
  <r>
    <s v="2026-06-20"/>
    <x v="17"/>
    <x v="7"/>
    <x v="3"/>
    <s v="Sales General &amp; Administration "/>
    <x v="98"/>
    <n v="530"/>
    <s v=""/>
    <n v="530"/>
  </r>
  <r>
    <s v="2026-06-20"/>
    <x v="17"/>
    <x v="16"/>
    <x v="6"/>
    <s v="Operational Cost"/>
    <x v="15"/>
    <n v="4833"/>
    <s v=""/>
    <n v="4833"/>
  </r>
  <r>
    <s v="2026-06-21"/>
    <x v="17"/>
    <x v="10"/>
    <x v="3"/>
    <s v="Operational Cost"/>
    <x v="98"/>
    <n v="3224.36"/>
    <s v=""/>
    <n v="3224.36"/>
  </r>
  <r>
    <s v="2026-06-21"/>
    <x v="17"/>
    <x v="14"/>
    <x v="3"/>
    <s v="Sales General &amp; Administration "/>
    <x v="98"/>
    <n v="751"/>
    <s v=""/>
    <n v="751"/>
  </r>
  <r>
    <s v="2026-06-21"/>
    <x v="17"/>
    <x v="10"/>
    <x v="3"/>
    <s v="Operational Cost"/>
    <x v="98"/>
    <n v="2945"/>
    <s v=""/>
    <n v="2945"/>
  </r>
  <r>
    <s v="2026-06-21"/>
    <x v="17"/>
    <x v="19"/>
    <x v="8"/>
    <s v="Sales General &amp; Administration "/>
    <x v="51"/>
    <n v="16.16"/>
    <s v=""/>
    <n v="16.16"/>
  </r>
  <r>
    <s v="2026-06-21"/>
    <x v="17"/>
    <x v="11"/>
    <x v="6"/>
    <s v="Operational Cost"/>
    <x v="45"/>
    <n v="104969.25"/>
    <s v=""/>
    <n v="104969.25"/>
  </r>
  <r>
    <s v="2026-06-22"/>
    <x v="17"/>
    <x v="14"/>
    <x v="3"/>
    <s v="Sales General &amp; Administration "/>
    <x v="98"/>
    <n v="238"/>
    <s v=""/>
    <n v="238"/>
  </r>
  <r>
    <s v="2026-06-22"/>
    <x v="17"/>
    <x v="13"/>
    <x v="2"/>
    <s v="Operational Cost"/>
    <x v="132"/>
    <n v="22313.83"/>
    <s v=""/>
    <n v="22313.83"/>
  </r>
  <r>
    <s v="2026-06-22"/>
    <x v="17"/>
    <x v="13"/>
    <x v="2"/>
    <s v="Operational Cost"/>
    <x v="132"/>
    <n v="2231.38"/>
    <s v=""/>
    <n v="2231.38"/>
  </r>
  <r>
    <s v="2026-06-22"/>
    <x v="17"/>
    <x v="13"/>
    <x v="2"/>
    <s v="Operational Cost"/>
    <x v="14"/>
    <n v="5372"/>
    <s v=""/>
    <n v="5372"/>
  </r>
  <r>
    <s v="2026-06-22"/>
    <x v="17"/>
    <x v="43"/>
    <x v="6"/>
    <s v="Operational Cost"/>
    <x v="9"/>
    <n v="97000"/>
    <s v=""/>
    <n v="97000"/>
  </r>
  <r>
    <s v="2026-06-23"/>
    <x v="17"/>
    <x v="14"/>
    <x v="3"/>
    <s v="Sales General &amp; Administration "/>
    <x v="98"/>
    <n v="168"/>
    <s v=""/>
    <n v="168"/>
  </r>
  <r>
    <s v="2026-06-23"/>
    <x v="17"/>
    <x v="11"/>
    <x v="6"/>
    <s v="Operational Cost"/>
    <x v="9"/>
    <n v="16800"/>
    <s v=""/>
    <n v="16800"/>
  </r>
  <r>
    <s v="2026-06-24"/>
    <x v="17"/>
    <x v="14"/>
    <x v="3"/>
    <s v="Sales General &amp; Administration "/>
    <x v="98"/>
    <n v="236"/>
    <s v=""/>
    <n v="236"/>
  </r>
  <r>
    <s v="2026-06-24"/>
    <x v="17"/>
    <x v="7"/>
    <x v="3"/>
    <s v="Sales General &amp; Administration "/>
    <x v="9"/>
    <n v="1050"/>
    <s v=""/>
    <n v="1050"/>
  </r>
  <r>
    <s v="2026-06-24"/>
    <x v="17"/>
    <x v="11"/>
    <x v="6"/>
    <s v="Operational Cost"/>
    <x v="9"/>
    <n v="100"/>
    <s v=""/>
    <n v="100"/>
  </r>
  <r>
    <s v="2026-06-24"/>
    <x v="17"/>
    <x v="11"/>
    <x v="6"/>
    <s v="Operational Cost"/>
    <x v="9"/>
    <n v="5509"/>
    <s v=""/>
    <n v="5509"/>
  </r>
  <r>
    <s v="2026-06-25"/>
    <x v="17"/>
    <x v="14"/>
    <x v="3"/>
    <s v="Sales General &amp; Administration "/>
    <x v="98"/>
    <n v="2865"/>
    <s v=""/>
    <n v="2865"/>
  </r>
  <r>
    <s v="2026-06-25"/>
    <x v="17"/>
    <x v="14"/>
    <x v="3"/>
    <s v="Sales General &amp; Administration "/>
    <x v="98"/>
    <n v="160"/>
    <s v=""/>
    <n v="160"/>
  </r>
  <r>
    <s v="2026-06-26"/>
    <x v="17"/>
    <x v="10"/>
    <x v="3"/>
    <s v="Operational Cost"/>
    <x v="98"/>
    <n v="1172.46"/>
    <s v=""/>
    <n v="1172.46"/>
  </r>
  <r>
    <s v="2026-06-26"/>
    <x v="17"/>
    <x v="14"/>
    <x v="3"/>
    <s v="Sales General &amp; Administration "/>
    <x v="98"/>
    <n v="190"/>
    <s v=""/>
    <n v="190"/>
  </r>
  <r>
    <s v="2026-06-26"/>
    <x v="17"/>
    <x v="10"/>
    <x v="3"/>
    <s v="Operational Cost"/>
    <x v="98"/>
    <n v="437"/>
    <s v=""/>
    <n v="437"/>
  </r>
  <r>
    <s v="2026-06-26"/>
    <x v="17"/>
    <x v="15"/>
    <x v="2"/>
    <s v="Operational Cost"/>
    <x v="19"/>
    <n v="599"/>
    <s v=""/>
    <n v="599"/>
  </r>
  <r>
    <s v="2026-06-26"/>
    <x v="17"/>
    <x v="10"/>
    <x v="3"/>
    <s v="Operational Cost"/>
    <x v="12"/>
    <n v="1515"/>
    <s v=""/>
    <n v="1515"/>
  </r>
  <r>
    <s v="2026-06-26"/>
    <x v="17"/>
    <x v="14"/>
    <x v="3"/>
    <s v="Sales General &amp; Administration "/>
    <x v="51"/>
    <n v="5000"/>
    <s v=""/>
    <n v="5000"/>
  </r>
  <r>
    <s v="2026-06-26"/>
    <x v="17"/>
    <x v="11"/>
    <x v="6"/>
    <s v="Operational Cost"/>
    <x v="45"/>
    <n v="25000"/>
    <s v=""/>
    <n v="25000"/>
  </r>
  <r>
    <s v="2026-06-27"/>
    <x v="17"/>
    <x v="11"/>
    <x v="6"/>
    <s v="Operational Cost"/>
    <x v="9"/>
    <n v="1200"/>
    <s v=""/>
    <n v="1200"/>
  </r>
  <r>
    <s v="2026-06-27"/>
    <x v="17"/>
    <x v="11"/>
    <x v="6"/>
    <s v="Operational Cost"/>
    <x v="9"/>
    <n v="16800"/>
    <s v=""/>
    <n v="16800"/>
  </r>
  <r>
    <s v="2026-06-27"/>
    <x v="17"/>
    <x v="42"/>
    <x v="3"/>
    <s v="Sales General &amp; Administration "/>
    <x v="9"/>
    <n v="50000"/>
    <s v=""/>
    <n v="50000"/>
  </r>
  <r>
    <s v="2026-06-27"/>
    <x v="17"/>
    <x v="14"/>
    <x v="3"/>
    <s v="Sales General &amp; Administration "/>
    <x v="135"/>
    <n v="92857.14"/>
    <s v=""/>
    <n v="92857.14"/>
  </r>
  <r>
    <s v="2026-06-27"/>
    <x v="17"/>
    <x v="7"/>
    <x v="3"/>
    <s v="Sales General &amp; Administration "/>
    <x v="135"/>
    <n v="25320"/>
    <s v=""/>
    <n v="25320"/>
  </r>
  <r>
    <s v="2026-06-28"/>
    <x v="17"/>
    <x v="10"/>
    <x v="3"/>
    <s v="Operational Cost"/>
    <x v="98"/>
    <n v="3224.36"/>
    <s v=""/>
    <n v="3224.36"/>
  </r>
  <r>
    <s v="2026-06-28"/>
    <x v="17"/>
    <x v="10"/>
    <x v="3"/>
    <s v="Operational Cost"/>
    <x v="12"/>
    <s v=""/>
    <n v="15"/>
    <n v="-15"/>
  </r>
  <r>
    <s v="2026-06-28"/>
    <x v="17"/>
    <x v="13"/>
    <x v="2"/>
    <s v="Operational Cost"/>
    <x v="132"/>
    <n v="1888.38"/>
    <s v=""/>
    <n v="1888.38"/>
  </r>
  <r>
    <s v="2026-06-29"/>
    <x v="17"/>
    <x v="14"/>
    <x v="3"/>
    <s v="Sales General &amp; Administration "/>
    <x v="98"/>
    <n v="289"/>
    <s v=""/>
    <n v="289"/>
  </r>
  <r>
    <s v="2026-06-29"/>
    <x v="17"/>
    <x v="11"/>
    <x v="6"/>
    <s v="Operational Cost"/>
    <x v="9"/>
    <n v="429"/>
    <s v=""/>
    <n v="429"/>
  </r>
  <r>
    <s v="2026-06-29"/>
    <x v="17"/>
    <x v="13"/>
    <x v="2"/>
    <s v="Operational Cost"/>
    <x v="21"/>
    <n v="2367"/>
    <s v=""/>
    <n v="2367"/>
  </r>
  <r>
    <s v="2026-06-29"/>
    <x v="17"/>
    <x v="13"/>
    <x v="2"/>
    <s v="Operational Cost"/>
    <x v="14"/>
    <n v="4650"/>
    <s v=""/>
    <n v="4650"/>
  </r>
  <r>
    <s v="2026-06-29"/>
    <x v="17"/>
    <x v="11"/>
    <x v="6"/>
    <s v="Operational Cost"/>
    <x v="9"/>
    <n v="2991"/>
    <s v=""/>
    <n v="2991"/>
  </r>
  <r>
    <s v="2026-06-29"/>
    <x v="17"/>
    <x v="7"/>
    <x v="3"/>
    <s v="Sales General &amp; Administration "/>
    <x v="80"/>
    <n v="3500"/>
    <s v=""/>
    <n v="3500"/>
  </r>
  <r>
    <s v="2026-06-30"/>
    <x v="17"/>
    <x v="58"/>
    <x v="3"/>
    <s v="Sales General &amp; Administration "/>
    <x v="122"/>
    <n v="200"/>
    <s v=""/>
    <n v="200"/>
  </r>
  <r>
    <s v="2026-06-30"/>
    <x v="17"/>
    <x v="58"/>
    <x v="3"/>
    <s v="Sales General &amp; Administration "/>
    <x v="122"/>
    <n v="27400"/>
    <s v=""/>
    <n v="27400"/>
  </r>
  <r>
    <s v="2026-06-30"/>
    <x v="17"/>
    <x v="26"/>
    <x v="3"/>
    <s v="Sales General &amp; Administration "/>
    <x v="92"/>
    <n v="14000"/>
    <s v=""/>
    <n v="14000"/>
  </r>
  <r>
    <s v="2026-06-30"/>
    <x v="17"/>
    <x v="11"/>
    <x v="6"/>
    <s v="Operational Cost"/>
    <x v="58"/>
    <n v="4610"/>
    <s v=""/>
    <n v="4610"/>
  </r>
  <r>
    <s v="2026-06-30"/>
    <x v="17"/>
    <x v="21"/>
    <x v="0"/>
    <s v="Operational Cost"/>
    <x v="20"/>
    <n v="52330.01"/>
    <s v=""/>
    <n v="52330.01"/>
  </r>
  <r>
    <s v="2026-06-30"/>
    <x v="17"/>
    <x v="21"/>
    <x v="0"/>
    <s v="Operational Cost"/>
    <x v="20"/>
    <n v="11040"/>
    <s v=""/>
    <n v="11040"/>
  </r>
  <r>
    <s v="2026-06-30"/>
    <x v="17"/>
    <x v="21"/>
    <x v="0"/>
    <s v="Operational Cost"/>
    <x v="20"/>
    <n v="129162.08"/>
    <s v=""/>
    <n v="129162.08"/>
  </r>
  <r>
    <s v="2026-06-30"/>
    <x v="17"/>
    <x v="6"/>
    <x v="4"/>
    <s v="Operational Cost"/>
    <x v="104"/>
    <n v="120596"/>
    <s v=""/>
    <n v="120596"/>
  </r>
  <r>
    <s v="2026-06-30"/>
    <x v="17"/>
    <x v="10"/>
    <x v="3"/>
    <s v="Operational Cost"/>
    <x v="98"/>
    <n v="1172.45"/>
    <s v=""/>
    <n v="1172.45"/>
  </r>
  <r>
    <s v="2026-06-30"/>
    <x v="17"/>
    <x v="10"/>
    <x v="3"/>
    <s v="Operational Cost"/>
    <x v="98"/>
    <n v="2313.27"/>
    <s v=""/>
    <n v="2313.27"/>
  </r>
  <r>
    <s v="2026-06-30"/>
    <x v="17"/>
    <x v="14"/>
    <x v="3"/>
    <s v="Sales General &amp; Administration "/>
    <x v="98"/>
    <n v="400"/>
    <s v=""/>
    <n v="400"/>
  </r>
  <r>
    <s v="2026-06-30"/>
    <x v="17"/>
    <x v="7"/>
    <x v="3"/>
    <s v="Sales General &amp; Administration "/>
    <x v="9"/>
    <n v="4000"/>
    <s v=""/>
    <n v="4000"/>
  </r>
  <r>
    <s v="2026-06-30"/>
    <x v="17"/>
    <x v="7"/>
    <x v="3"/>
    <s v="Sales General &amp; Administration "/>
    <x v="9"/>
    <n v="2000"/>
    <s v=""/>
    <n v="2000"/>
  </r>
  <r>
    <s v="2026-06-30"/>
    <x v="17"/>
    <x v="19"/>
    <x v="8"/>
    <s v="Sales General &amp; Administration "/>
    <x v="51"/>
    <n v="23.67"/>
    <s v=""/>
    <n v="23.67"/>
  </r>
  <r>
    <s v="2026-06-30"/>
    <x v="17"/>
    <x v="11"/>
    <x v="6"/>
    <s v="Operational Cost"/>
    <x v="12"/>
    <n v="998"/>
    <s v=""/>
    <n v="998"/>
  </r>
  <r>
    <s v="2026-06-30"/>
    <x v="17"/>
    <x v="8"/>
    <x v="5"/>
    <s v="Indirect Income"/>
    <x v="7"/>
    <s v=""/>
    <n v="62715.25"/>
    <n v="-62715.25"/>
  </r>
  <r>
    <s v="2026-06-30"/>
    <x v="17"/>
    <x v="7"/>
    <x v="3"/>
    <s v="Sales General &amp; Administration "/>
    <x v="42"/>
    <n v="8000"/>
    <s v=""/>
    <n v="8000"/>
  </r>
  <r>
    <s v="2026-06-30"/>
    <x v="17"/>
    <x v="11"/>
    <x v="6"/>
    <s v="Operational Cost"/>
    <x v="45"/>
    <n v="20202"/>
    <s v=""/>
    <n v="20202"/>
  </r>
  <r>
    <s v="2026-06-30"/>
    <x v="17"/>
    <x v="24"/>
    <x v="9"/>
    <s v="Sales General &amp; Administration "/>
    <x v="26"/>
    <n v="160000"/>
    <s v=""/>
    <n v="160000"/>
  </r>
  <r>
    <s v="2026-06-30"/>
    <x v="17"/>
    <x v="27"/>
    <x v="3"/>
    <s v="Sales General &amp; Administration "/>
    <x v="29"/>
    <n v="791"/>
    <s v=""/>
    <n v="791"/>
  </r>
  <r>
    <s v="2026-06-30"/>
    <x v="17"/>
    <x v="24"/>
    <x v="9"/>
    <s v="Sales General &amp; Administration "/>
    <x v="26"/>
    <n v="250992"/>
    <s v=""/>
    <n v="250992"/>
  </r>
  <r>
    <s v="2026-06-30"/>
    <x v="17"/>
    <x v="31"/>
    <x v="3"/>
    <s v="Sales General &amp; Administration "/>
    <x v="33"/>
    <n v="17181"/>
    <s v=""/>
    <n v="17181"/>
  </r>
  <r>
    <s v="2026-06-30"/>
    <x v="17"/>
    <x v="32"/>
    <x v="3"/>
    <s v="Sales General &amp; Administration "/>
    <x v="34"/>
    <n v="17181"/>
    <s v=""/>
    <n v="17181"/>
  </r>
  <r>
    <s v="2026-06-30"/>
    <x v="17"/>
    <x v="39"/>
    <x v="3"/>
    <s v="Sales General &amp; Administration "/>
    <x v="41"/>
    <n v="209"/>
    <s v=""/>
    <n v="209"/>
  </r>
  <r>
    <s v="2026-06-30"/>
    <x v="17"/>
    <x v="24"/>
    <x v="9"/>
    <s v="Sales General &amp; Administration "/>
    <x v="26"/>
    <n v="160000"/>
    <s v=""/>
    <n v="160000"/>
  </r>
  <r>
    <s v="2026-06-30"/>
    <x v="17"/>
    <x v="24"/>
    <x v="9"/>
    <s v="Sales General &amp; Administration "/>
    <x v="26"/>
    <n v="60000"/>
    <s v=""/>
    <n v="60000"/>
  </r>
  <r>
    <s v="2026-06-30"/>
    <x v="17"/>
    <x v="25"/>
    <x v="7"/>
    <s v="Operational Cost"/>
    <x v="27"/>
    <n v="20000"/>
    <s v=""/>
    <n v="20000"/>
  </r>
  <r>
    <s v="2026-06-30"/>
    <x v="17"/>
    <x v="37"/>
    <x v="9"/>
    <s v="Sales General &amp; Administration "/>
    <x v="39"/>
    <n v="20000"/>
    <s v=""/>
    <n v="20000"/>
  </r>
  <r>
    <s v="2026-06-30"/>
    <x v="17"/>
    <x v="13"/>
    <x v="2"/>
    <s v="Operational Cost"/>
    <x v="14"/>
    <n v="25673"/>
    <s v=""/>
    <n v="25673"/>
  </r>
  <r>
    <s v="2026-06-30"/>
    <x v="17"/>
    <x v="27"/>
    <x v="3"/>
    <s v="Sales General &amp; Administration "/>
    <x v="29"/>
    <n v="805"/>
    <s v=""/>
    <n v="805"/>
  </r>
  <r>
    <s v="2026-06-30"/>
    <x v="17"/>
    <x v="24"/>
    <x v="9"/>
    <s v="Sales General &amp; Administration "/>
    <x v="26"/>
    <n v="255947"/>
    <s v=""/>
    <n v="255947"/>
  </r>
  <r>
    <s v="2026-06-30"/>
    <x v="17"/>
    <x v="31"/>
    <x v="3"/>
    <s v="Sales General &amp; Administration "/>
    <x v="33"/>
    <n v="17520"/>
    <s v=""/>
    <n v="17520"/>
  </r>
  <r>
    <s v="2026-06-30"/>
    <x v="17"/>
    <x v="32"/>
    <x v="3"/>
    <s v="Sales General &amp; Administration "/>
    <x v="34"/>
    <n v="17520"/>
    <s v=""/>
    <n v="17520"/>
  </r>
  <r>
    <s v="2026-06-30"/>
    <x v="17"/>
    <x v="39"/>
    <x v="3"/>
    <s v="Sales General &amp; Administration "/>
    <x v="41"/>
    <n v="208"/>
    <s v=""/>
    <n v="208"/>
  </r>
  <r>
    <s v="2026-06-30"/>
    <x v="17"/>
    <x v="18"/>
    <x v="0"/>
    <s v="Operational Cost"/>
    <x v="17"/>
    <n v="27563"/>
    <s v=""/>
    <n v="27563"/>
  </r>
  <r>
    <s v="2026-06-30"/>
    <x v="17"/>
    <x v="55"/>
    <x v="0"/>
    <s v="Operational Cost"/>
    <x v="101"/>
    <n v="25000"/>
    <s v=""/>
    <n v="25000"/>
  </r>
  <r>
    <s v="2026-06-30"/>
    <x v="17"/>
    <x v="27"/>
    <x v="3"/>
    <s v="Sales General &amp; Administration "/>
    <x v="29"/>
    <n v="35614"/>
    <s v=""/>
    <n v="35614"/>
  </r>
  <r>
    <s v="2026-06-30"/>
    <x v="17"/>
    <x v="28"/>
    <x v="3"/>
    <s v="Sales General &amp; Administration "/>
    <x v="30"/>
    <n v="281311"/>
    <s v=""/>
    <n v="281311"/>
  </r>
  <r>
    <s v="2026-06-30"/>
    <x v="17"/>
    <x v="29"/>
    <x v="7"/>
    <s v="Operational Cost"/>
    <x v="31"/>
    <n v="5698725"/>
    <s v=""/>
    <n v="5698725"/>
  </r>
  <r>
    <s v="2026-06-30"/>
    <x v="17"/>
    <x v="30"/>
    <x v="7"/>
    <s v="Operational Cost"/>
    <x v="32"/>
    <n v="3198901"/>
    <s v=""/>
    <n v="3198901"/>
  </r>
  <r>
    <s v="2026-06-30"/>
    <x v="17"/>
    <x v="31"/>
    <x v="3"/>
    <s v="Sales General &amp; Administration "/>
    <x v="33"/>
    <n v="427373"/>
    <s v=""/>
    <n v="427373"/>
  </r>
  <r>
    <s v="2026-06-30"/>
    <x v="17"/>
    <x v="32"/>
    <x v="3"/>
    <s v="Sales General &amp; Administration "/>
    <x v="34"/>
    <n v="427373"/>
    <s v=""/>
    <n v="427373"/>
  </r>
  <r>
    <s v="2026-06-30"/>
    <x v="17"/>
    <x v="33"/>
    <x v="3"/>
    <s v="Sales General &amp; Administration "/>
    <x v="35"/>
    <n v="29097"/>
    <s v=""/>
    <n v="29097"/>
  </r>
  <r>
    <s v="2026-06-30"/>
    <x v="17"/>
    <x v="34"/>
    <x v="3"/>
    <s v="Sales General &amp; Administration "/>
    <x v="36"/>
    <n v="6739"/>
    <s v=""/>
    <n v="6739"/>
  </r>
  <r>
    <s v="2026-06-30"/>
    <x v="17"/>
    <x v="35"/>
    <x v="10"/>
    <s v="Sales General &amp; Administration "/>
    <x v="37"/>
    <n v="102491"/>
    <s v=""/>
    <n v="102491"/>
  </r>
  <r>
    <s v="2026-06-30"/>
    <x v="17"/>
    <x v="36"/>
    <x v="9"/>
    <s v="Sales General &amp; Administration "/>
    <x v="38"/>
    <n v="53343"/>
    <s v=""/>
    <n v="53343"/>
  </r>
  <r>
    <s v="2026-06-30"/>
    <x v="17"/>
    <x v="37"/>
    <x v="9"/>
    <s v="Sales General &amp; Administration "/>
    <x v="39"/>
    <n v="46650"/>
    <s v=""/>
    <n v="46650"/>
  </r>
  <r>
    <s v="2026-06-30"/>
    <x v="17"/>
    <x v="38"/>
    <x v="9"/>
    <s v="Sales General &amp; Administration "/>
    <x v="40"/>
    <n v="66943"/>
    <s v=""/>
    <n v="66943"/>
  </r>
  <r>
    <s v="2026-06-30"/>
    <x v="17"/>
    <x v="39"/>
    <x v="3"/>
    <s v="Sales General &amp; Administration "/>
    <x v="41"/>
    <n v="60762"/>
    <s v=""/>
    <n v="60762"/>
  </r>
  <r>
    <s v="2026-06-30"/>
    <x v="17"/>
    <x v="26"/>
    <x v="3"/>
    <s v="Sales General &amp; Administration "/>
    <x v="107"/>
    <n v="32000"/>
    <s v=""/>
    <n v="3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57D0C-68D1-48CF-A6CC-054B422A8B1A}" name="PivotTable5" cacheId="5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3:T320" firstHeaderRow="1" firstDataRow="2" firstDataCol="1"/>
  <pivotFields count="12">
    <pivotField showAll="0"/>
    <pivotField axis="axisCol" numFmtId="15" showAll="0">
      <items count="19">
        <item x="11"/>
        <item x="0"/>
        <item x="1"/>
        <item x="2"/>
        <item x="3"/>
        <item x="4"/>
        <item x="5"/>
        <item x="6"/>
        <item x="7"/>
        <item x="8"/>
        <item x="9"/>
        <item x="10"/>
        <item x="12"/>
        <item x="13"/>
        <item x="14"/>
        <item x="15"/>
        <item x="16"/>
        <item x="17"/>
        <item t="default"/>
      </items>
    </pivotField>
    <pivotField axis="axisRow" showAll="0">
      <items count="28">
        <item x="0"/>
        <item x="2"/>
        <item x="26"/>
        <item x="4"/>
        <item x="5"/>
        <item x="6"/>
        <item x="25"/>
        <item x="8"/>
        <item x="12"/>
        <item x="15"/>
        <item x="16"/>
        <item x="17"/>
        <item x="18"/>
        <item x="20"/>
        <item x="22"/>
        <item x="23"/>
        <item x="24"/>
        <item x="21"/>
        <item x="11"/>
        <item x="9"/>
        <item x="19"/>
        <item x="1"/>
        <item x="13"/>
        <item x="14"/>
        <item x="7"/>
        <item x="10"/>
        <item x="3"/>
        <item t="default"/>
      </items>
    </pivotField>
    <pivotField axis="axisRow" showAll="0">
      <items count="10">
        <item x="8"/>
        <item x="6"/>
        <item x="3"/>
        <item x="5"/>
        <item x="1"/>
        <item x="0"/>
        <item x="4"/>
        <item x="7"/>
        <item x="2"/>
        <item t="default"/>
      </items>
    </pivotField>
    <pivotField axis="axisRow" showAll="0">
      <items count="4">
        <item x="2"/>
        <item x="1"/>
        <item x="0"/>
        <item t="default"/>
      </items>
    </pivotField>
    <pivotField axis="axisRow" showAll="0">
      <items count="257">
        <item x="31"/>
        <item x="19"/>
        <item x="175"/>
        <item x="167"/>
        <item x="29"/>
        <item x="189"/>
        <item x="2"/>
        <item x="41"/>
        <item x="22"/>
        <item x="21"/>
        <item x="40"/>
        <item x="7"/>
        <item x="166"/>
        <item x="11"/>
        <item x="174"/>
        <item x="168"/>
        <item x="225"/>
        <item x="52"/>
        <item x="23"/>
        <item x="51"/>
        <item x="182"/>
        <item x="36"/>
        <item x="219"/>
        <item x="73"/>
        <item x="201"/>
        <item x="214"/>
        <item x="171"/>
        <item x="163"/>
        <item x="191"/>
        <item x="215"/>
        <item x="30"/>
        <item x="179"/>
        <item x="28"/>
        <item x="190"/>
        <item x="177"/>
        <item x="176"/>
        <item x="110"/>
        <item x="185"/>
        <item x="115"/>
        <item x="54"/>
        <item x="35"/>
        <item x="55"/>
        <item x="197"/>
        <item x="91"/>
        <item x="95"/>
        <item x="134"/>
        <item x="198"/>
        <item x="84"/>
        <item x="228"/>
        <item x="44"/>
        <item x="186"/>
        <item x="39"/>
        <item x="20"/>
        <item x="65"/>
        <item x="188"/>
        <item x="206"/>
        <item x="6"/>
        <item x="187"/>
        <item x="45"/>
        <item x="46"/>
        <item x="5"/>
        <item x="193"/>
        <item x="24"/>
        <item x="68"/>
        <item x="69"/>
        <item x="194"/>
        <item x="195"/>
        <item x="75"/>
        <item x="66"/>
        <item x="0"/>
        <item x="192"/>
        <item x="37"/>
        <item x="213"/>
        <item x="77"/>
        <item x="199"/>
        <item x="200"/>
        <item x="80"/>
        <item x="170"/>
        <item x="85"/>
        <item x="82"/>
        <item x="87"/>
        <item x="38"/>
        <item x="25"/>
        <item x="88"/>
        <item x="159"/>
        <item x="90"/>
        <item x="26"/>
        <item x="92"/>
        <item x="93"/>
        <item x="96"/>
        <item x="202"/>
        <item x="97"/>
        <item x="98"/>
        <item x="83"/>
        <item x="203"/>
        <item x="47"/>
        <item x="89"/>
        <item x="178"/>
        <item x="204"/>
        <item x="27"/>
        <item x="56"/>
        <item x="102"/>
        <item x="1"/>
        <item x="205"/>
        <item x="8"/>
        <item x="9"/>
        <item x="10"/>
        <item x="57"/>
        <item x="3"/>
        <item x="53"/>
        <item x="152"/>
        <item x="153"/>
        <item x="172"/>
        <item x="12"/>
        <item x="58"/>
        <item x="104"/>
        <item x="105"/>
        <item x="180"/>
        <item x="181"/>
        <item x="48"/>
        <item x="50"/>
        <item x="64"/>
        <item x="154"/>
        <item x="155"/>
        <item x="156"/>
        <item x="157"/>
        <item x="173"/>
        <item x="109"/>
        <item x="111"/>
        <item x="112"/>
        <item x="43"/>
        <item x="116"/>
        <item x="117"/>
        <item x="118"/>
        <item x="119"/>
        <item x="120"/>
        <item x="121"/>
        <item x="122"/>
        <item x="126"/>
        <item x="127"/>
        <item x="128"/>
        <item x="106"/>
        <item x="59"/>
        <item x="207"/>
        <item x="208"/>
        <item x="209"/>
        <item x="210"/>
        <item x="211"/>
        <item x="212"/>
        <item x="160"/>
        <item x="161"/>
        <item x="42"/>
        <item x="13"/>
        <item x="14"/>
        <item x="15"/>
        <item x="183"/>
        <item x="32"/>
        <item x="33"/>
        <item x="49"/>
        <item x="132"/>
        <item x="133"/>
        <item x="135"/>
        <item x="162"/>
        <item x="60"/>
        <item x="61"/>
        <item x="16"/>
        <item x="17"/>
        <item x="184"/>
        <item x="34"/>
        <item x="158"/>
        <item x="216"/>
        <item x="217"/>
        <item x="138"/>
        <item x="139"/>
        <item x="140"/>
        <item x="141"/>
        <item x="142"/>
        <item x="143"/>
        <item x="164"/>
        <item x="18"/>
        <item x="149"/>
        <item x="150"/>
        <item x="151"/>
        <item x="165"/>
        <item x="4"/>
        <item x="62"/>
        <item x="63"/>
        <item x="67"/>
        <item x="70"/>
        <item x="71"/>
        <item x="72"/>
        <item x="74"/>
        <item x="76"/>
        <item x="78"/>
        <item x="79"/>
        <item x="81"/>
        <item x="86"/>
        <item x="94"/>
        <item x="99"/>
        <item x="100"/>
        <item x="101"/>
        <item x="103"/>
        <item x="107"/>
        <item x="108"/>
        <item x="113"/>
        <item x="114"/>
        <item x="123"/>
        <item x="124"/>
        <item x="125"/>
        <item x="129"/>
        <item x="130"/>
        <item x="131"/>
        <item x="136"/>
        <item x="137"/>
        <item x="144"/>
        <item x="145"/>
        <item x="146"/>
        <item x="147"/>
        <item x="148"/>
        <item x="169"/>
        <item x="196"/>
        <item x="218"/>
        <item x="220"/>
        <item x="221"/>
        <item x="222"/>
        <item x="223"/>
        <item x="224"/>
        <item x="226"/>
        <item x="227"/>
        <item x="229"/>
        <item x="230"/>
        <item x="231"/>
        <item x="235"/>
        <item x="236"/>
        <item x="241"/>
        <item x="240"/>
        <item x="232"/>
        <item x="239"/>
        <item x="242"/>
        <item x="243"/>
        <item x="246"/>
        <item x="247"/>
        <item x="233"/>
        <item x="234"/>
        <item x="237"/>
        <item x="248"/>
        <item x="238"/>
        <item x="244"/>
        <item x="245"/>
        <item m="1" x="254"/>
        <item m="1" x="253"/>
        <item x="249"/>
        <item x="250"/>
        <item m="1" x="255"/>
        <item x="251"/>
        <item x="252"/>
        <item t="default"/>
      </items>
    </pivotField>
    <pivotField showAll="0"/>
    <pivotField showAll="0"/>
    <pivotField dataField="1" showAll="0"/>
    <pivotField showAll="0">
      <items count="15">
        <item sd="0" x="0"/>
        <item sd="0" x="5"/>
        <item sd="0" x="6"/>
        <item sd="0" x="7"/>
        <item sd="0" x="8"/>
        <item sd="0" x="9"/>
        <item sd="0" x="10"/>
        <item sd="0" x="11"/>
        <item sd="0" x="12"/>
        <item sd="0" x="1"/>
        <item sd="0" x="2"/>
        <item sd="0" x="3"/>
        <item sd="0" x="4"/>
        <item sd="0" x="13"/>
        <item t="default"/>
      </items>
    </pivotField>
    <pivotField showAll="0">
      <items count="7">
        <item sd="0" x="1"/>
        <item sd="0" x="2"/>
        <item sd="0" x="3"/>
        <item sd="0" x="4"/>
        <item x="0"/>
        <item x="5"/>
        <item t="default"/>
      </items>
    </pivotField>
    <pivotField showAll="0">
      <items count="5">
        <item sd="0" x="1"/>
        <item x="2"/>
        <item x="0"/>
        <item x="3"/>
        <item t="default"/>
      </items>
    </pivotField>
  </pivotFields>
  <rowFields count="4">
    <field x="4"/>
    <field x="3"/>
    <field x="2"/>
    <field x="5"/>
  </rowFields>
  <rowItems count="316">
    <i>
      <x/>
    </i>
    <i r="1">
      <x/>
    </i>
    <i r="2">
      <x v="2"/>
    </i>
    <i r="3">
      <x v="158"/>
    </i>
    <i r="1">
      <x v="1"/>
    </i>
    <i r="2">
      <x v="20"/>
    </i>
    <i r="3">
      <x v="106"/>
    </i>
    <i r="1">
      <x v="2"/>
    </i>
    <i r="2">
      <x v="3"/>
    </i>
    <i r="3">
      <x/>
    </i>
    <i r="3">
      <x v="1"/>
    </i>
    <i r="3">
      <x v="4"/>
    </i>
    <i r="3">
      <x v="8"/>
    </i>
    <i r="3">
      <x v="9"/>
    </i>
    <i r="3">
      <x v="18"/>
    </i>
    <i r="3">
      <x v="30"/>
    </i>
    <i r="3">
      <x v="32"/>
    </i>
    <i r="3">
      <x v="52"/>
    </i>
    <i r="3">
      <x v="62"/>
    </i>
    <i r="3">
      <x v="82"/>
    </i>
    <i r="3">
      <x v="86"/>
    </i>
    <i r="3">
      <x v="99"/>
    </i>
    <i r="3">
      <x v="156"/>
    </i>
    <i r="3">
      <x v="157"/>
    </i>
    <i r="3">
      <x v="168"/>
    </i>
    <i r="2">
      <x v="7"/>
    </i>
    <i r="3">
      <x v="17"/>
    </i>
    <i r="3">
      <x v="19"/>
    </i>
    <i r="3">
      <x v="39"/>
    </i>
    <i r="3">
      <x v="109"/>
    </i>
    <i r="2">
      <x v="14"/>
    </i>
    <i r="3">
      <x v="37"/>
    </i>
    <i r="3">
      <x v="50"/>
    </i>
    <i r="1">
      <x v="7"/>
    </i>
    <i r="2">
      <x v="13"/>
    </i>
    <i r="3">
      <x v="2"/>
    </i>
    <i r="3">
      <x v="4"/>
    </i>
    <i r="3">
      <x v="12"/>
    </i>
    <i r="3">
      <x v="14"/>
    </i>
    <i r="3">
      <x v="15"/>
    </i>
    <i r="3">
      <x v="20"/>
    </i>
    <i r="3">
      <x v="31"/>
    </i>
    <i r="3">
      <x v="32"/>
    </i>
    <i r="3">
      <x v="34"/>
    </i>
    <i r="3">
      <x v="35"/>
    </i>
    <i r="3">
      <x v="97"/>
    </i>
    <i r="3">
      <x v="117"/>
    </i>
    <i r="3">
      <x v="118"/>
    </i>
    <i r="3">
      <x v="155"/>
    </i>
    <i r="3">
      <x v="167"/>
    </i>
    <i r="3">
      <x v="235"/>
    </i>
    <i r="3">
      <x v="237"/>
    </i>
    <i r="1">
      <x v="8"/>
    </i>
    <i r="2">
      <x v="1"/>
    </i>
    <i r="3">
      <x v="11"/>
    </i>
    <i r="3">
      <x v="56"/>
    </i>
    <i r="3">
      <x v="60"/>
    </i>
    <i r="3">
      <x v="104"/>
    </i>
    <i r="3">
      <x v="106"/>
    </i>
    <i r="3">
      <x v="113"/>
    </i>
    <i r="3">
      <x v="152"/>
    </i>
    <i r="3">
      <x v="153"/>
    </i>
    <i r="3">
      <x v="165"/>
    </i>
    <i r="3">
      <x v="166"/>
    </i>
    <i r="3">
      <x v="179"/>
    </i>
    <i r="3">
      <x v="231"/>
    </i>
    <i r="3">
      <x v="236"/>
    </i>
    <i>
      <x v="1"/>
    </i>
    <i r="1">
      <x v="3"/>
    </i>
    <i r="2">
      <x v="10"/>
    </i>
    <i r="3">
      <x v="185"/>
    </i>
    <i r="2">
      <x v="18"/>
    </i>
    <i r="3">
      <x v="185"/>
    </i>
    <i r="1">
      <x v="4"/>
    </i>
    <i r="2">
      <x v="4"/>
    </i>
    <i r="3">
      <x v="7"/>
    </i>
    <i r="3">
      <x v="10"/>
    </i>
    <i r="3">
      <x v="21"/>
    </i>
    <i r="3">
      <x v="40"/>
    </i>
    <i r="3">
      <x v="51"/>
    </i>
    <i r="3">
      <x v="71"/>
    </i>
    <i r="3">
      <x v="81"/>
    </i>
    <i r="3">
      <x v="130"/>
    </i>
    <i r="3">
      <x v="151"/>
    </i>
    <i r="2">
      <x v="5"/>
    </i>
    <i r="3">
      <x v="49"/>
    </i>
    <i r="3">
      <x v="58"/>
    </i>
    <i r="3">
      <x v="59"/>
    </i>
    <i r="3">
      <x v="95"/>
    </i>
    <i r="3">
      <x v="119"/>
    </i>
    <i r="3">
      <x v="120"/>
    </i>
    <i r="3">
      <x v="158"/>
    </i>
    <i r="2">
      <x v="8"/>
    </i>
    <i r="3">
      <x v="16"/>
    </i>
    <i r="3">
      <x v="23"/>
    </i>
    <i r="3">
      <x v="36"/>
    </i>
    <i r="3">
      <x v="38"/>
    </i>
    <i r="3">
      <x v="43"/>
    </i>
    <i r="3">
      <x v="44"/>
    </i>
    <i r="3">
      <x v="45"/>
    </i>
    <i r="3">
      <x v="47"/>
    </i>
    <i r="3">
      <x v="53"/>
    </i>
    <i r="3">
      <x v="63"/>
    </i>
    <i r="3">
      <x v="64"/>
    </i>
    <i r="3">
      <x v="67"/>
    </i>
    <i r="3">
      <x v="68"/>
    </i>
    <i r="3">
      <x v="73"/>
    </i>
    <i r="3">
      <x v="76"/>
    </i>
    <i r="3">
      <x v="78"/>
    </i>
    <i r="3">
      <x v="79"/>
    </i>
    <i r="3">
      <x v="80"/>
    </i>
    <i r="3">
      <x v="82"/>
    </i>
    <i r="3">
      <x v="83"/>
    </i>
    <i r="3">
      <x v="85"/>
    </i>
    <i r="3">
      <x v="87"/>
    </i>
    <i r="3">
      <x v="88"/>
    </i>
    <i r="3">
      <x v="89"/>
    </i>
    <i r="3">
      <x v="91"/>
    </i>
    <i r="3">
      <x v="92"/>
    </i>
    <i r="3">
      <x v="93"/>
    </i>
    <i r="3">
      <x v="96"/>
    </i>
    <i r="3">
      <x v="101"/>
    </i>
    <i r="3">
      <x v="115"/>
    </i>
    <i r="3">
      <x v="116"/>
    </i>
    <i r="3">
      <x v="120"/>
    </i>
    <i r="3">
      <x v="121"/>
    </i>
    <i r="3">
      <x v="127"/>
    </i>
    <i r="3">
      <x v="128"/>
    </i>
    <i r="3">
      <x v="129"/>
    </i>
    <i r="3">
      <x v="130"/>
    </i>
    <i r="3">
      <x v="131"/>
    </i>
    <i r="3">
      <x v="132"/>
    </i>
    <i r="3">
      <x v="133"/>
    </i>
    <i r="3">
      <x v="134"/>
    </i>
    <i r="3">
      <x v="135"/>
    </i>
    <i r="3">
      <x v="136"/>
    </i>
    <i r="3">
      <x v="137"/>
    </i>
    <i r="3">
      <x v="138"/>
    </i>
    <i r="3">
      <x v="139"/>
    </i>
    <i r="3">
      <x v="140"/>
    </i>
    <i r="3">
      <x v="141"/>
    </i>
    <i r="3">
      <x v="159"/>
    </i>
    <i r="3">
      <x v="160"/>
    </i>
    <i r="3">
      <x v="161"/>
    </i>
    <i r="3">
      <x v="172"/>
    </i>
    <i r="3">
      <x v="173"/>
    </i>
    <i r="3">
      <x v="174"/>
    </i>
    <i r="3">
      <x v="175"/>
    </i>
    <i r="3">
      <x v="176"/>
    </i>
    <i r="3">
      <x v="177"/>
    </i>
    <i r="3">
      <x v="180"/>
    </i>
    <i r="3">
      <x v="181"/>
    </i>
    <i r="3">
      <x v="182"/>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r="3">
      <x v="211"/>
    </i>
    <i r="3">
      <x v="212"/>
    </i>
    <i r="3">
      <x v="213"/>
    </i>
    <i r="3">
      <x v="214"/>
    </i>
    <i r="3">
      <x v="215"/>
    </i>
    <i r="3">
      <x v="216"/>
    </i>
    <i r="3">
      <x v="217"/>
    </i>
    <i r="3">
      <x v="218"/>
    </i>
    <i r="3">
      <x v="224"/>
    </i>
    <i r="3">
      <x v="225"/>
    </i>
    <i r="3">
      <x v="226"/>
    </i>
    <i r="3">
      <x v="232"/>
    </i>
    <i r="3">
      <x v="233"/>
    </i>
    <i r="3">
      <x v="242"/>
    </i>
    <i r="3">
      <x v="243"/>
    </i>
    <i r="3">
      <x v="244"/>
    </i>
    <i r="3">
      <x v="245"/>
    </i>
    <i r="2">
      <x v="9"/>
    </i>
    <i r="3">
      <x v="185"/>
    </i>
    <i r="2">
      <x v="11"/>
    </i>
    <i r="3">
      <x v="27"/>
    </i>
    <i r="3">
      <x v="178"/>
    </i>
    <i r="2">
      <x v="12"/>
    </i>
    <i r="3">
      <x v="6"/>
    </i>
    <i r="3">
      <x v="183"/>
    </i>
    <i r="3">
      <x v="246"/>
    </i>
    <i r="2">
      <x v="15"/>
    </i>
    <i r="3">
      <x v="5"/>
    </i>
    <i r="3">
      <x v="54"/>
    </i>
    <i r="3">
      <x v="57"/>
    </i>
    <i r="2">
      <x v="19"/>
    </i>
    <i r="3">
      <x v="41"/>
    </i>
    <i r="3">
      <x v="100"/>
    </i>
    <i r="3">
      <x v="107"/>
    </i>
    <i r="3">
      <x v="114"/>
    </i>
    <i r="3">
      <x v="142"/>
    </i>
    <i r="3">
      <x v="240"/>
    </i>
    <i r="3">
      <x v="241"/>
    </i>
    <i r="3">
      <x v="255"/>
    </i>
    <i r="2">
      <x v="21"/>
    </i>
    <i r="3">
      <x v="6"/>
    </i>
    <i r="2">
      <x v="22"/>
    </i>
    <i r="3">
      <x v="73"/>
    </i>
    <i r="3">
      <x v="110"/>
    </i>
    <i r="3">
      <x v="111"/>
    </i>
    <i r="3">
      <x v="121"/>
    </i>
    <i r="3">
      <x v="122"/>
    </i>
    <i r="3">
      <x v="123"/>
    </i>
    <i r="3">
      <x v="124"/>
    </i>
    <i r="3">
      <x v="125"/>
    </i>
    <i r="3">
      <x v="169"/>
    </i>
    <i r="3">
      <x v="194"/>
    </i>
    <i r="3">
      <x v="227"/>
    </i>
    <i r="3">
      <x v="228"/>
    </i>
    <i r="2">
      <x v="23"/>
    </i>
    <i r="3">
      <x v="84"/>
    </i>
    <i r="3">
      <x v="130"/>
    </i>
    <i r="3">
      <x v="149"/>
    </i>
    <i r="3">
      <x v="150"/>
    </i>
    <i r="3">
      <x v="162"/>
    </i>
    <i r="2">
      <x v="26"/>
    </i>
    <i r="3">
      <x v="13"/>
    </i>
    <i r="3">
      <x v="105"/>
    </i>
    <i r="3">
      <x v="154"/>
    </i>
    <i r="3">
      <x v="254"/>
    </i>
    <i r="1">
      <x v="6"/>
    </i>
    <i r="2">
      <x v="16"/>
    </i>
    <i r="3">
      <x v="6"/>
    </i>
    <i r="3">
      <x v="22"/>
    </i>
    <i r="3">
      <x v="24"/>
    </i>
    <i r="3">
      <x v="25"/>
    </i>
    <i r="3">
      <x v="28"/>
    </i>
    <i r="3">
      <x v="29"/>
    </i>
    <i r="3">
      <x v="33"/>
    </i>
    <i r="3">
      <x v="40"/>
    </i>
    <i r="3">
      <x v="42"/>
    </i>
    <i r="3">
      <x v="46"/>
    </i>
    <i r="3">
      <x v="48"/>
    </i>
    <i r="3">
      <x v="55"/>
    </i>
    <i r="3">
      <x v="61"/>
    </i>
    <i r="3">
      <x v="65"/>
    </i>
    <i r="3">
      <x v="66"/>
    </i>
    <i r="3">
      <x v="70"/>
    </i>
    <i r="3">
      <x v="72"/>
    </i>
    <i r="3">
      <x v="74"/>
    </i>
    <i r="3">
      <x v="75"/>
    </i>
    <i r="3">
      <x v="84"/>
    </i>
    <i r="3">
      <x v="90"/>
    </i>
    <i r="3">
      <x v="94"/>
    </i>
    <i r="3">
      <x v="98"/>
    </i>
    <i r="3">
      <x v="103"/>
    </i>
    <i r="3">
      <x v="143"/>
    </i>
    <i r="3">
      <x v="144"/>
    </i>
    <i r="3">
      <x v="145"/>
    </i>
    <i r="3">
      <x v="146"/>
    </i>
    <i r="3">
      <x v="147"/>
    </i>
    <i r="3">
      <x v="148"/>
    </i>
    <i r="3">
      <x v="170"/>
    </i>
    <i r="3">
      <x v="171"/>
    </i>
    <i r="3">
      <x v="220"/>
    </i>
    <i r="3">
      <x v="221"/>
    </i>
    <i r="3">
      <x v="222"/>
    </i>
    <i r="3">
      <x v="223"/>
    </i>
    <i r="3">
      <x v="229"/>
    </i>
    <i r="3">
      <x v="230"/>
    </i>
    <i r="3">
      <x v="232"/>
    </i>
    <i r="3">
      <x v="234"/>
    </i>
    <i r="3">
      <x v="238"/>
    </i>
    <i r="3">
      <x v="239"/>
    </i>
    <i r="3">
      <x v="247"/>
    </i>
    <i r="3">
      <x v="251"/>
    </i>
    <i r="3">
      <x v="252"/>
    </i>
    <i r="2">
      <x v="17"/>
    </i>
    <i r="3">
      <x v="3"/>
    </i>
    <i r="3">
      <x v="15"/>
    </i>
    <i r="3">
      <x v="26"/>
    </i>
    <i r="3">
      <x v="77"/>
    </i>
    <i r="3">
      <x v="112"/>
    </i>
    <i r="3">
      <x v="126"/>
    </i>
    <i r="3">
      <x v="219"/>
    </i>
    <i r="2">
      <x v="25"/>
    </i>
    <i r="3">
      <x v="163"/>
    </i>
    <i r="3">
      <x v="164"/>
    </i>
    <i>
      <x v="2"/>
    </i>
    <i r="1">
      <x v="5"/>
    </i>
    <i r="2">
      <x/>
    </i>
    <i r="3">
      <x v="6"/>
    </i>
    <i r="3">
      <x v="69"/>
    </i>
    <i r="3">
      <x v="99"/>
    </i>
    <i r="3">
      <x v="102"/>
    </i>
    <i r="3">
      <x v="108"/>
    </i>
    <i r="3">
      <x v="184"/>
    </i>
    <i r="3">
      <x v="248"/>
    </i>
    <i r="2">
      <x v="6"/>
    </i>
    <i r="3">
      <x v="6"/>
    </i>
    <i r="2">
      <x v="24"/>
    </i>
    <i r="3">
      <x v="6"/>
    </i>
    <i t="grand">
      <x/>
    </i>
  </rowItems>
  <colFields count="1">
    <field x="1"/>
  </colFields>
  <colItems count="18">
    <i>
      <x/>
    </i>
    <i>
      <x v="1"/>
    </i>
    <i>
      <x v="2"/>
    </i>
    <i>
      <x v="3"/>
    </i>
    <i>
      <x v="4"/>
    </i>
    <i>
      <x v="5"/>
    </i>
    <i>
      <x v="6"/>
    </i>
    <i>
      <x v="7"/>
    </i>
    <i>
      <x v="8"/>
    </i>
    <i>
      <x v="9"/>
    </i>
    <i>
      <x v="10"/>
    </i>
    <i>
      <x v="11"/>
    </i>
    <i>
      <x v="12"/>
    </i>
    <i>
      <x v="13"/>
    </i>
    <i>
      <x v="14"/>
    </i>
    <i>
      <x v="15"/>
    </i>
    <i>
      <x v="16"/>
    </i>
    <i>
      <x v="17"/>
    </i>
  </colItems>
  <dataFields count="1">
    <dataField name="Sum of Amount" fld="8" baseField="0" baseItem="0" numFmtId="168"/>
  </dataFields>
  <formats count="89">
    <format dxfId="266">
      <pivotArea type="all" dataOnly="0" outline="0" fieldPosition="0"/>
    </format>
    <format dxfId="265">
      <pivotArea outline="0" collapsedLevelsAreSubtotals="1" fieldPosition="0"/>
    </format>
    <format dxfId="264">
      <pivotArea type="origin" dataOnly="0" labelOnly="1" outline="0" fieldPosition="0"/>
    </format>
    <format dxfId="263">
      <pivotArea field="1" type="button" dataOnly="0" labelOnly="1" outline="0" axis="axisCol" fieldPosition="0"/>
    </format>
    <format dxfId="262">
      <pivotArea type="topRight" dataOnly="0" labelOnly="1" outline="0" fieldPosition="0"/>
    </format>
    <format dxfId="261">
      <pivotArea field="4" type="button" dataOnly="0" labelOnly="1" outline="0" axis="axisRow" fieldPosition="0"/>
    </format>
    <format dxfId="260">
      <pivotArea dataOnly="0" labelOnly="1" grandRow="1" outline="0" fieldPosition="0"/>
    </format>
    <format dxfId="259">
      <pivotArea dataOnly="0" labelOnly="1" grandCol="1" outline="0" fieldPosition="0"/>
    </format>
    <format dxfId="258">
      <pivotArea collapsedLevelsAreSubtotals="1" fieldPosition="0">
        <references count="2">
          <reference field="3" count="1">
            <x v="0"/>
          </reference>
          <reference field="4" count="1" selected="0">
            <x v="0"/>
          </reference>
        </references>
      </pivotArea>
    </format>
    <format dxfId="257">
      <pivotArea collapsedLevelsAreSubtotals="1" fieldPosition="0">
        <references count="3">
          <reference field="2" count="1">
            <x v="2"/>
          </reference>
          <reference field="3" count="1" selected="0">
            <x v="0"/>
          </reference>
          <reference field="4" count="1" selected="0">
            <x v="0"/>
          </reference>
        </references>
      </pivotArea>
    </format>
    <format dxfId="256">
      <pivotArea dataOnly="0" labelOnly="1" fieldPosition="0">
        <references count="2">
          <reference field="3" count="1">
            <x v="0"/>
          </reference>
          <reference field="4" count="1" selected="0">
            <x v="0"/>
          </reference>
        </references>
      </pivotArea>
    </format>
    <format dxfId="255">
      <pivotArea dataOnly="0" labelOnly="1" fieldPosition="0">
        <references count="3">
          <reference field="2" count="1">
            <x v="2"/>
          </reference>
          <reference field="3" count="1" selected="0">
            <x v="0"/>
          </reference>
          <reference field="4" count="1" selected="0">
            <x v="0"/>
          </reference>
        </references>
      </pivotArea>
    </format>
    <format dxfId="254">
      <pivotArea type="all" dataOnly="0" outline="0" fieldPosition="0"/>
    </format>
    <format dxfId="253">
      <pivotArea outline="0" collapsedLevelsAreSubtotals="1" fieldPosition="0"/>
    </format>
    <format dxfId="252">
      <pivotArea type="origin" dataOnly="0" labelOnly="1" outline="0" fieldPosition="0"/>
    </format>
    <format dxfId="251">
      <pivotArea field="1" type="button" dataOnly="0" labelOnly="1" outline="0" axis="axisCol" fieldPosition="0"/>
    </format>
    <format dxfId="250">
      <pivotArea type="topRight" dataOnly="0" labelOnly="1" outline="0" fieldPosition="0"/>
    </format>
    <format dxfId="249">
      <pivotArea field="4" type="button" dataOnly="0" labelOnly="1" outline="0" axis="axisRow" fieldPosition="0"/>
    </format>
    <format dxfId="248">
      <pivotArea dataOnly="0" labelOnly="1" fieldPosition="0">
        <references count="1">
          <reference field="4" count="0"/>
        </references>
      </pivotArea>
    </format>
    <format dxfId="247">
      <pivotArea dataOnly="0" labelOnly="1" grandRow="1" outline="0" fieldPosition="0"/>
    </format>
    <format dxfId="246">
      <pivotArea dataOnly="0" labelOnly="1" fieldPosition="0">
        <references count="2">
          <reference field="3" count="3">
            <x v="0"/>
            <x v="1"/>
            <x v="2"/>
          </reference>
          <reference field="4" count="1" selected="0">
            <x v="0"/>
          </reference>
        </references>
      </pivotArea>
    </format>
    <format dxfId="245">
      <pivotArea dataOnly="0" labelOnly="1" fieldPosition="0">
        <references count="2">
          <reference field="3" count="4">
            <x v="3"/>
            <x v="4"/>
            <x v="5"/>
            <x v="6"/>
          </reference>
          <reference field="4" count="1" selected="0">
            <x v="1"/>
          </reference>
        </references>
      </pivotArea>
    </format>
    <format dxfId="244">
      <pivotArea dataOnly="0" labelOnly="1" fieldPosition="0">
        <references count="3">
          <reference field="2" count="1">
            <x v="2"/>
          </reference>
          <reference field="3" count="1" selected="0">
            <x v="0"/>
          </reference>
          <reference field="4" count="1" selected="0">
            <x v="0"/>
          </reference>
        </references>
      </pivotArea>
    </format>
    <format dxfId="243">
      <pivotArea dataOnly="0" labelOnly="1" fieldPosition="0">
        <references count="3">
          <reference field="2" count="4">
            <x v="3"/>
            <x v="7"/>
            <x v="13"/>
            <x v="14"/>
          </reference>
          <reference field="3" count="1" selected="0">
            <x v="2"/>
          </reference>
          <reference field="4" count="1" selected="0">
            <x v="0"/>
          </reference>
        </references>
      </pivotArea>
    </format>
    <format dxfId="242">
      <pivotArea dataOnly="0" labelOnly="1" fieldPosition="0">
        <references count="3">
          <reference field="2" count="1">
            <x v="10"/>
          </reference>
          <reference field="3" count="1" selected="0">
            <x v="3"/>
          </reference>
          <reference field="4" count="1" selected="0">
            <x v="1"/>
          </reference>
        </references>
      </pivotArea>
    </format>
    <format dxfId="241">
      <pivotArea dataOnly="0" labelOnly="1" fieldPosition="0">
        <references count="3">
          <reference field="2" count="8">
            <x v="1"/>
            <x v="4"/>
            <x v="5"/>
            <x v="8"/>
            <x v="9"/>
            <x v="11"/>
            <x v="12"/>
            <x v="15"/>
          </reference>
          <reference field="3" count="1" selected="0">
            <x v="4"/>
          </reference>
          <reference field="4" count="1" selected="0">
            <x v="1"/>
          </reference>
        </references>
      </pivotArea>
    </format>
    <format dxfId="240">
      <pivotArea dataOnly="0" labelOnly="1" fieldPosition="0">
        <references count="3">
          <reference field="2" count="2">
            <x v="0"/>
            <x v="6"/>
          </reference>
          <reference field="3" count="1" selected="0">
            <x v="5"/>
          </reference>
          <reference field="4" count="1" selected="0">
            <x v="1"/>
          </reference>
        </references>
      </pivotArea>
    </format>
    <format dxfId="239">
      <pivotArea dataOnly="0" labelOnly="1" fieldPosition="0">
        <references count="3">
          <reference field="2" count="1">
            <x v="16"/>
          </reference>
          <reference field="3" count="1" selected="0">
            <x v="6"/>
          </reference>
          <reference field="4" count="1" selected="0">
            <x v="1"/>
          </reference>
        </references>
      </pivotArea>
    </format>
    <format dxfId="238">
      <pivotArea dataOnly="0" labelOnly="1" fieldPosition="0">
        <references count="4">
          <reference field="2" count="1" selected="0">
            <x v="3"/>
          </reference>
          <reference field="3" count="1" selected="0">
            <x v="2"/>
          </reference>
          <reference field="4" count="1" selected="0">
            <x v="0"/>
          </reference>
          <reference field="5" count="11">
            <x v="0"/>
            <x v="1"/>
            <x v="2"/>
            <x v="6"/>
            <x v="8"/>
            <x v="9"/>
            <x v="18"/>
            <x v="20"/>
            <x v="30"/>
            <x v="39"/>
            <x v="52"/>
          </reference>
        </references>
      </pivotArea>
    </format>
    <format dxfId="237">
      <pivotArea dataOnly="0" labelOnly="1" fieldPosition="0">
        <references count="4">
          <reference field="2" count="1" selected="0">
            <x v="7"/>
          </reference>
          <reference field="3" count="1" selected="0">
            <x v="2"/>
          </reference>
          <reference field="4" count="1" selected="0">
            <x v="0"/>
          </reference>
          <reference field="5" count="2">
            <x v="17"/>
            <x v="19"/>
          </reference>
        </references>
      </pivotArea>
    </format>
    <format dxfId="236">
      <pivotArea dataOnly="0" labelOnly="1" fieldPosition="0">
        <references count="4">
          <reference field="2" count="1" selected="0">
            <x v="13"/>
          </reference>
          <reference field="3" count="1" selected="0">
            <x v="2"/>
          </reference>
          <reference field="4" count="1" selected="0">
            <x v="0"/>
          </reference>
          <reference field="5" count="2">
            <x v="14"/>
            <x v="35"/>
          </reference>
        </references>
      </pivotArea>
    </format>
    <format dxfId="235">
      <pivotArea dataOnly="0" labelOnly="1" fieldPosition="0">
        <references count="4">
          <reference field="2" count="1" selected="0">
            <x v="14"/>
          </reference>
          <reference field="3" count="1" selected="0">
            <x v="2"/>
          </reference>
          <reference field="4" count="1" selected="0">
            <x v="0"/>
          </reference>
          <reference field="5" count="1">
            <x v="50"/>
          </reference>
        </references>
      </pivotArea>
    </format>
    <format dxfId="234">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233">
      <pivotArea dataOnly="0" labelOnly="1" fieldPosition="0">
        <references count="4">
          <reference field="2" count="1" selected="0">
            <x v="1"/>
          </reference>
          <reference field="3" count="1" selected="0">
            <x v="4"/>
          </reference>
          <reference field="4" count="1" selected="0">
            <x v="1"/>
          </reference>
          <reference field="5" count="1">
            <x v="13"/>
          </reference>
        </references>
      </pivotArea>
    </format>
    <format dxfId="232">
      <pivotArea dataOnly="0" labelOnly="1" fieldPosition="0">
        <references count="4">
          <reference field="2" count="1" selected="0">
            <x v="4"/>
          </reference>
          <reference field="3" count="1" selected="0">
            <x v="4"/>
          </reference>
          <reference field="4" count="1" selected="0">
            <x v="1"/>
          </reference>
          <reference field="5" count="4">
            <x v="7"/>
            <x v="21"/>
            <x v="40"/>
            <x v="51"/>
          </reference>
        </references>
      </pivotArea>
    </format>
    <format dxfId="231">
      <pivotArea dataOnly="0" labelOnly="1" fieldPosition="0">
        <references count="4">
          <reference field="2" count="1" selected="0">
            <x v="5"/>
          </reference>
          <reference field="3" count="1" selected="0">
            <x v="4"/>
          </reference>
          <reference field="4" count="1" selected="0">
            <x v="1"/>
          </reference>
          <reference field="5" count="2">
            <x v="6"/>
            <x v="49"/>
          </reference>
        </references>
      </pivotArea>
    </format>
    <format dxfId="230">
      <pivotArea dataOnly="0" labelOnly="1" fieldPosition="0">
        <references count="4">
          <reference field="2" count="1" selected="0">
            <x v="8"/>
          </reference>
          <reference field="3" count="1" selected="0">
            <x v="4"/>
          </reference>
          <reference field="4" count="1" selected="0">
            <x v="1"/>
          </reference>
          <reference field="5" count="10">
            <x v="10"/>
            <x v="16"/>
            <x v="21"/>
            <x v="23"/>
            <x v="36"/>
            <x v="38"/>
            <x v="43"/>
            <x v="44"/>
            <x v="45"/>
            <x v="47"/>
          </reference>
        </references>
      </pivotArea>
    </format>
    <format dxfId="229">
      <pivotArea dataOnly="0" labelOnly="1" fieldPosition="0">
        <references count="4">
          <reference field="2" count="1" selected="0">
            <x v="9"/>
          </reference>
          <reference field="3" count="1" selected="0">
            <x v="4"/>
          </reference>
          <reference field="4" count="1" selected="0">
            <x v="1"/>
          </reference>
          <reference field="5" count="1">
            <x v="6"/>
          </reference>
        </references>
      </pivotArea>
    </format>
    <format dxfId="228">
      <pivotArea dataOnly="0" labelOnly="1" fieldPosition="0">
        <references count="4">
          <reference field="2" count="1" selected="0">
            <x v="11"/>
          </reference>
          <reference field="3" count="1" selected="0">
            <x v="4"/>
          </reference>
          <reference field="4" count="1" selected="0">
            <x v="1"/>
          </reference>
          <reference field="5" count="1">
            <x v="27"/>
          </reference>
        </references>
      </pivotArea>
    </format>
    <format dxfId="227">
      <pivotArea dataOnly="0" labelOnly="1" fieldPosition="0">
        <references count="4">
          <reference field="2" count="1" selected="0">
            <x v="12"/>
          </reference>
          <reference field="3" count="1" selected="0">
            <x v="4"/>
          </reference>
          <reference field="4" count="1" selected="0">
            <x v="1"/>
          </reference>
          <reference field="5" count="1">
            <x v="6"/>
          </reference>
        </references>
      </pivotArea>
    </format>
    <format dxfId="226">
      <pivotArea dataOnly="0" labelOnly="1" fieldPosition="0">
        <references count="4">
          <reference field="2" count="1" selected="0">
            <x v="15"/>
          </reference>
          <reference field="3" count="1" selected="0">
            <x v="4"/>
          </reference>
          <reference field="4" count="1" selected="0">
            <x v="1"/>
          </reference>
          <reference field="5" count="1">
            <x v="5"/>
          </reference>
        </references>
      </pivotArea>
    </format>
    <format dxfId="225">
      <pivotArea dataOnly="0" labelOnly="1" fieldPosition="0">
        <references count="4">
          <reference field="2" count="1" selected="0">
            <x v="0"/>
          </reference>
          <reference field="3" count="1" selected="0">
            <x v="5"/>
          </reference>
          <reference field="4" count="1" selected="0">
            <x v="1"/>
          </reference>
          <reference field="5" count="1">
            <x v="6"/>
          </reference>
        </references>
      </pivotArea>
    </format>
    <format dxfId="224">
      <pivotArea dataOnly="0" labelOnly="1" fieldPosition="0">
        <references count="4">
          <reference field="2" count="1" selected="0">
            <x v="6"/>
          </reference>
          <reference field="3" count="1" selected="0">
            <x v="5"/>
          </reference>
          <reference field="4" count="1" selected="0">
            <x v="1"/>
          </reference>
          <reference field="5" count="1">
            <x v="6"/>
          </reference>
        </references>
      </pivotArea>
    </format>
    <format dxfId="223">
      <pivotArea dataOnly="0" labelOnly="1" fieldPosition="0">
        <references count="4">
          <reference field="2" count="1" selected="0">
            <x v="16"/>
          </reference>
          <reference field="3" count="1" selected="0">
            <x v="6"/>
          </reference>
          <reference field="4" count="1" selected="0">
            <x v="1"/>
          </reference>
          <reference field="5" count="10">
            <x v="6"/>
            <x v="22"/>
            <x v="24"/>
            <x v="25"/>
            <x v="28"/>
            <x v="29"/>
            <x v="33"/>
            <x v="42"/>
            <x v="46"/>
            <x v="48"/>
          </reference>
        </references>
      </pivotArea>
    </format>
    <format dxfId="222">
      <pivotArea dataOnly="0" labelOnly="1" grandCol="1" outline="0" fieldPosition="0"/>
    </format>
    <format dxfId="221">
      <pivotArea collapsedLevelsAreSubtotals="1" fieldPosition="0">
        <references count="4">
          <reference field="2" count="1" selected="0">
            <x v="3"/>
          </reference>
          <reference field="3" count="1" selected="0">
            <x v="2"/>
          </reference>
          <reference field="4" count="1" selected="0">
            <x v="0"/>
          </reference>
          <reference field="5" count="1">
            <x v="39"/>
          </reference>
        </references>
      </pivotArea>
    </format>
    <format dxfId="220">
      <pivotArea dataOnly="0" labelOnly="1" fieldPosition="0">
        <references count="4">
          <reference field="2" count="1" selected="0">
            <x v="3"/>
          </reference>
          <reference field="3" count="1" selected="0">
            <x v="2"/>
          </reference>
          <reference field="4" count="1" selected="0">
            <x v="0"/>
          </reference>
          <reference field="5" count="1">
            <x v="39"/>
          </reference>
        </references>
      </pivotArea>
    </format>
    <format dxfId="219">
      <pivotArea outline="0" collapsedLevelsAreSubtotals="1" fieldPosition="0"/>
    </format>
    <format dxfId="218">
      <pivotArea field="1" type="button" dataOnly="0" labelOnly="1" outline="0" axis="axisCol" fieldPosition="0"/>
    </format>
    <format dxfId="217">
      <pivotArea type="topRight" dataOnly="0" labelOnly="1" outline="0" fieldPosition="0"/>
    </format>
    <format dxfId="216">
      <pivotArea dataOnly="0" labelOnly="1" grandCol="1" outline="0" fieldPosition="0"/>
    </format>
    <format dxfId="215">
      <pivotArea collapsedLevelsAreSubtotals="1" fieldPosition="0">
        <references count="1">
          <reference field="4" count="1">
            <x v="1"/>
          </reference>
        </references>
      </pivotArea>
    </format>
    <format dxfId="214">
      <pivotArea dataOnly="0" labelOnly="1" fieldPosition="0">
        <references count="1">
          <reference field="4" count="1">
            <x v="1"/>
          </reference>
        </references>
      </pivotArea>
    </format>
    <format dxfId="213">
      <pivotArea collapsedLevelsAreSubtotals="1" fieldPosition="0">
        <references count="4">
          <reference field="2" count="1" selected="0">
            <x v="14"/>
          </reference>
          <reference field="3" count="1" selected="0">
            <x v="2"/>
          </reference>
          <reference field="4" count="1" selected="0">
            <x v="0"/>
          </reference>
          <reference field="5" count="2">
            <x v="37"/>
            <x v="50"/>
          </reference>
        </references>
      </pivotArea>
    </format>
    <format dxfId="212">
      <pivotArea collapsedLevelsAreSubtotals="1" fieldPosition="0">
        <references count="2">
          <reference field="3" count="1">
            <x v="7"/>
          </reference>
          <reference field="4" count="1" selected="0">
            <x v="0"/>
          </reference>
        </references>
      </pivotArea>
    </format>
    <format dxfId="211">
      <pivotArea collapsedLevelsAreSubtotals="1" fieldPosition="0">
        <references count="3">
          <reference field="2" count="1">
            <x v="13"/>
          </reference>
          <reference field="3" count="1" selected="0">
            <x v="7"/>
          </reference>
          <reference field="4" count="1" selected="0">
            <x v="0"/>
          </reference>
        </references>
      </pivotArea>
    </format>
    <format dxfId="210">
      <pivotArea collapsedLevelsAreSubtotals="1" fieldPosition="0">
        <references count="4">
          <reference field="2" count="1" selected="0">
            <x v="13"/>
          </reference>
          <reference field="3" count="1" selected="0">
            <x v="7"/>
          </reference>
          <reference field="4" count="1" selected="0">
            <x v="0"/>
          </reference>
          <reference field="5" count="4">
            <x v="2"/>
            <x v="4"/>
            <x v="32"/>
            <x v="34"/>
          </reference>
        </references>
      </pivotArea>
    </format>
    <format dxfId="209">
      <pivotArea dataOnly="0" labelOnly="1" fieldPosition="0">
        <references count="2">
          <reference field="3" count="1">
            <x v="7"/>
          </reference>
          <reference field="4" count="1" selected="0">
            <x v="0"/>
          </reference>
        </references>
      </pivotArea>
    </format>
    <format dxfId="208">
      <pivotArea dataOnly="0" labelOnly="1" fieldPosition="0">
        <references count="3">
          <reference field="2" count="1">
            <x v="13"/>
          </reference>
          <reference field="3" count="1" selected="0">
            <x v="7"/>
          </reference>
          <reference field="4" count="1" selected="0">
            <x v="0"/>
          </reference>
        </references>
      </pivotArea>
    </format>
    <format dxfId="207">
      <pivotArea dataOnly="0" labelOnly="1" fieldPosition="0">
        <references count="4">
          <reference field="2" count="1" selected="0">
            <x v="14"/>
          </reference>
          <reference field="3" count="1" selected="0">
            <x v="2"/>
          </reference>
          <reference field="4" count="1" selected="0">
            <x v="0"/>
          </reference>
          <reference field="5" count="2">
            <x v="37"/>
            <x v="50"/>
          </reference>
        </references>
      </pivotArea>
    </format>
    <format dxfId="206">
      <pivotArea dataOnly="0" labelOnly="1" fieldPosition="0">
        <references count="4">
          <reference field="2" count="1" selected="0">
            <x v="13"/>
          </reference>
          <reference field="3" count="1" selected="0">
            <x v="7"/>
          </reference>
          <reference field="4" count="1" selected="0">
            <x v="0"/>
          </reference>
          <reference field="5" count="4">
            <x v="2"/>
            <x v="4"/>
            <x v="32"/>
            <x v="34"/>
          </reference>
        </references>
      </pivotArea>
    </format>
    <format dxfId="205">
      <pivotArea dataOnly="0" labelOnly="1" fieldPosition="0">
        <references count="1">
          <reference field="1" count="0"/>
        </references>
      </pivotArea>
    </format>
    <format dxfId="204">
      <pivotArea collapsedLevelsAreSubtotals="1" fieldPosition="0">
        <references count="2">
          <reference field="3" count="1">
            <x v="3"/>
          </reference>
          <reference field="4" count="1" selected="0">
            <x v="1"/>
          </reference>
        </references>
      </pivotArea>
    </format>
    <format dxfId="203">
      <pivotArea collapsedLevelsAreSubtotals="1" fieldPosition="0">
        <references count="3">
          <reference field="2" count="1">
            <x v="10"/>
          </reference>
          <reference field="3" count="1" selected="0">
            <x v="3"/>
          </reference>
          <reference field="4" count="1" selected="0">
            <x v="1"/>
          </reference>
        </references>
      </pivotArea>
    </format>
    <format dxfId="202">
      <pivotArea collapsedLevelsAreSubtotals="1" fieldPosition="0">
        <references count="4">
          <reference field="2" count="1" selected="0">
            <x v="10"/>
          </reference>
          <reference field="3" count="1" selected="0">
            <x v="3"/>
          </reference>
          <reference field="4" count="1" selected="0">
            <x v="1"/>
          </reference>
          <reference field="5" count="1">
            <x v="6"/>
          </reference>
        </references>
      </pivotArea>
    </format>
    <format dxfId="201">
      <pivotArea collapsedLevelsAreSubtotals="1" fieldPosition="0">
        <references count="3">
          <reference field="2" count="1">
            <x v="18"/>
          </reference>
          <reference field="3" count="1" selected="0">
            <x v="3"/>
          </reference>
          <reference field="4" count="1" selected="0">
            <x v="1"/>
          </reference>
        </references>
      </pivotArea>
    </format>
    <format dxfId="200">
      <pivotArea collapsedLevelsAreSubtotals="1" fieldPosition="0">
        <references count="4">
          <reference field="2" count="1" selected="0">
            <x v="18"/>
          </reference>
          <reference field="3" count="1" selected="0">
            <x v="3"/>
          </reference>
          <reference field="4" count="1" selected="0">
            <x v="1"/>
          </reference>
          <reference field="5" count="1">
            <x v="6"/>
          </reference>
        </references>
      </pivotArea>
    </format>
    <format dxfId="199">
      <pivotArea dataOnly="0" labelOnly="1" fieldPosition="0">
        <references count="2">
          <reference field="3" count="1">
            <x v="3"/>
          </reference>
          <reference field="4" count="1" selected="0">
            <x v="1"/>
          </reference>
        </references>
      </pivotArea>
    </format>
    <format dxfId="198">
      <pivotArea dataOnly="0" labelOnly="1" fieldPosition="0">
        <references count="3">
          <reference field="2" count="2">
            <x v="10"/>
            <x v="18"/>
          </reference>
          <reference field="3" count="1" selected="0">
            <x v="3"/>
          </reference>
          <reference field="4" count="1" selected="0">
            <x v="1"/>
          </reference>
        </references>
      </pivotArea>
    </format>
    <format dxfId="197">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196">
      <pivotArea dataOnly="0" labelOnly="1" fieldPosition="0">
        <references count="4">
          <reference field="2" count="1" selected="0">
            <x v="18"/>
          </reference>
          <reference field="3" count="1" selected="0">
            <x v="3"/>
          </reference>
          <reference field="4" count="1" selected="0">
            <x v="1"/>
          </reference>
          <reference field="5" count="1">
            <x v="6"/>
          </reference>
        </references>
      </pivotArea>
    </format>
    <format dxfId="195">
      <pivotArea dataOnly="0" labelOnly="1" fieldPosition="0">
        <references count="1">
          <reference field="1" count="3">
            <x v="0"/>
            <x v="1"/>
            <x v="2"/>
          </reference>
        </references>
      </pivotArea>
    </format>
    <format dxfId="194">
      <pivotArea dataOnly="0" labelOnly="1" fieldPosition="0">
        <references count="4">
          <reference field="2" count="1" selected="0">
            <x v="13"/>
          </reference>
          <reference field="3" count="1" selected="0">
            <x v="2"/>
          </reference>
          <reference field="4" count="1" selected="0">
            <x v="0"/>
          </reference>
          <reference field="5" count="1">
            <x v="14"/>
          </reference>
        </references>
      </pivotArea>
    </format>
    <format dxfId="193">
      <pivotArea collapsedLevelsAreSubtotals="1" fieldPosition="0">
        <references count="4">
          <reference field="2" count="1" selected="0">
            <x v="10"/>
          </reference>
          <reference field="3" count="1" selected="0">
            <x v="3"/>
          </reference>
          <reference field="4" count="1" selected="0">
            <x v="1"/>
          </reference>
          <reference field="5" count="1">
            <x v="6"/>
          </reference>
        </references>
      </pivotArea>
    </format>
    <format dxfId="192">
      <pivotArea collapsedLevelsAreSubtotals="1" fieldPosition="0">
        <references count="4">
          <reference field="2" count="1" selected="0">
            <x v="18"/>
          </reference>
          <reference field="3" count="1" selected="0">
            <x v="3"/>
          </reference>
          <reference field="4" count="1" selected="0">
            <x v="1"/>
          </reference>
          <reference field="5" count="1">
            <x v="6"/>
          </reference>
        </references>
      </pivotArea>
    </format>
    <format dxfId="191">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190">
      <pivotArea dataOnly="0" labelOnly="1" fieldPosition="0">
        <references count="4">
          <reference field="2" count="1" selected="0">
            <x v="18"/>
          </reference>
          <reference field="3" count="1" selected="0">
            <x v="3"/>
          </reference>
          <reference field="4" count="1" selected="0">
            <x v="1"/>
          </reference>
          <reference field="5" count="1">
            <x v="6"/>
          </reference>
        </references>
      </pivotArea>
    </format>
    <format dxfId="189">
      <pivotArea collapsedLevelsAreSubtotals="1" fieldPosition="0">
        <references count="4">
          <reference field="2" count="1" selected="0">
            <x v="5"/>
          </reference>
          <reference field="3" count="1" selected="0">
            <x v="4"/>
          </reference>
          <reference field="4" count="1" selected="0">
            <x v="1"/>
          </reference>
          <reference field="5" count="1">
            <x v="158"/>
          </reference>
        </references>
      </pivotArea>
    </format>
    <format dxfId="188">
      <pivotArea dataOnly="0" labelOnly="1" fieldPosition="0">
        <references count="4">
          <reference field="2" count="1" selected="0">
            <x v="5"/>
          </reference>
          <reference field="3" count="1" selected="0">
            <x v="4"/>
          </reference>
          <reference field="4" count="1" selected="0">
            <x v="1"/>
          </reference>
          <reference field="5" count="1">
            <x v="158"/>
          </reference>
        </references>
      </pivotArea>
    </format>
    <format dxfId="187">
      <pivotArea dataOnly="0" labelOnly="1" fieldPosition="0">
        <references count="4">
          <reference field="2" count="1" selected="0">
            <x v="13"/>
          </reference>
          <reference field="3" count="1" selected="0">
            <x v="7"/>
          </reference>
          <reference field="4" count="1" selected="0">
            <x v="0"/>
          </reference>
          <reference field="5" count="2">
            <x v="249"/>
            <x v="250"/>
          </reference>
        </references>
      </pivotArea>
    </format>
    <format dxfId="186">
      <pivotArea collapsedLevelsAreSubtotals="1" fieldPosition="0">
        <references count="2">
          <reference field="3" count="1">
            <x v="3"/>
          </reference>
          <reference field="4" count="1" selected="0">
            <x v="1"/>
          </reference>
        </references>
      </pivotArea>
    </format>
    <format dxfId="185">
      <pivotArea collapsedLevelsAreSubtotals="1" fieldPosition="0">
        <references count="3">
          <reference field="2" count="1">
            <x v="10"/>
          </reference>
          <reference field="3" count="1" selected="0">
            <x v="3"/>
          </reference>
          <reference field="4" count="1" selected="0">
            <x v="1"/>
          </reference>
        </references>
      </pivotArea>
    </format>
    <format dxfId="184">
      <pivotArea collapsedLevelsAreSubtotals="1" fieldPosition="0">
        <references count="4">
          <reference field="2" count="1" selected="0">
            <x v="10"/>
          </reference>
          <reference field="3" count="1" selected="0">
            <x v="3"/>
          </reference>
          <reference field="4" count="1" selected="0">
            <x v="1"/>
          </reference>
          <reference field="5" count="1">
            <x v="185"/>
          </reference>
        </references>
      </pivotArea>
    </format>
    <format dxfId="183">
      <pivotArea collapsedLevelsAreSubtotals="1" fieldPosition="0">
        <references count="3">
          <reference field="2" count="1">
            <x v="18"/>
          </reference>
          <reference field="3" count="1" selected="0">
            <x v="3"/>
          </reference>
          <reference field="4" count="1" selected="0">
            <x v="1"/>
          </reference>
        </references>
      </pivotArea>
    </format>
    <format dxfId="182">
      <pivotArea collapsedLevelsAreSubtotals="1" fieldPosition="0">
        <references count="4">
          <reference field="2" count="1" selected="0">
            <x v="18"/>
          </reference>
          <reference field="3" count="1" selected="0">
            <x v="3"/>
          </reference>
          <reference field="4" count="1" selected="0">
            <x v="1"/>
          </reference>
          <reference field="5" count="1">
            <x v="185"/>
          </reference>
        </references>
      </pivotArea>
    </format>
    <format dxfId="181">
      <pivotArea dataOnly="0" labelOnly="1" fieldPosition="0">
        <references count="2">
          <reference field="3" count="1">
            <x v="3"/>
          </reference>
          <reference field="4" count="1" selected="0">
            <x v="1"/>
          </reference>
        </references>
      </pivotArea>
    </format>
    <format dxfId="180">
      <pivotArea dataOnly="0" labelOnly="1" fieldPosition="0">
        <references count="3">
          <reference field="2" count="2">
            <x v="10"/>
            <x v="18"/>
          </reference>
          <reference field="3" count="1" selected="0">
            <x v="3"/>
          </reference>
          <reference field="4" count="1" selected="0">
            <x v="1"/>
          </reference>
        </references>
      </pivotArea>
    </format>
    <format dxfId="179">
      <pivotArea dataOnly="0" labelOnly="1" fieldPosition="0">
        <references count="4">
          <reference field="2" count="1" selected="0">
            <x v="10"/>
          </reference>
          <reference field="3" count="1" selected="0">
            <x v="3"/>
          </reference>
          <reference field="4" count="1" selected="0">
            <x v="1"/>
          </reference>
          <reference field="5" count="1">
            <x v="185"/>
          </reference>
        </references>
      </pivotArea>
    </format>
    <format dxfId="178">
      <pivotArea dataOnly="0" labelOnly="1" fieldPosition="0">
        <references count="4">
          <reference field="2" count="1" selected="0">
            <x v="18"/>
          </reference>
          <reference field="3" count="1" selected="0">
            <x v="3"/>
          </reference>
          <reference field="4" count="1" selected="0">
            <x v="1"/>
          </reference>
          <reference field="5"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624A3D-ED08-4826-9DEA-F65FA66ECF14}" name="PivotTable1" cacheId="5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B4:V203" firstHeaderRow="1" firstDataRow="2" firstDataCol="3"/>
  <pivotFields count="11">
    <pivotField compact="0" outline="0" showAll="0"/>
    <pivotField axis="axisCol" compact="0" numFmtId="15" outline="0" showAll="0">
      <items count="19">
        <item x="0"/>
        <item x="1"/>
        <item x="2"/>
        <item x="3"/>
        <item x="4"/>
        <item x="5"/>
        <item x="6"/>
        <item x="7"/>
        <item x="8"/>
        <item x="9"/>
        <item x="10"/>
        <item x="11"/>
        <item x="12"/>
        <item x="13"/>
        <item x="14"/>
        <item x="15"/>
        <item x="16"/>
        <item x="17"/>
        <item t="default"/>
      </items>
    </pivotField>
    <pivotField axis="axisRow" compact="0" outline="0" showAll="0" sortType="descending" defaultSubtotal="0">
      <items count="63">
        <item x="47"/>
        <item x="37"/>
        <item x="56"/>
        <item x="19"/>
        <item x="12"/>
        <item x="2"/>
        <item x="51"/>
        <item x="42"/>
        <item x="25"/>
        <item x="22"/>
        <item x="17"/>
        <item x="57"/>
        <item x="34"/>
        <item x="31"/>
        <item x="33"/>
        <item x="32"/>
        <item x="27"/>
        <item x="8"/>
        <item x="28"/>
        <item x="3"/>
        <item x="26"/>
        <item x="36"/>
        <item x="48"/>
        <item x="9"/>
        <item x="38"/>
        <item x="1"/>
        <item x="0"/>
        <item x="21"/>
        <item x="5"/>
        <item x="13"/>
        <item x="24"/>
        <item x="53"/>
        <item x="14"/>
        <item x="7"/>
        <item x="29"/>
        <item x="30"/>
        <item x="20"/>
        <item x="41"/>
        <item x="43"/>
        <item x="35"/>
        <item x="23"/>
        <item x="6"/>
        <item x="11"/>
        <item x="15"/>
        <item x="4"/>
        <item x="18"/>
        <item x="10"/>
        <item x="39"/>
        <item x="40"/>
        <item x="16"/>
        <item x="44"/>
        <item x="45"/>
        <item x="46"/>
        <item x="50"/>
        <item x="52"/>
        <item x="55"/>
        <item x="54"/>
        <item x="49"/>
        <item x="58"/>
        <item x="59"/>
        <item x="60"/>
        <item x="61"/>
        <item x="62"/>
      </items>
      <autoSortScope>
        <pivotArea dataOnly="0" outline="0" fieldPosition="0">
          <references count="1">
            <reference field="4294967294" count="1" selected="0">
              <x v="0"/>
            </reference>
          </references>
        </pivotArea>
      </autoSortScope>
    </pivotField>
    <pivotField axis="axisRow" compact="0" outline="0" showAll="0">
      <items count="12">
        <item x="7"/>
        <item x="0"/>
        <item x="2"/>
        <item x="4"/>
        <item x="6"/>
        <item x="5"/>
        <item x="9"/>
        <item x="1"/>
        <item x="10"/>
        <item x="3"/>
        <item x="8"/>
        <item t="default"/>
      </items>
    </pivotField>
    <pivotField compact="0" outline="0" showAll="0"/>
    <pivotField axis="axisRow" compact="0" outline="0" showAll="0">
      <items count="137">
        <item x="47"/>
        <item x="39"/>
        <item x="21"/>
        <item x="17"/>
        <item x="19"/>
        <item x="27"/>
        <item x="52"/>
        <item x="100"/>
        <item x="74"/>
        <item x="23"/>
        <item x="4"/>
        <item x="36"/>
        <item x="33"/>
        <item x="35"/>
        <item x="34"/>
        <item x="29"/>
        <item x="11"/>
        <item x="30"/>
        <item x="89"/>
        <item x="9"/>
        <item x="12"/>
        <item x="51"/>
        <item x="38"/>
        <item x="7"/>
        <item x="67"/>
        <item x="48"/>
        <item x="40"/>
        <item x="0"/>
        <item x="22"/>
        <item x="20"/>
        <item x="26"/>
        <item x="31"/>
        <item x="32"/>
        <item x="6"/>
        <item x="63"/>
        <item x="37"/>
        <item x="2"/>
        <item x="58"/>
        <item x="10"/>
        <item x="16"/>
        <item x="28"/>
        <item x="56"/>
        <item x="3"/>
        <item x="5"/>
        <item x="80"/>
        <item x="45"/>
        <item x="42"/>
        <item x="57"/>
        <item x="43"/>
        <item x="8"/>
        <item x="14"/>
        <item x="24"/>
        <item x="41"/>
        <item x="54"/>
        <item x="46"/>
        <item x="15"/>
        <item x="77"/>
        <item x="62"/>
        <item x="83"/>
        <item x="119"/>
        <item x="123"/>
        <item x="81"/>
        <item x="1"/>
        <item x="13"/>
        <item x="18"/>
        <item x="25"/>
        <item x="44"/>
        <item x="49"/>
        <item x="50"/>
        <item x="53"/>
        <item x="55"/>
        <item x="59"/>
        <item x="60"/>
        <item x="61"/>
        <item x="64"/>
        <item x="65"/>
        <item x="66"/>
        <item x="68"/>
        <item x="69"/>
        <item x="71"/>
        <item x="72"/>
        <item x="73"/>
        <item x="76"/>
        <item x="78"/>
        <item x="79"/>
        <item x="82"/>
        <item x="84"/>
        <item x="91"/>
        <item x="70"/>
        <item x="85"/>
        <item x="86"/>
        <item x="87"/>
        <item x="88"/>
        <item x="90"/>
        <item x="92"/>
        <item x="93"/>
        <item x="94"/>
        <item x="95"/>
        <item x="96"/>
        <item x="101"/>
        <item x="97"/>
        <item x="98"/>
        <item x="99"/>
        <item x="104"/>
        <item x="109"/>
        <item x="110"/>
        <item x="111"/>
        <item x="112"/>
        <item x="113"/>
        <item x="114"/>
        <item x="115"/>
        <item x="116"/>
        <item x="117"/>
        <item x="118"/>
        <item x="120"/>
        <item x="121"/>
        <item x="107"/>
        <item x="75"/>
        <item x="102"/>
        <item x="103"/>
        <item x="105"/>
        <item x="106"/>
        <item x="108"/>
        <item x="122"/>
        <item x="124"/>
        <item x="125"/>
        <item x="126"/>
        <item x="127"/>
        <item x="128"/>
        <item x="129"/>
        <item x="130"/>
        <item x="131"/>
        <item x="132"/>
        <item x="133"/>
        <item x="134"/>
        <item x="135"/>
        <item t="default"/>
      </items>
    </pivotField>
    <pivotField compact="0" outline="0" showAll="0"/>
    <pivotField compact="0" outline="0" showAll="0"/>
    <pivotField dataField="1" compact="0" numFmtId="167" outline="0" showAll="0"/>
    <pivotField compact="0" outline="0"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0"/>
        <item x="367"/>
        <item t="default"/>
      </items>
    </pivotField>
    <pivotField compact="0" outline="0" showAll="0">
      <items count="15">
        <item sd="0" x="0"/>
        <item sd="0" x="4"/>
        <item sd="0" x="5"/>
        <item sd="0" x="6"/>
        <item sd="0" x="7"/>
        <item sd="0" x="8"/>
        <item sd="0" x="9"/>
        <item sd="0" x="10"/>
        <item sd="0" x="11"/>
        <item sd="0" x="12"/>
        <item sd="0" x="1"/>
        <item sd="0" x="2"/>
        <item sd="0" x="3"/>
        <item sd="0" x="13"/>
        <item t="default"/>
      </items>
    </pivotField>
  </pivotFields>
  <rowFields count="3">
    <field x="3"/>
    <field x="2"/>
    <field x="5"/>
  </rowFields>
  <rowItems count="198">
    <i>
      <x/>
      <x v="34"/>
      <x v="31"/>
    </i>
    <i r="1">
      <x v="35"/>
      <x v="32"/>
    </i>
    <i r="1">
      <x v="4"/>
      <x v="19"/>
    </i>
    <i r="1">
      <x v="8"/>
      <x v="5"/>
    </i>
    <i t="default">
      <x/>
    </i>
    <i>
      <x v="1"/>
      <x v="26"/>
      <x v="27"/>
    </i>
    <i r="1">
      <x v="54"/>
      <x v="85"/>
    </i>
    <i r="1">
      <x v="10"/>
      <x v="19"/>
    </i>
    <i r="2">
      <x v="39"/>
    </i>
    <i r="2">
      <x v="85"/>
    </i>
    <i r="2">
      <x v="99"/>
    </i>
    <i r="1">
      <x v="27"/>
      <x v="29"/>
    </i>
    <i r="1">
      <x v="25"/>
      <x v="27"/>
    </i>
    <i r="1">
      <x v="45"/>
      <x v="3"/>
    </i>
    <i r="1">
      <x v="55"/>
      <x v="99"/>
    </i>
    <i r="1">
      <x v="6"/>
      <x v="44"/>
    </i>
    <i t="default">
      <x v="1"/>
    </i>
    <i>
      <x v="2"/>
      <x v="29"/>
      <x v="2"/>
    </i>
    <i r="2">
      <x v="9"/>
    </i>
    <i r="2">
      <x v="16"/>
    </i>
    <i r="2">
      <x v="21"/>
    </i>
    <i r="2">
      <x v="28"/>
    </i>
    <i r="2">
      <x v="41"/>
    </i>
    <i r="2">
      <x v="50"/>
    </i>
    <i r="2">
      <x v="120"/>
    </i>
    <i r="2">
      <x v="132"/>
    </i>
    <i r="1">
      <x v="23"/>
      <x v="49"/>
    </i>
    <i r="2">
      <x v="81"/>
    </i>
    <i r="2">
      <x v="89"/>
    </i>
    <i r="2">
      <x v="128"/>
    </i>
    <i r="2">
      <x v="130"/>
    </i>
    <i r="1">
      <x v="40"/>
      <x v="18"/>
    </i>
    <i r="2">
      <x v="19"/>
    </i>
    <i r="2">
      <x v="24"/>
    </i>
    <i r="2">
      <x v="60"/>
    </i>
    <i r="2">
      <x v="65"/>
    </i>
    <i r="2">
      <x v="97"/>
    </i>
    <i r="2">
      <x v="131"/>
    </i>
    <i r="1">
      <x v="44"/>
      <x v="42"/>
    </i>
    <i r="1">
      <x v="9"/>
      <x v="51"/>
    </i>
    <i r="1">
      <x v="43"/>
      <x v="4"/>
    </i>
    <i r="2">
      <x v="19"/>
    </i>
    <i t="default">
      <x v="2"/>
    </i>
    <i>
      <x v="3"/>
      <x v="41"/>
      <x v="19"/>
    </i>
    <i r="2">
      <x v="43"/>
    </i>
    <i r="2">
      <x v="103"/>
    </i>
    <i r="2">
      <x v="133"/>
    </i>
    <i t="default">
      <x v="3"/>
    </i>
    <i>
      <x v="4"/>
      <x v="42"/>
      <x v="19"/>
    </i>
    <i r="2">
      <x v="20"/>
    </i>
    <i r="2">
      <x v="21"/>
    </i>
    <i r="2">
      <x v="37"/>
    </i>
    <i r="2">
      <x v="38"/>
    </i>
    <i r="2">
      <x v="45"/>
    </i>
    <i r="2">
      <x v="67"/>
    </i>
    <i r="2">
      <x v="69"/>
    </i>
    <i r="2">
      <x v="73"/>
    </i>
    <i r="2">
      <x v="88"/>
    </i>
    <i r="2">
      <x v="90"/>
    </i>
    <i r="2">
      <x v="93"/>
    </i>
    <i r="2">
      <x v="95"/>
    </i>
    <i r="2">
      <x v="101"/>
    </i>
    <i r="2">
      <x v="109"/>
    </i>
    <i r="2">
      <x v="126"/>
    </i>
    <i r="2">
      <x v="129"/>
    </i>
    <i r="1">
      <x v="49"/>
      <x v="55"/>
    </i>
    <i r="2">
      <x v="70"/>
    </i>
    <i r="2">
      <x v="87"/>
    </i>
    <i r="1">
      <x v="38"/>
      <x v="19"/>
    </i>
    <i r="2">
      <x v="134"/>
    </i>
    <i r="1">
      <x v="11"/>
      <x v="19"/>
    </i>
    <i t="default">
      <x v="4"/>
    </i>
    <i>
      <x v="5"/>
      <x v="17"/>
      <x v="23"/>
    </i>
    <i t="default">
      <x v="5"/>
    </i>
    <i>
      <x v="6"/>
      <x v="30"/>
      <x v="30"/>
    </i>
    <i r="1">
      <x v="1"/>
      <x v="1"/>
    </i>
    <i r="1">
      <x v="24"/>
      <x v="26"/>
    </i>
    <i r="1">
      <x v="21"/>
      <x v="22"/>
    </i>
    <i t="default">
      <x v="6"/>
    </i>
    <i>
      <x v="7"/>
      <x v="19"/>
      <x v="36"/>
    </i>
    <i r="1">
      <x v="5"/>
      <x v="6"/>
    </i>
    <i r="2">
      <x v="19"/>
    </i>
    <i r="2">
      <x v="62"/>
    </i>
    <i r="1">
      <x v="37"/>
      <x/>
    </i>
    <i r="2">
      <x v="78"/>
    </i>
    <i r="2">
      <x v="84"/>
    </i>
    <i r="1">
      <x v="53"/>
      <x v="76"/>
    </i>
    <i r="1">
      <x v="31"/>
      <x v="36"/>
    </i>
    <i t="default">
      <x v="7"/>
    </i>
    <i>
      <x v="8"/>
      <x v="39"/>
      <x v="35"/>
    </i>
    <i r="1">
      <x v="2"/>
      <x v="122"/>
    </i>
    <i t="default">
      <x v="8"/>
    </i>
    <i>
      <x v="9"/>
      <x v="13"/>
      <x v="12"/>
    </i>
    <i r="1">
      <x v="15"/>
      <x v="14"/>
    </i>
    <i r="1">
      <x v="18"/>
      <x v="17"/>
    </i>
    <i r="1">
      <x v="32"/>
      <x v="19"/>
    </i>
    <i r="2">
      <x v="20"/>
    </i>
    <i r="2">
      <x v="21"/>
    </i>
    <i r="2">
      <x v="56"/>
    </i>
    <i r="2">
      <x v="61"/>
    </i>
    <i r="2">
      <x v="63"/>
    </i>
    <i r="2">
      <x v="71"/>
    </i>
    <i r="2">
      <x v="98"/>
    </i>
    <i r="2">
      <x v="101"/>
    </i>
    <i r="2">
      <x v="106"/>
    </i>
    <i r="2">
      <x v="108"/>
    </i>
    <i r="2">
      <x v="110"/>
    </i>
    <i r="2">
      <x v="111"/>
    </i>
    <i r="2">
      <x v="112"/>
    </i>
    <i r="2">
      <x v="113"/>
    </i>
    <i r="2">
      <x v="114"/>
    </i>
    <i r="2">
      <x v="115"/>
    </i>
    <i r="2">
      <x v="119"/>
    </i>
    <i r="2">
      <x v="121"/>
    </i>
    <i r="2">
      <x v="135"/>
    </i>
    <i r="1">
      <x v="47"/>
      <x v="52"/>
    </i>
    <i r="1">
      <x v="33"/>
      <x v="7"/>
    </i>
    <i r="2">
      <x v="8"/>
    </i>
    <i r="2">
      <x v="19"/>
    </i>
    <i r="2">
      <x v="20"/>
    </i>
    <i r="2">
      <x v="21"/>
    </i>
    <i r="2">
      <x v="27"/>
    </i>
    <i r="2">
      <x v="33"/>
    </i>
    <i r="2">
      <x v="34"/>
    </i>
    <i r="2">
      <x v="37"/>
    </i>
    <i r="2">
      <x v="44"/>
    </i>
    <i r="2">
      <x v="46"/>
    </i>
    <i r="2">
      <x v="57"/>
    </i>
    <i r="2">
      <x v="58"/>
    </i>
    <i r="2">
      <x v="82"/>
    </i>
    <i r="2">
      <x v="86"/>
    </i>
    <i r="2">
      <x v="95"/>
    </i>
    <i r="2">
      <x v="96"/>
    </i>
    <i r="2">
      <x v="100"/>
    </i>
    <i r="2">
      <x v="101"/>
    </i>
    <i r="2">
      <x v="102"/>
    </i>
    <i r="2">
      <x v="118"/>
    </i>
    <i r="2">
      <x v="122"/>
    </i>
    <i r="2">
      <x v="125"/>
    </i>
    <i r="2">
      <x v="135"/>
    </i>
    <i r="1">
      <x v="20"/>
      <x v="40"/>
    </i>
    <i r="2">
      <x v="94"/>
    </i>
    <i r="2">
      <x v="116"/>
    </i>
    <i r="1">
      <x v="16"/>
      <x v="15"/>
    </i>
    <i r="2">
      <x v="19"/>
    </i>
    <i r="1">
      <x v="14"/>
      <x v="13"/>
    </i>
    <i r="1">
      <x v="57"/>
      <x v="117"/>
    </i>
    <i r="1">
      <x v="7"/>
      <x v="19"/>
    </i>
    <i r="2">
      <x v="53"/>
    </i>
    <i r="2">
      <x v="80"/>
    </i>
    <i r="2">
      <x v="104"/>
    </i>
    <i r="2">
      <x v="105"/>
    </i>
    <i r="2">
      <x v="107"/>
    </i>
    <i r="1">
      <x/>
      <x v="79"/>
    </i>
    <i r="2">
      <x v="83"/>
    </i>
    <i r="2">
      <x v="91"/>
    </i>
    <i r="2">
      <x v="92"/>
    </i>
    <i r="2">
      <x v="127"/>
    </i>
    <i r="1">
      <x v="58"/>
      <x v="123"/>
    </i>
    <i r="1">
      <x v="48"/>
      <x v="19"/>
    </i>
    <i r="2">
      <x v="54"/>
    </i>
    <i r="1">
      <x v="12"/>
      <x v="11"/>
    </i>
    <i r="1">
      <x v="28"/>
      <x v="10"/>
    </i>
    <i r="2">
      <x v="66"/>
    </i>
    <i r="1">
      <x v="60"/>
      <x v="19"/>
    </i>
    <i r="1">
      <x v="59"/>
      <x v="19"/>
    </i>
    <i r="1">
      <x v="56"/>
      <x v="19"/>
    </i>
    <i r="2">
      <x v="70"/>
    </i>
    <i r="1">
      <x v="50"/>
      <x v="75"/>
    </i>
    <i r="1">
      <x v="36"/>
      <x v="19"/>
    </i>
    <i r="2">
      <x v="47"/>
    </i>
    <i r="2">
      <x v="64"/>
    </i>
    <i r="1">
      <x v="61"/>
      <x v="19"/>
    </i>
    <i r="1">
      <x v="51"/>
      <x v="76"/>
    </i>
    <i r="1">
      <x v="46"/>
      <x v="19"/>
    </i>
    <i r="2">
      <x v="20"/>
    </i>
    <i r="2">
      <x v="21"/>
    </i>
    <i r="2">
      <x v="25"/>
    </i>
    <i r="2">
      <x v="48"/>
    </i>
    <i r="2">
      <x v="56"/>
    </i>
    <i r="2">
      <x v="59"/>
    </i>
    <i r="2">
      <x v="68"/>
    </i>
    <i r="2">
      <x v="72"/>
    </i>
    <i r="2">
      <x v="74"/>
    </i>
    <i r="2">
      <x v="77"/>
    </i>
    <i r="2">
      <x v="78"/>
    </i>
    <i r="2">
      <x v="101"/>
    </i>
    <i r="2">
      <x v="124"/>
    </i>
    <i t="default">
      <x v="9"/>
    </i>
    <i>
      <x v="10"/>
      <x v="52"/>
      <x v="70"/>
    </i>
    <i r="1">
      <x v="3"/>
      <x v="19"/>
    </i>
    <i r="2">
      <x v="20"/>
    </i>
    <i r="2">
      <x v="21"/>
    </i>
    <i r="2">
      <x v="70"/>
    </i>
    <i r="1">
      <x v="62"/>
      <x v="19"/>
    </i>
    <i r="1">
      <x v="22"/>
      <x v="19"/>
    </i>
    <i t="default">
      <x v="10"/>
    </i>
    <i t="grand">
      <x/>
    </i>
  </rowItems>
  <colFields count="1">
    <field x="1"/>
  </colFields>
  <colItems count="18">
    <i>
      <x/>
    </i>
    <i>
      <x v="1"/>
    </i>
    <i>
      <x v="2"/>
    </i>
    <i>
      <x v="3"/>
    </i>
    <i>
      <x v="4"/>
    </i>
    <i>
      <x v="5"/>
    </i>
    <i>
      <x v="6"/>
    </i>
    <i>
      <x v="7"/>
    </i>
    <i>
      <x v="8"/>
    </i>
    <i>
      <x v="9"/>
    </i>
    <i>
      <x v="10"/>
    </i>
    <i>
      <x v="11"/>
    </i>
    <i>
      <x v="12"/>
    </i>
    <i>
      <x v="13"/>
    </i>
    <i>
      <x v="14"/>
    </i>
    <i>
      <x v="15"/>
    </i>
    <i>
      <x v="16"/>
    </i>
    <i>
      <x v="17"/>
    </i>
  </colItems>
  <dataFields count="1">
    <dataField name="Sum of Amount" fld="8" baseField="0" baseItem="0"/>
  </dataFields>
  <formats count="151">
    <format dxfId="177">
      <pivotArea outline="0" collapsedLevelsAreSubtotals="1" fieldPosition="0"/>
    </format>
    <format dxfId="176">
      <pivotArea field="10" type="button" dataOnly="0" labelOnly="1" outline="0"/>
    </format>
    <format dxfId="175">
      <pivotArea field="9" type="button" dataOnly="0" labelOnly="1" outline="0"/>
    </format>
    <format dxfId="174">
      <pivotArea type="topRight" dataOnly="0" labelOnly="1" outline="0" fieldPosition="0"/>
    </format>
    <format dxfId="173">
      <pivotArea type="origin" dataOnly="0" labelOnly="1" outline="0" fieldPosition="0"/>
    </format>
    <format dxfId="172">
      <pivotArea field="3" type="button" dataOnly="0" labelOnly="1" outline="0" axis="axisRow" fieldPosition="0"/>
    </format>
    <format dxfId="171">
      <pivotArea dataOnly="0" labelOnly="1" outline="0" fieldPosition="0">
        <references count="1">
          <reference field="3" count="1">
            <x v="0"/>
          </reference>
        </references>
      </pivotArea>
    </format>
    <format dxfId="170">
      <pivotArea dataOnly="0" labelOnly="1" outline="0" fieldPosition="0">
        <references count="1">
          <reference field="3" count="1" defaultSubtotal="1">
            <x v="0"/>
          </reference>
        </references>
      </pivotArea>
    </format>
    <format dxfId="169">
      <pivotArea dataOnly="0" labelOnly="1" outline="0" fieldPosition="0">
        <references count="1">
          <reference field="3" count="1">
            <x v="1"/>
          </reference>
        </references>
      </pivotArea>
    </format>
    <format dxfId="168">
      <pivotArea dataOnly="0" labelOnly="1" outline="0" fieldPosition="0">
        <references count="1">
          <reference field="3" count="1" defaultSubtotal="1">
            <x v="1"/>
          </reference>
        </references>
      </pivotArea>
    </format>
    <format dxfId="167">
      <pivotArea dataOnly="0" labelOnly="1" outline="0" fieldPosition="0">
        <references count="1">
          <reference field="3" count="1">
            <x v="2"/>
          </reference>
        </references>
      </pivotArea>
    </format>
    <format dxfId="166">
      <pivotArea dataOnly="0" labelOnly="1" outline="0" fieldPosition="0">
        <references count="1">
          <reference field="3" count="1" defaultSubtotal="1">
            <x v="2"/>
          </reference>
        </references>
      </pivotArea>
    </format>
    <format dxfId="165">
      <pivotArea dataOnly="0" labelOnly="1" outline="0" fieldPosition="0">
        <references count="1">
          <reference field="3" count="1">
            <x v="3"/>
          </reference>
        </references>
      </pivotArea>
    </format>
    <format dxfId="164">
      <pivotArea dataOnly="0" labelOnly="1" outline="0" fieldPosition="0">
        <references count="1">
          <reference field="3" count="1" defaultSubtotal="1">
            <x v="3"/>
          </reference>
        </references>
      </pivotArea>
    </format>
    <format dxfId="163">
      <pivotArea dataOnly="0" labelOnly="1" outline="0" fieldPosition="0">
        <references count="1">
          <reference field="3" count="1">
            <x v="4"/>
          </reference>
        </references>
      </pivotArea>
    </format>
    <format dxfId="162">
      <pivotArea dataOnly="0" labelOnly="1" outline="0" fieldPosition="0">
        <references count="1">
          <reference field="3" count="1" defaultSubtotal="1">
            <x v="4"/>
          </reference>
        </references>
      </pivotArea>
    </format>
    <format dxfId="161">
      <pivotArea dataOnly="0" labelOnly="1" outline="0" fieldPosition="0">
        <references count="1">
          <reference field="3" count="1">
            <x v="5"/>
          </reference>
        </references>
      </pivotArea>
    </format>
    <format dxfId="160">
      <pivotArea dataOnly="0" labelOnly="1" outline="0" fieldPosition="0">
        <references count="1">
          <reference field="3" count="1" defaultSubtotal="1">
            <x v="5"/>
          </reference>
        </references>
      </pivotArea>
    </format>
    <format dxfId="159">
      <pivotArea dataOnly="0" labelOnly="1" outline="0" fieldPosition="0">
        <references count="1">
          <reference field="3" count="1">
            <x v="6"/>
          </reference>
        </references>
      </pivotArea>
    </format>
    <format dxfId="158">
      <pivotArea dataOnly="0" labelOnly="1" outline="0" fieldPosition="0">
        <references count="1">
          <reference field="3" count="1" defaultSubtotal="1">
            <x v="6"/>
          </reference>
        </references>
      </pivotArea>
    </format>
    <format dxfId="157">
      <pivotArea dataOnly="0" labelOnly="1" outline="0" fieldPosition="0">
        <references count="1">
          <reference field="3" count="1">
            <x v="7"/>
          </reference>
        </references>
      </pivotArea>
    </format>
    <format dxfId="156">
      <pivotArea dataOnly="0" labelOnly="1" outline="0" fieldPosition="0">
        <references count="1">
          <reference field="3" count="1" defaultSubtotal="1">
            <x v="7"/>
          </reference>
        </references>
      </pivotArea>
    </format>
    <format dxfId="155">
      <pivotArea dataOnly="0" labelOnly="1" outline="0" fieldPosition="0">
        <references count="1">
          <reference field="3" count="1">
            <x v="8"/>
          </reference>
        </references>
      </pivotArea>
    </format>
    <format dxfId="154">
      <pivotArea dataOnly="0" labelOnly="1" outline="0" fieldPosition="0">
        <references count="1">
          <reference field="3" count="1" defaultSubtotal="1">
            <x v="8"/>
          </reference>
        </references>
      </pivotArea>
    </format>
    <format dxfId="153">
      <pivotArea dataOnly="0" labelOnly="1" outline="0" fieldPosition="0">
        <references count="1">
          <reference field="3" count="1">
            <x v="9"/>
          </reference>
        </references>
      </pivotArea>
    </format>
    <format dxfId="152">
      <pivotArea dataOnly="0" labelOnly="1" outline="0" fieldPosition="0">
        <references count="1">
          <reference field="3" count="1" defaultSubtotal="1">
            <x v="9"/>
          </reference>
        </references>
      </pivotArea>
    </format>
    <format dxfId="151">
      <pivotArea dataOnly="0" labelOnly="1" outline="0" fieldPosition="0">
        <references count="1">
          <reference field="3" count="1">
            <x v="10"/>
          </reference>
        </references>
      </pivotArea>
    </format>
    <format dxfId="150">
      <pivotArea dataOnly="0" labelOnly="1" outline="0" fieldPosition="0">
        <references count="1">
          <reference field="3" count="1" defaultSubtotal="1">
            <x v="10"/>
          </reference>
        </references>
      </pivotArea>
    </format>
    <format dxfId="149">
      <pivotArea dataOnly="0" labelOnly="1" grandRow="1" outline="0" fieldPosition="0"/>
    </format>
    <format dxfId="148">
      <pivotArea outline="0" fieldPosition="0">
        <references count="1">
          <reference field="3" count="1" selected="0" defaultSubtotal="1">
            <x v="0"/>
          </reference>
        </references>
      </pivotArea>
    </format>
    <format dxfId="147">
      <pivotArea dataOnly="0" labelOnly="1" outline="0" fieldPosition="0">
        <references count="1">
          <reference field="3" count="1">
            <x v="0"/>
          </reference>
        </references>
      </pivotArea>
    </format>
    <format dxfId="146">
      <pivotArea dataOnly="0" labelOnly="1" outline="0" fieldPosition="0">
        <references count="1">
          <reference field="3" count="1" defaultSubtotal="1">
            <x v="0"/>
          </reference>
        </references>
      </pivotArea>
    </format>
    <format dxfId="145">
      <pivotArea outline="0" fieldPosition="0">
        <references count="1">
          <reference field="3" count="1" selected="0" defaultSubtotal="1">
            <x v="2"/>
          </reference>
        </references>
      </pivotArea>
    </format>
    <format dxfId="144">
      <pivotArea dataOnly="0" labelOnly="1" outline="0" fieldPosition="0">
        <references count="1">
          <reference field="3" count="1">
            <x v="2"/>
          </reference>
        </references>
      </pivotArea>
    </format>
    <format dxfId="143">
      <pivotArea dataOnly="0" labelOnly="1" outline="0" fieldPosition="0">
        <references count="1">
          <reference field="3" count="1" defaultSubtotal="1">
            <x v="2"/>
          </reference>
        </references>
      </pivotArea>
    </format>
    <format dxfId="142">
      <pivotArea dataOnly="0" labelOnly="1" outline="0" fieldPosition="0">
        <references count="3">
          <reference field="2" count="1" selected="0">
            <x v="29"/>
          </reference>
          <reference field="3" count="1" selected="0">
            <x v="2"/>
          </reference>
          <reference field="5" count="7">
            <x v="2"/>
            <x v="9"/>
            <x v="16"/>
            <x v="20"/>
            <x v="28"/>
            <x v="41"/>
            <x v="50"/>
          </reference>
        </references>
      </pivotArea>
    </format>
    <format dxfId="141">
      <pivotArea type="topRight" dataOnly="0" labelOnly="1" outline="0" offset="B1" fieldPosition="0"/>
    </format>
    <format dxfId="140">
      <pivotArea outline="0" fieldPosition="0">
        <references count="3">
          <reference field="2" count="1" selected="0">
            <x v="30"/>
          </reference>
          <reference field="3" count="1" selected="0">
            <x v="6"/>
          </reference>
          <reference field="5" count="1" selected="0">
            <x v="30"/>
          </reference>
        </references>
      </pivotArea>
    </format>
    <format dxfId="139">
      <pivotArea dataOnly="0" labelOnly="1" outline="0" fieldPosition="0">
        <references count="2">
          <reference field="2" count="1">
            <x v="30"/>
          </reference>
          <reference field="3" count="1" selected="0">
            <x v="6"/>
          </reference>
        </references>
      </pivotArea>
    </format>
    <format dxfId="138">
      <pivotArea dataOnly="0" labelOnly="1" outline="0" fieldPosition="0">
        <references count="3">
          <reference field="2" count="1" selected="0">
            <x v="30"/>
          </reference>
          <reference field="3" count="1" selected="0">
            <x v="6"/>
          </reference>
          <reference field="5" count="1">
            <x v="30"/>
          </reference>
        </references>
      </pivotArea>
    </format>
    <format dxfId="137">
      <pivotArea outline="0" fieldPosition="0">
        <references count="3">
          <reference field="2" count="1" selected="0">
            <x v="30"/>
          </reference>
          <reference field="3" count="1" selected="0">
            <x v="6"/>
          </reference>
          <reference field="5" count="1" selected="0">
            <x v="30"/>
          </reference>
        </references>
      </pivotArea>
    </format>
    <format dxfId="136">
      <pivotArea dataOnly="0" labelOnly="1" outline="0" offset="IV5" fieldPosition="0">
        <references count="1">
          <reference field="3" count="1">
            <x v="4"/>
          </reference>
        </references>
      </pivotArea>
    </format>
    <format dxfId="135">
      <pivotArea outline="0" fieldPosition="0">
        <references count="3">
          <reference field="2" count="1" selected="0">
            <x v="42"/>
          </reference>
          <reference field="3" count="1" selected="0">
            <x v="4"/>
          </reference>
          <reference field="5" count="2" selected="0">
            <x v="20"/>
            <x v="21"/>
          </reference>
        </references>
      </pivotArea>
    </format>
    <format dxfId="134">
      <pivotArea dataOnly="0" labelOnly="1" outline="0" offset="IV6:IV7" fieldPosition="0">
        <references count="1">
          <reference field="3" count="1">
            <x v="4"/>
          </reference>
        </references>
      </pivotArea>
    </format>
    <format dxfId="133">
      <pivotArea outline="0" fieldPosition="0">
        <references count="1">
          <reference field="3" count="1" selected="0" defaultSubtotal="1">
            <x v="5"/>
          </reference>
        </references>
      </pivotArea>
    </format>
    <format dxfId="132">
      <pivotArea dataOnly="0" labelOnly="1" outline="0" fieldPosition="0">
        <references count="1">
          <reference field="3" count="1" defaultSubtotal="1">
            <x v="5"/>
          </reference>
        </references>
      </pivotArea>
    </format>
    <format dxfId="131">
      <pivotArea outline="0" fieldPosition="0">
        <references count="3">
          <reference field="2" count="1" selected="0">
            <x v="30"/>
          </reference>
          <reference field="3" count="1" selected="0">
            <x v="6"/>
          </reference>
          <reference field="5" count="1" selected="0">
            <x v="30"/>
          </reference>
        </references>
      </pivotArea>
    </format>
    <format dxfId="130">
      <pivotArea field="5" grandCol="1" outline="0" axis="axisRow" fieldPosition="2">
        <references count="3">
          <reference field="2" count="1" selected="0">
            <x v="46"/>
          </reference>
          <reference field="3" count="1" selected="0">
            <x v="9"/>
          </reference>
          <reference field="5" count="5" selected="0">
            <x v="19"/>
            <x v="20"/>
            <x v="21"/>
            <x v="25"/>
            <x v="48"/>
          </reference>
        </references>
      </pivotArea>
    </format>
    <format dxfId="129">
      <pivotArea outline="0" fieldPosition="0">
        <references count="3">
          <reference field="2" count="1" selected="0">
            <x v="3"/>
          </reference>
          <reference field="3" count="1" selected="0">
            <x v="10"/>
          </reference>
          <reference field="5" count="1" selected="0">
            <x v="21"/>
          </reference>
        </references>
      </pivotArea>
    </format>
    <format dxfId="128">
      <pivotArea dataOnly="0" labelOnly="1" outline="0" offset="IV4" fieldPosition="0">
        <references count="1">
          <reference field="3" count="1">
            <x v="10"/>
          </reference>
        </references>
      </pivotArea>
    </format>
    <format dxfId="127">
      <pivotArea outline="0" fieldPosition="0">
        <references count="3">
          <reference field="2" count="1" selected="0">
            <x v="30"/>
          </reference>
          <reference field="3" count="1" selected="0">
            <x v="6"/>
          </reference>
          <reference field="5" count="1" selected="0">
            <x v="30"/>
          </reference>
        </references>
      </pivotArea>
    </format>
    <format dxfId="126">
      <pivotArea dataOnly="0" labelOnly="1" outline="0" fieldPosition="0">
        <references count="2">
          <reference field="2" count="1">
            <x v="30"/>
          </reference>
          <reference field="3" count="1" selected="0">
            <x v="6"/>
          </reference>
        </references>
      </pivotArea>
    </format>
    <format dxfId="125">
      <pivotArea dataOnly="0" labelOnly="1" outline="0" fieldPosition="0">
        <references count="3">
          <reference field="2" count="1" selected="0">
            <x v="30"/>
          </reference>
          <reference field="3" count="1" selected="0">
            <x v="6"/>
          </reference>
          <reference field="5" count="1">
            <x v="30"/>
          </reference>
        </references>
      </pivotArea>
    </format>
    <format dxfId="124">
      <pivotArea outline="0" fieldPosition="0">
        <references count="3">
          <reference field="2" count="1" selected="0">
            <x v="30"/>
          </reference>
          <reference field="3" count="1" selected="0">
            <x v="6"/>
          </reference>
          <reference field="5" count="1" selected="0">
            <x v="30"/>
          </reference>
        </references>
      </pivotArea>
    </format>
    <format dxfId="123">
      <pivotArea grandCol="1" outline="0" collapsedLevelsAreSubtotals="1" fieldPosition="0"/>
    </format>
    <format dxfId="122">
      <pivotArea field="1" type="button" dataOnly="0" labelOnly="1" outline="0" axis="axisCol" fieldPosition="0"/>
    </format>
    <format dxfId="121">
      <pivotArea type="topRight" dataOnly="0" labelOnly="1" outline="0" fieldPosition="0"/>
    </format>
    <format dxfId="120">
      <pivotArea dataOnly="0" labelOnly="1" grandCol="1" outline="0" fieldPosition="0"/>
    </format>
    <format dxfId="119">
      <pivotArea outline="0" fieldPosition="0">
        <references count="3">
          <reference field="2" count="1" selected="0">
            <x v="26"/>
          </reference>
          <reference field="3" count="1" selected="0">
            <x v="1"/>
          </reference>
          <reference field="5" count="1" selected="0">
            <x v="27"/>
          </reference>
        </references>
      </pivotArea>
    </format>
    <format dxfId="118">
      <pivotArea outline="0" fieldPosition="0">
        <references count="3">
          <reference field="2" count="1" selected="0">
            <x v="8"/>
          </reference>
          <reference field="3" count="1" selected="0">
            <x v="0"/>
          </reference>
          <reference field="5" count="1" selected="0">
            <x v="5"/>
          </reference>
        </references>
      </pivotArea>
    </format>
    <format dxfId="117">
      <pivotArea outline="0" fieldPosition="0">
        <references count="3">
          <reference field="2" count="1" selected="0">
            <x v="29"/>
          </reference>
          <reference field="3" count="1" selected="0">
            <x v="2"/>
          </reference>
          <reference field="5" count="5" selected="0">
            <x v="2"/>
            <x v="9"/>
            <x v="16"/>
            <x v="20"/>
            <x v="28"/>
          </reference>
        </references>
      </pivotArea>
    </format>
    <format dxfId="116">
      <pivotArea dataOnly="0" labelOnly="1" outline="0" fieldPosition="0">
        <references count="3">
          <reference field="2" count="1" selected="0">
            <x v="29"/>
          </reference>
          <reference field="3" count="1" selected="0">
            <x v="2"/>
          </reference>
          <reference field="5" count="5">
            <x v="2"/>
            <x v="9"/>
            <x v="16"/>
            <x v="20"/>
            <x v="28"/>
          </reference>
        </references>
      </pivotArea>
    </format>
    <format dxfId="115">
      <pivotArea outline="0" fieldPosition="0">
        <references count="3">
          <reference field="2" count="1" selected="0">
            <x v="37"/>
          </reference>
          <reference field="3" count="1" selected="0">
            <x v="7"/>
          </reference>
          <reference field="5" count="1" selected="0">
            <x v="0"/>
          </reference>
        </references>
      </pivotArea>
    </format>
    <format dxfId="114">
      <pivotArea outline="0" fieldPosition="0">
        <references count="3">
          <reference field="2" count="4" selected="0">
            <x v="7"/>
            <x v="19"/>
            <x v="20"/>
            <x v="33"/>
          </reference>
          <reference field="3" count="1" selected="0">
            <x v="9"/>
          </reference>
          <reference field="5" count="12" selected="0">
            <x v="7"/>
            <x v="8"/>
            <x v="19"/>
            <x v="20"/>
            <x v="33"/>
            <x v="34"/>
            <x v="36"/>
            <x v="40"/>
            <x v="46"/>
            <x v="53"/>
            <x v="57"/>
            <x v="58"/>
          </reference>
        </references>
      </pivotArea>
    </format>
    <format dxfId="113">
      <pivotArea outline="0" fieldPosition="0">
        <references count="3">
          <reference field="2" count="1" selected="0">
            <x v="28"/>
          </reference>
          <reference field="3" count="1" selected="0">
            <x v="9"/>
          </reference>
          <reference field="5" count="1" selected="0">
            <x v="10"/>
          </reference>
        </references>
      </pivotArea>
    </format>
    <format dxfId="112">
      <pivotArea outline="0" collapsedLevelsAreSubtotals="1" fieldPosition="0"/>
    </format>
    <format dxfId="111">
      <pivotArea dataOnly="0" labelOnly="1" outline="0" fieldPosition="0">
        <references count="1">
          <reference field="3" count="0"/>
        </references>
      </pivotArea>
    </format>
    <format dxfId="110">
      <pivotArea dataOnly="0" labelOnly="1" outline="0" fieldPosition="0">
        <references count="1">
          <reference field="3" count="0" defaultSubtotal="1"/>
        </references>
      </pivotArea>
    </format>
    <format dxfId="109">
      <pivotArea dataOnly="0" labelOnly="1" grandRow="1" outline="0" fieldPosition="0"/>
    </format>
    <format dxfId="108">
      <pivotArea dataOnly="0" labelOnly="1" outline="0" fieldPosition="0">
        <references count="2">
          <reference field="2" count="10">
            <x v="4"/>
            <x v="8"/>
            <x v="12"/>
            <x v="13"/>
            <x v="14"/>
            <x v="15"/>
            <x v="16"/>
            <x v="34"/>
            <x v="35"/>
            <x v="47"/>
          </reference>
          <reference field="3" count="1" selected="0">
            <x v="0"/>
          </reference>
        </references>
      </pivotArea>
    </format>
    <format dxfId="107">
      <pivotArea dataOnly="0" labelOnly="1" outline="0" fieldPosition="0">
        <references count="2">
          <reference field="2" count="8">
            <x v="6"/>
            <x v="10"/>
            <x v="25"/>
            <x v="26"/>
            <x v="27"/>
            <x v="45"/>
            <x v="54"/>
            <x v="55"/>
          </reference>
          <reference field="3" count="1" selected="0">
            <x v="1"/>
          </reference>
        </references>
      </pivotArea>
    </format>
    <format dxfId="106">
      <pivotArea dataOnly="0" labelOnly="1" outline="0" fieldPosition="0">
        <references count="2">
          <reference field="2" count="6">
            <x v="9"/>
            <x v="23"/>
            <x v="29"/>
            <x v="40"/>
            <x v="43"/>
            <x v="44"/>
          </reference>
          <reference field="3" count="1" selected="0">
            <x v="2"/>
          </reference>
        </references>
      </pivotArea>
    </format>
    <format dxfId="105">
      <pivotArea dataOnly="0" labelOnly="1" outline="0" fieldPosition="0">
        <references count="2">
          <reference field="2" count="1">
            <x v="41"/>
          </reference>
          <reference field="3" count="1" selected="0">
            <x v="3"/>
          </reference>
        </references>
      </pivotArea>
    </format>
    <format dxfId="104">
      <pivotArea dataOnly="0" labelOnly="1" outline="0" fieldPosition="0">
        <references count="2">
          <reference field="2" count="6">
            <x v="11"/>
            <x v="18"/>
            <x v="32"/>
            <x v="38"/>
            <x v="42"/>
            <x v="49"/>
          </reference>
          <reference field="3" count="1" selected="0">
            <x v="4"/>
          </reference>
        </references>
      </pivotArea>
    </format>
    <format dxfId="103">
      <pivotArea dataOnly="0" labelOnly="1" outline="0" fieldPosition="0">
        <references count="2">
          <reference field="2" count="1">
            <x v="17"/>
          </reference>
          <reference field="3" count="1" selected="0">
            <x v="5"/>
          </reference>
        </references>
      </pivotArea>
    </format>
    <format dxfId="102">
      <pivotArea dataOnly="0" labelOnly="1" outline="0" fieldPosition="0">
        <references count="2">
          <reference field="2" count="4">
            <x v="1"/>
            <x v="21"/>
            <x v="24"/>
            <x v="30"/>
          </reference>
          <reference field="3" count="1" selected="0">
            <x v="6"/>
          </reference>
        </references>
      </pivotArea>
    </format>
    <format dxfId="101">
      <pivotArea dataOnly="0" labelOnly="1" outline="0" fieldPosition="0">
        <references count="2">
          <reference field="2" count="3">
            <x v="5"/>
            <x v="31"/>
            <x v="37"/>
          </reference>
          <reference field="3" count="1" selected="0">
            <x v="7"/>
          </reference>
        </references>
      </pivotArea>
    </format>
    <format dxfId="100">
      <pivotArea dataOnly="0" labelOnly="1" outline="0" fieldPosition="0">
        <references count="2">
          <reference field="2" count="2">
            <x v="2"/>
            <x v="39"/>
          </reference>
          <reference field="3" count="1" selected="0">
            <x v="8"/>
          </reference>
        </references>
      </pivotArea>
    </format>
    <format dxfId="99">
      <pivotArea dataOnly="0" labelOnly="1" outline="0" fieldPosition="0">
        <references count="2">
          <reference field="2" count="19">
            <x v="0"/>
            <x v="7"/>
            <x v="19"/>
            <x v="20"/>
            <x v="28"/>
            <x v="33"/>
            <x v="36"/>
            <x v="46"/>
            <x v="48"/>
            <x v="50"/>
            <x v="51"/>
            <x v="52"/>
            <x v="53"/>
            <x v="56"/>
            <x v="57"/>
            <x v="58"/>
            <x v="59"/>
            <x v="60"/>
            <x v="61"/>
          </reference>
          <reference field="3" count="1" selected="0">
            <x v="9"/>
          </reference>
        </references>
      </pivotArea>
    </format>
    <format dxfId="98">
      <pivotArea dataOnly="0" labelOnly="1" outline="0" fieldPosition="0">
        <references count="2">
          <reference field="2" count="2">
            <x v="3"/>
            <x v="22"/>
          </reference>
          <reference field="3" count="1" selected="0">
            <x v="10"/>
          </reference>
        </references>
      </pivotArea>
    </format>
    <format dxfId="97">
      <pivotArea dataOnly="0" labelOnly="1" outline="0" fieldPosition="0">
        <references count="3">
          <reference field="2" count="1" selected="0">
            <x v="34"/>
          </reference>
          <reference field="3" count="1" selected="0">
            <x v="0"/>
          </reference>
          <reference field="5" count="1">
            <x v="31"/>
          </reference>
        </references>
      </pivotArea>
    </format>
    <format dxfId="96">
      <pivotArea dataOnly="0" labelOnly="1" outline="0" fieldPosition="0">
        <references count="3">
          <reference field="2" count="1" selected="0">
            <x v="35"/>
          </reference>
          <reference field="3" count="1" selected="0">
            <x v="0"/>
          </reference>
          <reference field="5" count="1">
            <x v="32"/>
          </reference>
        </references>
      </pivotArea>
    </format>
    <format dxfId="95">
      <pivotArea dataOnly="0" labelOnly="1" outline="0" fieldPosition="0">
        <references count="3">
          <reference field="2" count="1" selected="0">
            <x v="13"/>
          </reference>
          <reference field="3" count="1" selected="0">
            <x v="0"/>
          </reference>
          <reference field="5" count="1">
            <x v="12"/>
          </reference>
        </references>
      </pivotArea>
    </format>
    <format dxfId="94">
      <pivotArea dataOnly="0" labelOnly="1" outline="0" fieldPosition="0">
        <references count="3">
          <reference field="2" count="1" selected="0">
            <x v="15"/>
          </reference>
          <reference field="3" count="1" selected="0">
            <x v="0"/>
          </reference>
          <reference field="5" count="1">
            <x v="14"/>
          </reference>
        </references>
      </pivotArea>
    </format>
    <format dxfId="93">
      <pivotArea dataOnly="0" labelOnly="1" outline="0" fieldPosition="0">
        <references count="3">
          <reference field="2" count="1" selected="0">
            <x v="47"/>
          </reference>
          <reference field="3" count="1" selected="0">
            <x v="0"/>
          </reference>
          <reference field="5" count="1">
            <x v="52"/>
          </reference>
        </references>
      </pivotArea>
    </format>
    <format dxfId="92">
      <pivotArea dataOnly="0" labelOnly="1" outline="0" fieldPosition="0">
        <references count="3">
          <reference field="2" count="1" selected="0">
            <x v="4"/>
          </reference>
          <reference field="3" count="1" selected="0">
            <x v="0"/>
          </reference>
          <reference field="5" count="1">
            <x v="19"/>
          </reference>
        </references>
      </pivotArea>
    </format>
    <format dxfId="91">
      <pivotArea dataOnly="0" labelOnly="1" outline="0" fieldPosition="0">
        <references count="3">
          <reference field="2" count="1" selected="0">
            <x v="16"/>
          </reference>
          <reference field="3" count="1" selected="0">
            <x v="0"/>
          </reference>
          <reference field="5" count="2">
            <x v="15"/>
            <x v="19"/>
          </reference>
        </references>
      </pivotArea>
    </format>
    <format dxfId="90">
      <pivotArea dataOnly="0" labelOnly="1" outline="0" fieldPosition="0">
        <references count="3">
          <reference field="2" count="1" selected="0">
            <x v="14"/>
          </reference>
          <reference field="3" count="1" selected="0">
            <x v="0"/>
          </reference>
          <reference field="5" count="1">
            <x v="13"/>
          </reference>
        </references>
      </pivotArea>
    </format>
    <format dxfId="89">
      <pivotArea dataOnly="0" labelOnly="1" outline="0" fieldPosition="0">
        <references count="3">
          <reference field="2" count="1" selected="0">
            <x v="8"/>
          </reference>
          <reference field="3" count="1" selected="0">
            <x v="0"/>
          </reference>
          <reference field="5" count="1">
            <x v="5"/>
          </reference>
        </references>
      </pivotArea>
    </format>
    <format dxfId="88">
      <pivotArea dataOnly="0" labelOnly="1" outline="0" fieldPosition="0">
        <references count="3">
          <reference field="2" count="1" selected="0">
            <x v="12"/>
          </reference>
          <reference field="3" count="1" selected="0">
            <x v="0"/>
          </reference>
          <reference field="5" count="1">
            <x v="11"/>
          </reference>
        </references>
      </pivotArea>
    </format>
    <format dxfId="87">
      <pivotArea dataOnly="0" labelOnly="1" outline="0" fieldPosition="0">
        <references count="3">
          <reference field="2" count="1" selected="0">
            <x v="26"/>
          </reference>
          <reference field="3" count="1" selected="0">
            <x v="1"/>
          </reference>
          <reference field="5" count="1">
            <x v="27"/>
          </reference>
        </references>
      </pivotArea>
    </format>
    <format dxfId="86">
      <pivotArea dataOnly="0" labelOnly="1" outline="0" fieldPosition="0">
        <references count="3">
          <reference field="2" count="1" selected="0">
            <x v="54"/>
          </reference>
          <reference field="3" count="1" selected="0">
            <x v="1"/>
          </reference>
          <reference field="5" count="1">
            <x v="85"/>
          </reference>
        </references>
      </pivotArea>
    </format>
    <format dxfId="85">
      <pivotArea dataOnly="0" labelOnly="1" outline="0" fieldPosition="0">
        <references count="3">
          <reference field="2" count="1" selected="0">
            <x v="10"/>
          </reference>
          <reference field="3" count="1" selected="0">
            <x v="1"/>
          </reference>
          <reference field="5" count="4">
            <x v="19"/>
            <x v="39"/>
            <x v="85"/>
            <x v="99"/>
          </reference>
        </references>
      </pivotArea>
    </format>
    <format dxfId="84">
      <pivotArea dataOnly="0" labelOnly="1" outline="0" fieldPosition="0">
        <references count="3">
          <reference field="2" count="1" selected="0">
            <x v="27"/>
          </reference>
          <reference field="3" count="1" selected="0">
            <x v="1"/>
          </reference>
          <reference field="5" count="1">
            <x v="29"/>
          </reference>
        </references>
      </pivotArea>
    </format>
    <format dxfId="83">
      <pivotArea dataOnly="0" labelOnly="1" outline="0" fieldPosition="0">
        <references count="3">
          <reference field="2" count="1" selected="0">
            <x v="25"/>
          </reference>
          <reference field="3" count="1" selected="0">
            <x v="1"/>
          </reference>
          <reference field="5" count="1">
            <x v="27"/>
          </reference>
        </references>
      </pivotArea>
    </format>
    <format dxfId="82">
      <pivotArea dataOnly="0" labelOnly="1" outline="0" fieldPosition="0">
        <references count="3">
          <reference field="2" count="1" selected="0">
            <x v="45"/>
          </reference>
          <reference field="3" count="1" selected="0">
            <x v="1"/>
          </reference>
          <reference field="5" count="1">
            <x v="3"/>
          </reference>
        </references>
      </pivotArea>
    </format>
    <format dxfId="81">
      <pivotArea dataOnly="0" labelOnly="1" outline="0" fieldPosition="0">
        <references count="3">
          <reference field="2" count="1" selected="0">
            <x v="55"/>
          </reference>
          <reference field="3" count="1" selected="0">
            <x v="1"/>
          </reference>
          <reference field="5" count="1">
            <x v="99"/>
          </reference>
        </references>
      </pivotArea>
    </format>
    <format dxfId="80">
      <pivotArea dataOnly="0" labelOnly="1" outline="0" fieldPosition="0">
        <references count="3">
          <reference field="2" count="1" selected="0">
            <x v="6"/>
          </reference>
          <reference field="3" count="1" selected="0">
            <x v="1"/>
          </reference>
          <reference field="5" count="1">
            <x v="44"/>
          </reference>
        </references>
      </pivotArea>
    </format>
    <format dxfId="79">
      <pivotArea dataOnly="0" labelOnly="1" outline="0" fieldPosition="0">
        <references count="3">
          <reference field="2" count="1" selected="0">
            <x v="29"/>
          </reference>
          <reference field="3" count="1" selected="0">
            <x v="2"/>
          </reference>
          <reference field="5" count="8">
            <x v="2"/>
            <x v="9"/>
            <x v="16"/>
            <x v="21"/>
            <x v="28"/>
            <x v="41"/>
            <x v="50"/>
            <x v="120"/>
          </reference>
        </references>
      </pivotArea>
    </format>
    <format dxfId="78">
      <pivotArea dataOnly="0" labelOnly="1" outline="0" fieldPosition="0">
        <references count="3">
          <reference field="2" count="1" selected="0">
            <x v="23"/>
          </reference>
          <reference field="3" count="1" selected="0">
            <x v="2"/>
          </reference>
          <reference field="5" count="4">
            <x v="49"/>
            <x v="81"/>
            <x v="89"/>
            <x v="128"/>
          </reference>
        </references>
      </pivotArea>
    </format>
    <format dxfId="77">
      <pivotArea dataOnly="0" labelOnly="1" outline="0" fieldPosition="0">
        <references count="3">
          <reference field="2" count="1" selected="0">
            <x v="40"/>
          </reference>
          <reference field="3" count="1" selected="0">
            <x v="2"/>
          </reference>
          <reference field="5" count="6">
            <x v="18"/>
            <x v="19"/>
            <x v="24"/>
            <x v="60"/>
            <x v="65"/>
            <x v="97"/>
          </reference>
        </references>
      </pivotArea>
    </format>
    <format dxfId="76">
      <pivotArea dataOnly="0" labelOnly="1" outline="0" fieldPosition="0">
        <references count="3">
          <reference field="2" count="1" selected="0">
            <x v="44"/>
          </reference>
          <reference field="3" count="1" selected="0">
            <x v="2"/>
          </reference>
          <reference field="5" count="1">
            <x v="42"/>
          </reference>
        </references>
      </pivotArea>
    </format>
    <format dxfId="75">
      <pivotArea dataOnly="0" labelOnly="1" outline="0" fieldPosition="0">
        <references count="3">
          <reference field="2" count="1" selected="0">
            <x v="9"/>
          </reference>
          <reference field="3" count="1" selected="0">
            <x v="2"/>
          </reference>
          <reference field="5" count="1">
            <x v="51"/>
          </reference>
        </references>
      </pivotArea>
    </format>
    <format dxfId="74">
      <pivotArea dataOnly="0" labelOnly="1" outline="0" fieldPosition="0">
        <references count="3">
          <reference field="2" count="1" selected="0">
            <x v="43"/>
          </reference>
          <reference field="3" count="1" selected="0">
            <x v="2"/>
          </reference>
          <reference field="5" count="2">
            <x v="4"/>
            <x v="19"/>
          </reference>
        </references>
      </pivotArea>
    </format>
    <format dxfId="73">
      <pivotArea dataOnly="0" labelOnly="1" outline="0" fieldPosition="0">
        <references count="3">
          <reference field="2" count="1" selected="0">
            <x v="41"/>
          </reference>
          <reference field="3" count="1" selected="0">
            <x v="3"/>
          </reference>
          <reference field="5" count="3">
            <x v="19"/>
            <x v="43"/>
            <x v="103"/>
          </reference>
        </references>
      </pivotArea>
    </format>
    <format dxfId="72">
      <pivotArea dataOnly="0" labelOnly="1" outline="0" fieldPosition="0">
        <references count="3">
          <reference field="2" count="1" selected="0">
            <x v="18"/>
          </reference>
          <reference field="3" count="1" selected="0">
            <x v="4"/>
          </reference>
          <reference field="5" count="1">
            <x v="17"/>
          </reference>
        </references>
      </pivotArea>
    </format>
    <format dxfId="71">
      <pivotArea dataOnly="0" labelOnly="1" outline="0" fieldPosition="0">
        <references count="3">
          <reference field="2" count="1" selected="0">
            <x v="42"/>
          </reference>
          <reference field="3" count="1" selected="0">
            <x v="4"/>
          </reference>
          <reference field="5" count="17">
            <x v="19"/>
            <x v="20"/>
            <x v="21"/>
            <x v="37"/>
            <x v="38"/>
            <x v="45"/>
            <x v="67"/>
            <x v="69"/>
            <x v="73"/>
            <x v="88"/>
            <x v="90"/>
            <x v="93"/>
            <x v="95"/>
            <x v="101"/>
            <x v="109"/>
            <x v="126"/>
            <x v="129"/>
          </reference>
        </references>
      </pivotArea>
    </format>
    <format dxfId="70">
      <pivotArea dataOnly="0" labelOnly="1" outline="0" fieldPosition="0">
        <references count="3">
          <reference field="2" count="1" selected="0">
            <x v="49"/>
          </reference>
          <reference field="3" count="1" selected="0">
            <x v="4"/>
          </reference>
          <reference field="5" count="3">
            <x v="55"/>
            <x v="70"/>
            <x v="87"/>
          </reference>
        </references>
      </pivotArea>
    </format>
    <format dxfId="69">
      <pivotArea dataOnly="0" labelOnly="1" outline="0" fieldPosition="0">
        <references count="3">
          <reference field="2" count="1" selected="0">
            <x v="32"/>
          </reference>
          <reference field="3" count="1" selected="0">
            <x v="4"/>
          </reference>
          <reference field="5" count="19">
            <x v="19"/>
            <x v="20"/>
            <x v="21"/>
            <x v="56"/>
            <x v="61"/>
            <x v="63"/>
            <x v="71"/>
            <x v="98"/>
            <x v="101"/>
            <x v="106"/>
            <x v="108"/>
            <x v="110"/>
            <x v="111"/>
            <x v="112"/>
            <x v="113"/>
            <x v="114"/>
            <x v="115"/>
            <x v="119"/>
            <x v="121"/>
          </reference>
        </references>
      </pivotArea>
    </format>
    <format dxfId="68">
      <pivotArea dataOnly="0" labelOnly="1" outline="0" fieldPosition="0">
        <references count="3">
          <reference field="2" count="1" selected="0">
            <x v="38"/>
          </reference>
          <reference field="3" count="1" selected="0">
            <x v="4"/>
          </reference>
          <reference field="5" count="1">
            <x v="19"/>
          </reference>
        </references>
      </pivotArea>
    </format>
    <format dxfId="67">
      <pivotArea dataOnly="0" labelOnly="1" outline="0" fieldPosition="0">
        <references count="3">
          <reference field="2" count="1" selected="0">
            <x v="11"/>
          </reference>
          <reference field="3" count="1" selected="0">
            <x v="4"/>
          </reference>
          <reference field="5" count="1">
            <x v="19"/>
          </reference>
        </references>
      </pivotArea>
    </format>
    <format dxfId="66">
      <pivotArea dataOnly="0" labelOnly="1" outline="0" fieldPosition="0">
        <references count="3">
          <reference field="2" count="1" selected="0">
            <x v="17"/>
          </reference>
          <reference field="3" count="1" selected="0">
            <x v="5"/>
          </reference>
          <reference field="5" count="1">
            <x v="23"/>
          </reference>
        </references>
      </pivotArea>
    </format>
    <format dxfId="65">
      <pivotArea dataOnly="0" labelOnly="1" outline="0" fieldPosition="0">
        <references count="3">
          <reference field="2" count="1" selected="0">
            <x v="30"/>
          </reference>
          <reference field="3" count="1" selected="0">
            <x v="6"/>
          </reference>
          <reference field="5" count="1">
            <x v="30"/>
          </reference>
        </references>
      </pivotArea>
    </format>
    <format dxfId="64">
      <pivotArea dataOnly="0" labelOnly="1" outline="0" fieldPosition="0">
        <references count="3">
          <reference field="2" count="1" selected="0">
            <x v="1"/>
          </reference>
          <reference field="3" count="1" selected="0">
            <x v="6"/>
          </reference>
          <reference field="5" count="1">
            <x v="1"/>
          </reference>
        </references>
      </pivotArea>
    </format>
    <format dxfId="63">
      <pivotArea dataOnly="0" labelOnly="1" outline="0" fieldPosition="0">
        <references count="3">
          <reference field="2" count="1" selected="0">
            <x v="24"/>
          </reference>
          <reference field="3" count="1" selected="0">
            <x v="6"/>
          </reference>
          <reference field="5" count="1">
            <x v="26"/>
          </reference>
        </references>
      </pivotArea>
    </format>
    <format dxfId="62">
      <pivotArea dataOnly="0" labelOnly="1" outline="0" fieldPosition="0">
        <references count="3">
          <reference field="2" count="1" selected="0">
            <x v="21"/>
          </reference>
          <reference field="3" count="1" selected="0">
            <x v="6"/>
          </reference>
          <reference field="5" count="1">
            <x v="22"/>
          </reference>
        </references>
      </pivotArea>
    </format>
    <format dxfId="61">
      <pivotArea dataOnly="0" labelOnly="1" outline="0" fieldPosition="0">
        <references count="3">
          <reference field="2" count="1" selected="0">
            <x v="5"/>
          </reference>
          <reference field="3" count="1" selected="0">
            <x v="7"/>
          </reference>
          <reference field="5" count="3">
            <x v="6"/>
            <x v="19"/>
            <x v="62"/>
          </reference>
        </references>
      </pivotArea>
    </format>
    <format dxfId="60">
      <pivotArea dataOnly="0" labelOnly="1" outline="0" fieldPosition="0">
        <references count="3">
          <reference field="2" count="1" selected="0">
            <x v="37"/>
          </reference>
          <reference field="3" count="1" selected="0">
            <x v="7"/>
          </reference>
          <reference field="5" count="3">
            <x v="0"/>
            <x v="78"/>
            <x v="84"/>
          </reference>
        </references>
      </pivotArea>
    </format>
    <format dxfId="59">
      <pivotArea dataOnly="0" labelOnly="1" outline="0" fieldPosition="0">
        <references count="3">
          <reference field="2" count="1" selected="0">
            <x v="31"/>
          </reference>
          <reference field="3" count="1" selected="0">
            <x v="7"/>
          </reference>
          <reference field="5" count="1">
            <x v="36"/>
          </reference>
        </references>
      </pivotArea>
    </format>
    <format dxfId="58">
      <pivotArea dataOnly="0" labelOnly="1" outline="0" fieldPosition="0">
        <references count="3">
          <reference field="2" count="1" selected="0">
            <x v="39"/>
          </reference>
          <reference field="3" count="1" selected="0">
            <x v="8"/>
          </reference>
          <reference field="5" count="1">
            <x v="35"/>
          </reference>
        </references>
      </pivotArea>
    </format>
    <format dxfId="57">
      <pivotArea dataOnly="0" labelOnly="1" outline="0" fieldPosition="0">
        <references count="3">
          <reference field="2" count="1" selected="0">
            <x v="2"/>
          </reference>
          <reference field="3" count="1" selected="0">
            <x v="8"/>
          </reference>
          <reference field="5" count="1">
            <x v="122"/>
          </reference>
        </references>
      </pivotArea>
    </format>
    <format dxfId="56">
      <pivotArea dataOnly="0" labelOnly="1" outline="0" fieldPosition="0">
        <references count="3">
          <reference field="2" count="1" selected="0">
            <x v="19"/>
          </reference>
          <reference field="3" count="1" selected="0">
            <x v="9"/>
          </reference>
          <reference field="5" count="1">
            <x v="36"/>
          </reference>
        </references>
      </pivotArea>
    </format>
    <format dxfId="55">
      <pivotArea dataOnly="0" labelOnly="1" outline="0" fieldPosition="0">
        <references count="3">
          <reference field="2" count="1" selected="0">
            <x v="33"/>
          </reference>
          <reference field="3" count="1" selected="0">
            <x v="9"/>
          </reference>
          <reference field="5" count="23">
            <x v="7"/>
            <x v="8"/>
            <x v="19"/>
            <x v="20"/>
            <x v="21"/>
            <x v="27"/>
            <x v="33"/>
            <x v="34"/>
            <x v="37"/>
            <x v="44"/>
            <x v="46"/>
            <x v="57"/>
            <x v="58"/>
            <x v="82"/>
            <x v="86"/>
            <x v="95"/>
            <x v="96"/>
            <x v="100"/>
            <x v="101"/>
            <x v="102"/>
            <x v="118"/>
            <x v="122"/>
            <x v="125"/>
          </reference>
        </references>
      </pivotArea>
    </format>
    <format dxfId="54">
      <pivotArea dataOnly="0" labelOnly="1" outline="0" fieldPosition="0">
        <references count="3">
          <reference field="2" count="1" selected="0">
            <x v="20"/>
          </reference>
          <reference field="3" count="1" selected="0">
            <x v="9"/>
          </reference>
          <reference field="5" count="3">
            <x v="40"/>
            <x v="94"/>
            <x v="116"/>
          </reference>
        </references>
      </pivotArea>
    </format>
    <format dxfId="53">
      <pivotArea dataOnly="0" labelOnly="1" outline="0" fieldPosition="0">
        <references count="3">
          <reference field="2" count="1" selected="0">
            <x v="52"/>
          </reference>
          <reference field="3" count="1" selected="0">
            <x v="9"/>
          </reference>
          <reference field="5" count="1">
            <x v="70"/>
          </reference>
        </references>
      </pivotArea>
    </format>
    <format dxfId="52">
      <pivotArea dataOnly="0" labelOnly="1" outline="0" fieldPosition="0">
        <references count="3">
          <reference field="2" count="1" selected="0">
            <x v="57"/>
          </reference>
          <reference field="3" count="1" selected="0">
            <x v="9"/>
          </reference>
          <reference field="5" count="1">
            <x v="117"/>
          </reference>
        </references>
      </pivotArea>
    </format>
    <format dxfId="51">
      <pivotArea dataOnly="0" labelOnly="1" outline="0" fieldPosition="0">
        <references count="3">
          <reference field="2" count="1" selected="0">
            <x v="7"/>
          </reference>
          <reference field="3" count="1" selected="0">
            <x v="9"/>
          </reference>
          <reference field="5" count="5">
            <x v="53"/>
            <x v="80"/>
            <x v="104"/>
            <x v="105"/>
            <x v="107"/>
          </reference>
        </references>
      </pivotArea>
    </format>
    <format dxfId="50">
      <pivotArea dataOnly="0" labelOnly="1" outline="0" fieldPosition="0">
        <references count="3">
          <reference field="2" count="1" selected="0">
            <x v="53"/>
          </reference>
          <reference field="3" count="1" selected="0">
            <x v="9"/>
          </reference>
          <reference field="5" count="1">
            <x v="76"/>
          </reference>
        </references>
      </pivotArea>
    </format>
    <format dxfId="49">
      <pivotArea dataOnly="0" labelOnly="1" outline="0" fieldPosition="0">
        <references count="3">
          <reference field="2" count="1" selected="0">
            <x v="0"/>
          </reference>
          <reference field="3" count="1" selected="0">
            <x v="9"/>
          </reference>
          <reference field="5" count="5">
            <x v="79"/>
            <x v="83"/>
            <x v="91"/>
            <x v="92"/>
            <x v="127"/>
          </reference>
        </references>
      </pivotArea>
    </format>
    <format dxfId="48">
      <pivotArea dataOnly="0" labelOnly="1" outline="0" fieldPosition="0">
        <references count="3">
          <reference field="2" count="1" selected="0">
            <x v="48"/>
          </reference>
          <reference field="3" count="1" selected="0">
            <x v="9"/>
          </reference>
          <reference field="5" count="2">
            <x v="19"/>
            <x v="54"/>
          </reference>
        </references>
      </pivotArea>
    </format>
    <format dxfId="47">
      <pivotArea dataOnly="0" labelOnly="1" outline="0" fieldPosition="0">
        <references count="3">
          <reference field="2" count="1" selected="0">
            <x v="58"/>
          </reference>
          <reference field="3" count="1" selected="0">
            <x v="9"/>
          </reference>
          <reference field="5" count="1">
            <x v="123"/>
          </reference>
        </references>
      </pivotArea>
    </format>
    <format dxfId="46">
      <pivotArea dataOnly="0" labelOnly="1" outline="0" fieldPosition="0">
        <references count="3">
          <reference field="2" count="1" selected="0">
            <x v="28"/>
          </reference>
          <reference field="3" count="1" selected="0">
            <x v="9"/>
          </reference>
          <reference field="5" count="2">
            <x v="10"/>
            <x v="66"/>
          </reference>
        </references>
      </pivotArea>
    </format>
    <format dxfId="45">
      <pivotArea dataOnly="0" labelOnly="1" outline="0" fieldPosition="0">
        <references count="3">
          <reference field="2" count="1" selected="0">
            <x v="60"/>
          </reference>
          <reference field="3" count="1" selected="0">
            <x v="9"/>
          </reference>
          <reference field="5" count="1">
            <x v="19"/>
          </reference>
        </references>
      </pivotArea>
    </format>
    <format dxfId="44">
      <pivotArea dataOnly="0" labelOnly="1" outline="0" fieldPosition="0">
        <references count="3">
          <reference field="2" count="1" selected="0">
            <x v="59"/>
          </reference>
          <reference field="3" count="1" selected="0">
            <x v="9"/>
          </reference>
          <reference field="5" count="1">
            <x v="19"/>
          </reference>
        </references>
      </pivotArea>
    </format>
    <format dxfId="43">
      <pivotArea dataOnly="0" labelOnly="1" outline="0" fieldPosition="0">
        <references count="3">
          <reference field="2" count="1" selected="0">
            <x v="50"/>
          </reference>
          <reference field="3" count="1" selected="0">
            <x v="9"/>
          </reference>
          <reference field="5" count="1">
            <x v="75"/>
          </reference>
        </references>
      </pivotArea>
    </format>
    <format dxfId="42">
      <pivotArea dataOnly="0" labelOnly="1" outline="0" fieldPosition="0">
        <references count="3">
          <reference field="2" count="1" selected="0">
            <x v="56"/>
          </reference>
          <reference field="3" count="1" selected="0">
            <x v="9"/>
          </reference>
          <reference field="5" count="2">
            <x v="19"/>
            <x v="70"/>
          </reference>
        </references>
      </pivotArea>
    </format>
    <format dxfId="41">
      <pivotArea dataOnly="0" labelOnly="1" outline="0" fieldPosition="0">
        <references count="3">
          <reference field="2" count="1" selected="0">
            <x v="36"/>
          </reference>
          <reference field="3" count="1" selected="0">
            <x v="9"/>
          </reference>
          <reference field="5" count="3">
            <x v="19"/>
            <x v="47"/>
            <x v="64"/>
          </reference>
        </references>
      </pivotArea>
    </format>
    <format dxfId="40">
      <pivotArea dataOnly="0" labelOnly="1" outline="0" fieldPosition="0">
        <references count="3">
          <reference field="2" count="1" selected="0">
            <x v="61"/>
          </reference>
          <reference field="3" count="1" selected="0">
            <x v="9"/>
          </reference>
          <reference field="5" count="1">
            <x v="19"/>
          </reference>
        </references>
      </pivotArea>
    </format>
    <format dxfId="39">
      <pivotArea dataOnly="0" labelOnly="1" outline="0" fieldPosition="0">
        <references count="3">
          <reference field="2" count="1" selected="0">
            <x v="51"/>
          </reference>
          <reference field="3" count="1" selected="0">
            <x v="9"/>
          </reference>
          <reference field="5" count="1">
            <x v="76"/>
          </reference>
        </references>
      </pivotArea>
    </format>
    <format dxfId="38">
      <pivotArea dataOnly="0" labelOnly="1" outline="0" fieldPosition="0">
        <references count="3">
          <reference field="2" count="1" selected="0">
            <x v="46"/>
          </reference>
          <reference field="3" count="1" selected="0">
            <x v="9"/>
          </reference>
          <reference field="5" count="14">
            <x v="19"/>
            <x v="20"/>
            <x v="21"/>
            <x v="25"/>
            <x v="48"/>
            <x v="56"/>
            <x v="59"/>
            <x v="68"/>
            <x v="72"/>
            <x v="74"/>
            <x v="77"/>
            <x v="78"/>
            <x v="101"/>
            <x v="124"/>
          </reference>
        </references>
      </pivotArea>
    </format>
    <format dxfId="37">
      <pivotArea dataOnly="0" labelOnly="1" outline="0" fieldPosition="0">
        <references count="3">
          <reference field="2" count="1" selected="0">
            <x v="3"/>
          </reference>
          <reference field="3" count="1" selected="0">
            <x v="10"/>
          </reference>
          <reference field="5" count="4">
            <x v="19"/>
            <x v="20"/>
            <x v="21"/>
            <x v="70"/>
          </reference>
        </references>
      </pivotArea>
    </format>
    <format dxfId="36">
      <pivotArea dataOnly="0" labelOnly="1" outline="0" fieldPosition="0">
        <references count="3">
          <reference field="2" count="1" selected="0">
            <x v="22"/>
          </reference>
          <reference field="3" count="1" selected="0">
            <x v="10"/>
          </reference>
          <reference field="5" count="1">
            <x v="19"/>
          </reference>
        </references>
      </pivotArea>
    </format>
    <format dxfId="35">
      <pivotArea outline="0" fieldPosition="0">
        <references count="3">
          <reference field="2" count="4" selected="0">
            <x v="1"/>
            <x v="21"/>
            <x v="24"/>
            <x v="30"/>
          </reference>
          <reference field="3" count="1" selected="0">
            <x v="6"/>
          </reference>
          <reference field="5" count="4" selected="0">
            <x v="1"/>
            <x v="22"/>
            <x v="26"/>
            <x v="30"/>
          </reference>
        </references>
      </pivotArea>
    </format>
    <format dxfId="34">
      <pivotArea dataOnly="0" labelOnly="1" outline="0" fieldPosition="0">
        <references count="1">
          <reference field="3" count="1">
            <x v="6"/>
          </reference>
        </references>
      </pivotArea>
    </format>
    <format dxfId="33">
      <pivotArea dataOnly="0" labelOnly="1" outline="0" fieldPosition="0">
        <references count="2">
          <reference field="2" count="4">
            <x v="1"/>
            <x v="21"/>
            <x v="24"/>
            <x v="30"/>
          </reference>
          <reference field="3" count="1" selected="0">
            <x v="6"/>
          </reference>
        </references>
      </pivotArea>
    </format>
    <format dxfId="32">
      <pivotArea dataOnly="0" labelOnly="1" outline="0" fieldPosition="0">
        <references count="3">
          <reference field="2" count="1" selected="0">
            <x v="30"/>
          </reference>
          <reference field="3" count="1" selected="0">
            <x v="6"/>
          </reference>
          <reference field="5" count="1">
            <x v="30"/>
          </reference>
        </references>
      </pivotArea>
    </format>
    <format dxfId="31">
      <pivotArea dataOnly="0" labelOnly="1" outline="0" fieldPosition="0">
        <references count="3">
          <reference field="2" count="1" selected="0">
            <x v="1"/>
          </reference>
          <reference field="3" count="1" selected="0">
            <x v="6"/>
          </reference>
          <reference field="5" count="1">
            <x v="1"/>
          </reference>
        </references>
      </pivotArea>
    </format>
    <format dxfId="30">
      <pivotArea dataOnly="0" labelOnly="1" outline="0" fieldPosition="0">
        <references count="3">
          <reference field="2" count="1" selected="0">
            <x v="24"/>
          </reference>
          <reference field="3" count="1" selected="0">
            <x v="6"/>
          </reference>
          <reference field="5" count="1">
            <x v="26"/>
          </reference>
        </references>
      </pivotArea>
    </format>
    <format dxfId="29">
      <pivotArea dataOnly="0" labelOnly="1" outline="0" fieldPosition="0">
        <references count="3">
          <reference field="2" count="1" selected="0">
            <x v="21"/>
          </reference>
          <reference field="3" count="1" selected="0">
            <x v="6"/>
          </reference>
          <reference field="5" count="1">
            <x v="22"/>
          </reference>
        </references>
      </pivotArea>
    </format>
    <format dxfId="28">
      <pivotArea outline="0" fieldPosition="0">
        <references count="1">
          <reference field="3" count="1" selected="0" defaultSubtotal="1">
            <x v="6"/>
          </reference>
        </references>
      </pivotArea>
    </format>
    <format dxfId="27">
      <pivotArea dataOnly="0" labelOnly="1" outline="0" fieldPosition="0">
        <references count="1">
          <reference field="3" count="1" defaultSubtotal="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3683E1-054E-4672-9BA1-FBF57C61B11E}">
  <we:reference id="WA200009404" version="1.0.0.8" store="Omex" storeType="OMEX"/>
  <we:alternateReferences>
    <we:reference id="WA200009404" version="1.0.0.8" store="WA200009404" storeType="OMEX"/>
  </we:alternateReferences>
  <we:properties>
    <we:property name="claude.fileId" value="&quot;b230850e-b243-43d2-8767-f0381691d01f&quot;"/>
  </we:properties>
  <we:bindings/>
  <we:snapshot xmlns:r="http://schemas.openxmlformats.org/officeDocument/2006/relationships"/>
</we:webextension>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8413-325A-4C9E-82D0-43018A9C99CB}">
  <dimension ref="B5:B7"/>
  <sheetViews>
    <sheetView showGridLines="0" workbookViewId="0">
      <selection activeCell="I8" sqref="I8"/>
    </sheetView>
  </sheetViews>
  <sheetFormatPr defaultRowHeight="14"/>
  <sheetData>
    <row r="5" spans="2:2" ht="20">
      <c r="B5" s="509" t="s">
        <v>966</v>
      </c>
    </row>
    <row r="7" spans="2:2" ht="18">
      <c r="B7" s="508" t="s">
        <v>965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B447-2783-461D-9828-EFBCD1BEAB86}">
  <dimension ref="A1:I165"/>
  <sheetViews>
    <sheetView showGridLines="0" tabSelected="1" topLeftCell="B1" zoomScale="98" workbookViewId="0">
      <pane ySplit="6" topLeftCell="A127" activePane="bottomLeft" state="frozen"/>
      <selection pane="bottomLeft" activeCell="K158" sqref="K158"/>
    </sheetView>
  </sheetViews>
  <sheetFormatPr defaultRowHeight="14"/>
  <cols>
    <col min="1" max="1" width="43.33203125" customWidth="1"/>
    <col min="2" max="9" width="13.6640625" customWidth="1"/>
  </cols>
  <sheetData>
    <row r="1" spans="1:9" ht="17">
      <c r="A1" s="617" t="s">
        <v>1010</v>
      </c>
      <c r="B1" s="620"/>
      <c r="C1" s="620"/>
      <c r="D1" s="620"/>
      <c r="E1" s="620"/>
      <c r="F1" s="620"/>
      <c r="G1" s="620"/>
      <c r="H1" s="620"/>
      <c r="I1" s="620"/>
    </row>
    <row r="2" spans="1:9" ht="14.5">
      <c r="A2" s="618" t="s">
        <v>1050</v>
      </c>
      <c r="B2" s="620"/>
      <c r="C2" s="620"/>
      <c r="D2" s="620"/>
      <c r="E2" s="620"/>
      <c r="F2" s="620"/>
      <c r="G2" s="620"/>
      <c r="H2" s="620"/>
      <c r="I2" s="620"/>
    </row>
    <row r="3" spans="1:9">
      <c r="A3" s="621"/>
      <c r="B3" s="620"/>
      <c r="C3" s="620"/>
      <c r="D3" s="620"/>
      <c r="E3" s="620"/>
      <c r="F3" s="620"/>
      <c r="G3" s="620"/>
      <c r="H3" s="620"/>
      <c r="I3" s="620"/>
    </row>
    <row r="4" spans="1:9">
      <c r="A4" s="621"/>
      <c r="B4" s="620"/>
      <c r="C4" s="620"/>
      <c r="D4" s="620"/>
      <c r="E4" s="620"/>
      <c r="F4" s="620"/>
      <c r="G4" s="620"/>
      <c r="H4" s="620"/>
      <c r="I4" s="620"/>
    </row>
    <row r="5" spans="1:9">
      <c r="A5" s="620"/>
      <c r="B5" s="620"/>
      <c r="C5" s="620"/>
      <c r="D5" s="620"/>
      <c r="E5" s="620"/>
      <c r="F5" s="620"/>
      <c r="G5" s="620"/>
      <c r="H5" s="620"/>
      <c r="I5" s="620"/>
    </row>
    <row r="6" spans="1:9">
      <c r="A6" s="630" t="s">
        <v>0</v>
      </c>
      <c r="B6" s="648">
        <v>46023</v>
      </c>
      <c r="C6" s="648">
        <v>46054</v>
      </c>
      <c r="D6" s="648">
        <v>46082</v>
      </c>
      <c r="E6" s="648">
        <v>46113</v>
      </c>
      <c r="F6" s="648">
        <v>46143</v>
      </c>
      <c r="G6" s="649">
        <v>46174</v>
      </c>
      <c r="H6" s="649">
        <v>46204</v>
      </c>
      <c r="I6" s="666" t="s">
        <v>19</v>
      </c>
    </row>
    <row r="7" spans="1:9">
      <c r="A7" s="624" t="str">
        <f>IF('Jun''26'!B7="","",'Jun''26'!B7)</f>
        <v>Service Income</v>
      </c>
      <c r="B7" s="628" t="str">
        <f ca="1">IFERROR(IF(INDEX(Jan!$E:$E,MATCH(TRIM($A7),Jan!$B:$B,0))="","",INDEX(Jan!$E:$E,MATCH(TRIM($A7),Jan!$B:$B,0))),"")</f>
        <v/>
      </c>
      <c r="C7" s="628" t="str">
        <f>IFERROR(IF(INDEX('March-Feb'!$I:$I,MATCH($A7,'March-Feb'!$B:$B,0))="","",INDEX('March-Feb'!$I:$I,MATCH($A7,'March-Feb'!$B:$B,0))),"")</f>
        <v/>
      </c>
      <c r="D7" s="628" t="str">
        <f>IFERROR(IF(INDEX('March-Feb'!$E:$E,MATCH($A7,'March-Feb'!$B:$B,0))="","",INDEX('March-Feb'!$E:$E,MATCH($A7,'March-Feb'!$B:$B,0))),"")</f>
        <v/>
      </c>
      <c r="E7" s="628" t="str">
        <f>IFERROR(IF(INDEX('April-March'!$F:$F,MATCH($A7,'April-March'!$B:$B,0))="","",INDEX('April-March'!$F:$F,MATCH($A7,'April-March'!$B:$B,0))),"")</f>
        <v/>
      </c>
      <c r="F7" s="628" t="str">
        <f>IFERROR(IF(INDEX('May-April'!$F:$F,MATCH($A7,'May-April'!$B:$B,0))="","",INDEX('May-April'!$F:$F,MATCH($A7,'May-April'!$B:$B,0))),"")</f>
        <v/>
      </c>
      <c r="G7" s="635" t="str">
        <f>IF('Jun''26'!F7="","",'Jun''26'!F7)</f>
        <v/>
      </c>
      <c r="H7" s="628" t="str">
        <f>IFERROR(IF(INDEX('Jul''26'!$F:$F,MATCH($A7,'Jul''26'!$B:$B,0))="","",INDEX('Jul''26'!$F:$F,MATCH($A7,'Jul''26'!$B:$B,0))),"")</f>
        <v/>
      </c>
      <c r="I7" s="629" t="str">
        <f t="shared" ref="I7" ca="1" si="0">IF(COUNT(B7:G7)=0,"",SUM(B7:G7))</f>
        <v/>
      </c>
    </row>
    <row r="8" spans="1:9">
      <c r="A8" s="620" t="str">
        <f>IF('Jun''26'!B8="","",'Jun''26'!B8)</f>
        <v xml:space="preserve">        Sales</v>
      </c>
      <c r="B8" s="623">
        <f ca="1">IFERROR(IF(INDEX(Jan!$E:$E,MATCH(TRIM($A8),Jan!$B:$B,0))="","",INDEX(Jan!$E:$E,MATCH(TRIM($A8),Jan!$B:$B,0))),"")</f>
        <v>226814</v>
      </c>
      <c r="C8" s="623">
        <f>IFERROR(IF(INDEX('March-Feb'!$I:$I,MATCH($A8,'March-Feb'!$B:$B,0))="","",INDEX('March-Feb'!$I:$I,MATCH($A8,'March-Feb'!$B:$B,0))),"")</f>
        <v>227771</v>
      </c>
      <c r="D8" s="623">
        <f>IFERROR(IF(INDEX('March-Feb'!$E:$E,MATCH($A8,'March-Feb'!$B:$B,0))="","",INDEX('March-Feb'!$E:$E,MATCH($A8,'March-Feb'!$B:$B,0))),"")</f>
        <v>221215</v>
      </c>
      <c r="E8" s="623">
        <f>IFERROR(IF(INDEX('April-March'!$F:$F,MATCH($A8,'April-March'!$B:$B,0))="","",INDEX('April-March'!$F:$F,MATCH($A8,'April-March'!$B:$B,0))),"")</f>
        <v>195207</v>
      </c>
      <c r="F8" s="623">
        <f>IFERROR(IF(INDEX('May-April'!$F:$F,MATCH($A8,'May-April'!$B:$B,0))="","",INDEX('May-April'!$F:$F,MATCH($A8,'May-April'!$B:$B,0))),"")</f>
        <v>209918</v>
      </c>
      <c r="G8" s="636">
        <f>IF('Jun''26'!F8="","",'Jun''26'!F8)</f>
        <v>232311</v>
      </c>
      <c r="H8" s="636">
        <f>IFERROR(IF(INDEX('Jul''26'!$F:$F,MATCH($A8,'Jul''26'!$B:$B,0))="","",INDEX('Jul''26'!$F:$F,MATCH($A8,'Jul''26'!$B:$B,0))),"")</f>
        <v>250672</v>
      </c>
      <c r="I8" s="625">
        <f ca="1">SUM(B8:H8)</f>
        <v>1563908</v>
      </c>
    </row>
    <row r="9" spans="1:9">
      <c r="A9" s="620" t="str">
        <f>IF('Jun''26'!B9="","",'Jun''26'!B9)</f>
        <v>Sales</v>
      </c>
      <c r="B9" s="623">
        <f ca="1">IFERROR(IF(INDEX(Jan!$E:$E,MATCH(TRIM($A9),Jan!$B:$B,0))="","",INDEX(Jan!$E:$E,MATCH(TRIM($A9),Jan!$B:$B,0))),"")</f>
        <v>226814</v>
      </c>
      <c r="C9" s="623">
        <f>IFERROR(IF(INDEX('March-Feb'!$I:$I,MATCH($A9,'March-Feb'!$B:$B,0))="","",INDEX('March-Feb'!$I:$I,MATCH($A9,'March-Feb'!$B:$B,0))),"")</f>
        <v>227770</v>
      </c>
      <c r="D9" s="623">
        <f>IFERROR(IF(INDEX('March-Feb'!$E:$E,MATCH($A9,'March-Feb'!$B:$B,0))="","",INDEX('March-Feb'!$E:$E,MATCH($A9,'March-Feb'!$B:$B,0))),"")</f>
        <v>221215</v>
      </c>
      <c r="E9" s="623">
        <f>IFERROR(IF(INDEX('April-March'!$F:$F,MATCH($A9,'April-March'!$B:$B,0))="","",INDEX('April-March'!$F:$F,MATCH($A9,'April-March'!$B:$B,0))),"")</f>
        <v>194902</v>
      </c>
      <c r="F9" s="623">
        <f>IFERROR(IF(INDEX('May-April'!$F:$F,MATCH($A9,'May-April'!$B:$B,0))="","",INDEX('May-April'!$F:$F,MATCH($A9,'May-April'!$B:$B,0))),"")</f>
        <v>209920</v>
      </c>
      <c r="G9" s="636">
        <f>IF('Jun''26'!F9="","",'Jun''26'!F9)</f>
        <v>225714</v>
      </c>
      <c r="H9" s="623">
        <f>IFERROR(IF(INDEX('Jul''26'!$F:$F,MATCH($A9,'Jul''26'!$B:$B,0))="","",INDEX('Jul''26'!$F:$F,MATCH($A9,'Jul''26'!$B:$B,0))),"")</f>
        <v>250400</v>
      </c>
      <c r="I9" s="625">
        <f t="shared" ref="I9:I72" ca="1" si="1">SUM(B9:H9)</f>
        <v>1556735</v>
      </c>
    </row>
    <row r="10" spans="1:9">
      <c r="A10" s="620" t="str">
        <f>IF('Jun''26'!B10="","",'Jun''26'!B10)</f>
        <v>Other Charges</v>
      </c>
      <c r="B10" s="623">
        <f ca="1">IFERROR(IF(INDEX(Jan!$E:$E,MATCH(TRIM($A10),Jan!$B:$B,0))="","",INDEX(Jan!$E:$E,MATCH(TRIM($A10),Jan!$B:$B,0))),"")</f>
        <v>0</v>
      </c>
      <c r="C10" s="623">
        <f>IFERROR(IF(INDEX('March-Feb'!$I:$I,MATCH($A10,'March-Feb'!$B:$B,0))="","",INDEX('March-Feb'!$I:$I,MATCH($A10,'March-Feb'!$B:$B,0))),"")</f>
        <v>1</v>
      </c>
      <c r="D10" s="623">
        <f>IFERROR(IF(INDEX('March-Feb'!$E:$E,MATCH($A10,'March-Feb'!$B:$B,0))="","",INDEX('March-Feb'!$E:$E,MATCH($A10,'March-Feb'!$B:$B,0))),"")</f>
        <v>0</v>
      </c>
      <c r="E10" s="623">
        <f>IFERROR(IF(INDEX('April-March'!$F:$F,MATCH($A10,'April-March'!$B:$B,0))="","",INDEX('April-March'!$F:$F,MATCH($A10,'April-March'!$B:$B,0))),"")</f>
        <v>0</v>
      </c>
      <c r="F10" s="623">
        <f>IFERROR(IF(INDEX('May-April'!$F:$F,MATCH($A10,'May-April'!$B:$B,0))="","",INDEX('May-April'!$F:$F,MATCH($A10,'May-April'!$B:$B,0))),"")</f>
        <v>0</v>
      </c>
      <c r="G10" s="636">
        <f>IF('Jun''26'!F10="","",'Jun''26'!F10)</f>
        <v>0</v>
      </c>
      <c r="H10" s="623">
        <f>IFERROR(IF(INDEX('Jul''26'!$F:$F,MATCH($A10,'Jul''26'!$B:$B,0))="","",INDEX('Jul''26'!$F:$F,MATCH($A10,'Jul''26'!$B:$B,0))),"")</f>
        <v>0</v>
      </c>
      <c r="I10" s="625">
        <f t="shared" ca="1" si="1"/>
        <v>1</v>
      </c>
    </row>
    <row r="11" spans="1:9">
      <c r="A11" s="620" t="str">
        <f>IF('Jun''26'!B11="","",'Jun''26'!B11)</f>
        <v>Buyout</v>
      </c>
      <c r="B11" s="623">
        <f ca="1">IFERROR(IF(INDEX(Jan!$E:$E,MATCH(TRIM($A11),Jan!$B:$B,0))="","",INDEX(Jan!$E:$E,MATCH(TRIM($A11),Jan!$B:$B,0))),"")</f>
        <v>0</v>
      </c>
      <c r="C11" s="623" t="str">
        <f>IFERROR(IF(INDEX('March-Feb'!$I:$I,MATCH($A11,'March-Feb'!$B:$B,0))="","",INDEX('March-Feb'!$I:$I,MATCH($A11,'March-Feb'!$B:$B,0))),"")</f>
        <v/>
      </c>
      <c r="D11" s="623" t="str">
        <f>IFERROR(IF(INDEX('March-Feb'!$E:$E,MATCH($A11,'March-Feb'!$B:$B,0))="","",INDEX('March-Feb'!$E:$E,MATCH($A11,'March-Feb'!$B:$B,0))),"")</f>
        <v/>
      </c>
      <c r="E11" s="623" t="str">
        <f>IFERROR(IF(INDEX('April-March'!$F:$F,MATCH($A11,'April-March'!$B:$B,0))="","",INDEX('April-March'!$F:$F,MATCH($A11,'April-March'!$B:$B,0))),"")</f>
        <v/>
      </c>
      <c r="F11" s="623" t="str">
        <f>IFERROR(IF(INDEX('May-April'!$F:$F,MATCH($A11,'May-April'!$B:$B,0))="","",INDEX('May-April'!$F:$F,MATCH($A11,'May-April'!$B:$B,0))),"")</f>
        <v/>
      </c>
      <c r="G11" s="636" t="str">
        <f>IF('Jun''26'!F11="","",'Jun''26'!F11)</f>
        <v/>
      </c>
      <c r="H11" s="623">
        <f>IFERROR(IF(INDEX('Jul''26'!$F:$F,MATCH($A11,'Jul''26'!$B:$B,0))="","",INDEX('Jul''26'!$F:$F,MATCH($A11,'Jul''26'!$B:$B,0))),"")</f>
        <v>224</v>
      </c>
      <c r="I11" s="625">
        <f t="shared" ca="1" si="1"/>
        <v>224</v>
      </c>
    </row>
    <row r="12" spans="1:9">
      <c r="A12" s="620" t="str">
        <f>IF('Jun''26'!B12="","",'Jun''26'!B12)</f>
        <v>General Income</v>
      </c>
      <c r="B12" s="623">
        <f ca="1">IFERROR(IF(INDEX(Jan!$E:$E,MATCH(TRIM($A12),Jan!$B:$B,0))="","",INDEX(Jan!$E:$E,MATCH(TRIM($A12),Jan!$B:$B,0))),"")</f>
        <v>287</v>
      </c>
      <c r="C12" s="623">
        <f>IFERROR(IF(INDEX('March-Feb'!$I:$I,MATCH($A12,'March-Feb'!$B:$B,0))="","",INDEX('March-Feb'!$I:$I,MATCH($A12,'March-Feb'!$B:$B,0))),"")</f>
        <v>0</v>
      </c>
      <c r="D12" s="623">
        <f>IFERROR(IF(INDEX('March-Feb'!$E:$E,MATCH($A12,'March-Feb'!$B:$B,0))="","",INDEX('March-Feb'!$E:$E,MATCH($A12,'March-Feb'!$B:$B,0))),"")</f>
        <v>0</v>
      </c>
      <c r="E12" s="623">
        <f>IFERROR(IF(INDEX('April-March'!$F:$F,MATCH($A12,'April-March'!$B:$B,0))="","",INDEX('April-March'!$F:$F,MATCH($A12,'April-March'!$B:$B,0))),"")</f>
        <v>16</v>
      </c>
      <c r="F12" s="623">
        <f>IFERROR(IF(INDEX('May-April'!$F:$F,MATCH($A12,'May-April'!$B:$B,0))="","",INDEX('May-April'!$F:$F,MATCH($A12,'May-April'!$B:$B,0))),"")</f>
        <v>0</v>
      </c>
      <c r="G12" s="636">
        <f>IF('Jun''26'!F12="","",'Jun''26'!F12)</f>
        <v>294</v>
      </c>
      <c r="H12" s="623">
        <f>IFERROR(IF(INDEX('Jul''26'!$F:$F,MATCH($A12,'Jul''26'!$B:$B,0))="","",INDEX('Jul''26'!$F:$F,MATCH($A12,'Jul''26'!$B:$B,0))),"")</f>
        <v>16</v>
      </c>
      <c r="I12" s="625">
        <f t="shared" ca="1" si="1"/>
        <v>613</v>
      </c>
    </row>
    <row r="13" spans="1:9">
      <c r="A13" s="620" t="str">
        <f>IF('Jun''26'!B13="","",'Jun''26'!B13)</f>
        <v>Interest Income</v>
      </c>
      <c r="B13" s="623">
        <f ca="1">IFERROR(IF(INDEX(Jan!$E:$E,MATCH(TRIM($A13),Jan!$B:$B,0))="","",INDEX(Jan!$E:$E,MATCH(TRIM($A13),Jan!$B:$B,0))),"")</f>
        <v>0</v>
      </c>
      <c r="C13" s="623" t="str">
        <f>IFERROR(IF(INDEX('March-Feb'!$I:$I,MATCH($A13,'March-Feb'!$B:$B,0))="","",INDEX('March-Feb'!$I:$I,MATCH($A13,'March-Feb'!$B:$B,0))),"")</f>
        <v/>
      </c>
      <c r="D13" s="623" t="str">
        <f>IFERROR(IF(INDEX('March-Feb'!$E:$E,MATCH($A13,'March-Feb'!$B:$B,0))="","",INDEX('March-Feb'!$E:$E,MATCH($A13,'March-Feb'!$B:$B,0))),"")</f>
        <v/>
      </c>
      <c r="E13" s="623">
        <f>IFERROR(IF(INDEX('April-March'!$F:$F,MATCH($A13,'April-March'!$B:$B,0))="","",INDEX('April-March'!$F:$F,MATCH($A13,'April-March'!$B:$B,0))),"")</f>
        <v>289</v>
      </c>
      <c r="F13" s="623">
        <f>IFERROR(IF(INDEX('May-April'!$F:$F,MATCH($A13,'May-April'!$B:$B,0))="","",INDEX('May-April'!$F:$F,MATCH($A13,'May-April'!$B:$B,0))),"")</f>
        <v>-2</v>
      </c>
      <c r="G13" s="636">
        <f>IF('Jun''26'!F13="","",'Jun''26'!F13)</f>
        <v>-1</v>
      </c>
      <c r="H13" s="623">
        <f>IFERROR(IF(INDEX('Jul''26'!$F:$F,MATCH($A13,'Jul''26'!$B:$B,0))="","",INDEX('Jul''26'!$F:$F,MATCH($A13,'Jul''26'!$B:$B,0))),"")</f>
        <v>54</v>
      </c>
      <c r="I13" s="625">
        <f t="shared" ca="1" si="1"/>
        <v>340</v>
      </c>
    </row>
    <row r="14" spans="1:9">
      <c r="A14" s="620" t="str">
        <f>IF('Jun''26'!B14="","",'Jun''26'!B14)</f>
        <v>Governments Grant Income</v>
      </c>
      <c r="B14" s="623" t="str">
        <f ca="1">IFERROR(IF(INDEX(Jan!$E:$E,MATCH(TRIM($A14),Jan!$B:$B,0))="","",INDEX(Jan!$E:$E,MATCH(TRIM($A14),Jan!$B:$B,0))),"")</f>
        <v/>
      </c>
      <c r="C14" s="623" t="str">
        <f>IFERROR(IF(INDEX('March-Feb'!$I:$I,MATCH($A14,'March-Feb'!$B:$B,0))="","",INDEX('March-Feb'!$I:$I,MATCH($A14,'March-Feb'!$B:$B,0))),"")</f>
        <v/>
      </c>
      <c r="D14" s="623" t="str">
        <f>IFERROR(IF(INDEX('March-Feb'!$E:$E,MATCH($A14,'March-Feb'!$B:$B,0))="","",INDEX('March-Feb'!$E:$E,MATCH($A14,'March-Feb'!$B:$B,0))),"")</f>
        <v/>
      </c>
      <c r="E14" s="623" t="str">
        <f>IFERROR(IF(INDEX('April-March'!$F:$F,MATCH($A14,'April-March'!$B:$B,0))="","",INDEX('April-March'!$F:$F,MATCH($A14,'April-March'!$B:$B,0))),"")</f>
        <v/>
      </c>
      <c r="F14" s="623" t="str">
        <f>IFERROR(IF(INDEX('May-April'!$F:$F,MATCH($A14,'May-April'!$B:$B,0))="","",INDEX('May-April'!$F:$F,MATCH($A14,'May-April'!$B:$B,0))),"")</f>
        <v/>
      </c>
      <c r="G14" s="636">
        <f>IF('Jun''26'!F14="","",'Jun''26'!F14)</f>
        <v>6304</v>
      </c>
      <c r="H14" s="623">
        <f>IFERROR(IF(INDEX('Jul''26'!$F:$F,MATCH($A14,'Jul''26'!$B:$B,0))="","",INDEX('Jul''26'!$F:$F,MATCH($A14,'Jul''26'!$B:$B,0))),"")</f>
        <v>-21</v>
      </c>
      <c r="I14" s="625">
        <f t="shared" ca="1" si="1"/>
        <v>6283</v>
      </c>
    </row>
    <row r="15" spans="1:9">
      <c r="A15" s="619" t="str">
        <f>IF('Jun''26'!B15="","",'Jun''26'!B15)</f>
        <v>Total Revenue</v>
      </c>
      <c r="B15" s="626">
        <f ca="1">IFERROR(IF(INDEX(Jan!$E:$E,MATCH(TRIM($A15),Jan!$B:$B,0))="","",INDEX(Jan!$E:$E,MATCH(TRIM($A15),Jan!$B:$B,0))),"")</f>
        <v>226814</v>
      </c>
      <c r="C15" s="626">
        <f>IFERROR(IF(INDEX('March-Feb'!$I:$I,MATCH($A15,'March-Feb'!$B:$B,0))="","",INDEX('March-Feb'!$I:$I,MATCH($A15,'March-Feb'!$B:$B,0))),"")</f>
        <v>227771</v>
      </c>
      <c r="D15" s="626">
        <f>IFERROR(IF(INDEX('March-Feb'!$E:$E,MATCH($A15,'March-Feb'!$B:$B,0))="","",INDEX('March-Feb'!$E:$E,MATCH($A15,'March-Feb'!$B:$B,0))),"")</f>
        <v>221215</v>
      </c>
      <c r="E15" s="626">
        <f>IFERROR(IF(INDEX('April-March'!$F:$F,MATCH($A15,'April-March'!$B:$B,0))="","",INDEX('April-March'!$F:$F,MATCH($A15,'April-March'!$B:$B,0))),"")</f>
        <v>195207</v>
      </c>
      <c r="F15" s="626">
        <f>IFERROR(IF(INDEX('May-April'!$F:$F,MATCH($A15,'May-April'!$B:$B,0))="","",INDEX('May-April'!$F:$F,MATCH($A15,'May-April'!$B:$B,0))),"")</f>
        <v>209918</v>
      </c>
      <c r="G15" s="637">
        <f>IF('Jun''26'!F15="","",'Jun''26'!F15)</f>
        <v>232311</v>
      </c>
      <c r="H15" s="626">
        <f>IFERROR(IF(INDEX('Jul''26'!$F:$F,MATCH($A15,'Jul''26'!$B:$B,0))="","",INDEX('Jul''26'!$F:$F,MATCH($A15,'Jul''26'!$B:$B,0))),"")</f>
        <v>250672</v>
      </c>
      <c r="I15" s="625">
        <f t="shared" ca="1" si="1"/>
        <v>1563908</v>
      </c>
    </row>
    <row r="16" spans="1:9">
      <c r="A16" s="624" t="str">
        <f>IF('Jun''26'!B16="","",'Jun''26'!B16)</f>
        <v>Overall Operational cost</v>
      </c>
      <c r="B16" s="628" t="str">
        <f ca="1">IFERROR(IF(INDEX(Jan!$E:$E,MATCH(TRIM($A16),Jan!$B:$B,0))="","",INDEX(Jan!$E:$E,MATCH(TRIM($A16),Jan!$B:$B,0))),"")</f>
        <v/>
      </c>
      <c r="C16" s="628" t="str">
        <f>IFERROR(IF(INDEX('March-Feb'!$I:$I,MATCH($A16,'March-Feb'!$B:$B,0))="","",INDEX('March-Feb'!$I:$I,MATCH($A16,'March-Feb'!$B:$B,0))),"")</f>
        <v/>
      </c>
      <c r="D16" s="628" t="str">
        <f>IFERROR(IF(INDEX('March-Feb'!$E:$E,MATCH($A16,'March-Feb'!$B:$B,0))="","",INDEX('March-Feb'!$E:$E,MATCH($A16,'March-Feb'!$B:$B,0))),"")</f>
        <v/>
      </c>
      <c r="E16" s="628" t="str">
        <f>IFERROR(IF(INDEX('April-March'!$F:$F,MATCH($A16,'April-March'!$B:$B,0))="","",INDEX('April-March'!$F:$F,MATCH($A16,'April-March'!$B:$B,0))),"")</f>
        <v/>
      </c>
      <c r="F16" s="628" t="str">
        <f>IFERROR(IF(INDEX('May-April'!$F:$F,MATCH($A16,'May-April'!$B:$B,0))="","",INDEX('May-April'!$F:$F,MATCH($A16,'May-April'!$B:$B,0))),"")</f>
        <v/>
      </c>
      <c r="G16" s="638" t="str">
        <f>IF('Jun''26'!F16="","",'Jun''26'!F16)</f>
        <v/>
      </c>
      <c r="H16" s="628" t="str">
        <f>IFERROR(IF(INDEX('Jul''26'!$F:$F,MATCH($A16,'Jul''26'!$B:$B,0))="","",INDEX('Jul''26'!$F:$F,MATCH($A16,'Jul''26'!$B:$B,0))),"")</f>
        <v/>
      </c>
      <c r="I16" s="625">
        <f t="shared" ca="1" si="1"/>
        <v>0</v>
      </c>
    </row>
    <row r="17" spans="1:9">
      <c r="A17" s="619" t="str">
        <f>IF('Jun''26'!B17="","",'Jun''26'!B17)</f>
        <v xml:space="preserve">        Manpower</v>
      </c>
      <c r="B17" s="626">
        <f ca="1">IFERROR(IF(INDEX(Jan!$E:$E,MATCH(TRIM($A17),Jan!$B:$B,0))="","",INDEX(Jan!$E:$E,MATCH(TRIM($A17),Jan!$B:$B,0))),"")</f>
        <v>114851.43478260865</v>
      </c>
      <c r="C17" s="626">
        <f>IFERROR(IF(INDEX('March-Feb'!$I:$I,MATCH($A17,'March-Feb'!$B:$B,0))="","",INDEX('March-Feb'!$I:$I,MATCH($A17,'March-Feb'!$B:$B,0))),"")</f>
        <v>108834</v>
      </c>
      <c r="D17" s="626">
        <f>IFERROR(IF(INDEX('March-Feb'!$E:$E,MATCH($A17,'March-Feb'!$B:$B,0))="","",INDEX('March-Feb'!$E:$E,MATCH($A17,'March-Feb'!$B:$B,0))),"")</f>
        <v>120509</v>
      </c>
      <c r="E17" s="626">
        <f>IFERROR(IF(INDEX('April-March'!$F:$F,MATCH($A17,'April-March'!$B:$B,0))="","",INDEX('April-March'!$F:$F,MATCH($A17,'April-March'!$B:$B,0))),"")</f>
        <v>100793</v>
      </c>
      <c r="F17" s="626">
        <f>IFERROR(IF(INDEX('May-April'!$F:$F,MATCH($A17,'May-April'!$B:$B,0))="","",INDEX('May-April'!$F:$F,MATCH($A17,'May-April'!$B:$B,0))),"")</f>
        <v>92483</v>
      </c>
      <c r="G17" s="637">
        <f>IF('Jun''26'!F17="","",'Jun''26'!F17)</f>
        <v>94790</v>
      </c>
      <c r="H17" s="626">
        <f>IFERROR(IF(INDEX('Jul''26'!$F:$F,MATCH($A17,'Jul''26'!$B:$B,0))="","",INDEX('Jul''26'!$F:$F,MATCH($A17,'Jul''26'!$B:$B,0))),"")</f>
        <v>100703</v>
      </c>
      <c r="I17" s="625">
        <f t="shared" ca="1" si="1"/>
        <v>732963.43478260865</v>
      </c>
    </row>
    <row r="18" spans="1:9">
      <c r="A18" s="620" t="str">
        <f>IF('Jun''26'!B18="","",'Jun''26'!B18)</f>
        <v>India Cost</v>
      </c>
      <c r="B18" s="623" t="str">
        <f ca="1">IFERROR(IF(INDEX(Jan!$E:$E,MATCH(TRIM($A18),Jan!$B:$B,0))="","",INDEX(Jan!$E:$E,MATCH(TRIM($A18),Jan!$B:$B,0))),"")</f>
        <v/>
      </c>
      <c r="C18" s="623" t="str">
        <f>IFERROR(IF(INDEX('March-Feb'!$I:$I,MATCH($A18,'March-Feb'!$B:$B,0))="","",INDEX('March-Feb'!$I:$I,MATCH($A18,'March-Feb'!$B:$B,0))),"")</f>
        <v/>
      </c>
      <c r="D18" s="623" t="str">
        <f>IFERROR(IF(INDEX('March-Feb'!$E:$E,MATCH($A18,'March-Feb'!$B:$B,0))="","",INDEX('March-Feb'!$E:$E,MATCH($A18,'March-Feb'!$B:$B,0))),"")</f>
        <v/>
      </c>
      <c r="E18" s="623" t="str">
        <f>IFERROR(IF(INDEX('April-March'!$F:$F,MATCH($A18,'April-March'!$B:$B,0))="","",INDEX('April-March'!$F:$F,MATCH($A18,'April-March'!$B:$B,0))),"")</f>
        <v/>
      </c>
      <c r="F18" s="623" t="str">
        <f>IFERROR(IF(INDEX('May-April'!$F:$F,MATCH($A18,'May-April'!$B:$B,0))="","",INDEX('May-April'!$F:$F,MATCH($A18,'May-April'!$B:$B,0))),"")</f>
        <v/>
      </c>
      <c r="G18" s="636" t="str">
        <f>IF('Jun''26'!F18="","",'Jun''26'!F18)</f>
        <v/>
      </c>
      <c r="H18" s="623">
        <f>IFERROR(IF(INDEX('Jul''26'!$F:$F,MATCH($A18,'Jul''26'!$B:$B,0))="","",INDEX('Jul''26'!$F:$F,MATCH($A18,'Jul''26'!$B:$B,0))),"")</f>
        <v>0</v>
      </c>
      <c r="I18" s="625">
        <f t="shared" ca="1" si="1"/>
        <v>0</v>
      </c>
    </row>
    <row r="19" spans="1:9">
      <c r="A19" s="620" t="str">
        <f>IF('Jun''26'!B19="","",'Jun''26'!B19)</f>
        <v>Consultancy fee</v>
      </c>
      <c r="B19" s="623">
        <f ca="1">IFERROR(IF(INDEX(Jan!$E:$E,MATCH(TRIM($A19),Jan!$B:$B,0))="","",INDEX(Jan!$E:$E,MATCH(TRIM($A19),Jan!$B:$B,0))),"")</f>
        <v>0</v>
      </c>
      <c r="C19" s="623">
        <f>IFERROR(IF(INDEX('March-Feb'!$I:$I,MATCH($A19,'March-Feb'!$B:$B,0))="","",INDEX('March-Feb'!$I:$I,MATCH($A19,'March-Feb'!$B:$B,0))),"")</f>
        <v>5914</v>
      </c>
      <c r="D19" s="623">
        <f>IFERROR(IF(INDEX('March-Feb'!$E:$E,MATCH($A19,'March-Feb'!$B:$B,0))="","",INDEX('March-Feb'!$E:$E,MATCH($A19,'March-Feb'!$B:$B,0))),"")</f>
        <v>7575</v>
      </c>
      <c r="E19" s="623">
        <f>IFERROR(IF(INDEX('April-March'!$F:$F,MATCH($A19,'April-March'!$B:$B,0))="","",INDEX('April-March'!$F:$F,MATCH($A19,'April-March'!$B:$B,0))),"")</f>
        <v>0</v>
      </c>
      <c r="F19" s="623">
        <f>IFERROR(IF(INDEX('May-April'!$F:$F,MATCH($A19,'May-April'!$B:$B,0))="","",INDEX('May-April'!$F:$F,MATCH($A19,'May-April'!$B:$B,0))),"")</f>
        <v>0</v>
      </c>
      <c r="G19" s="636">
        <f>IF('Jun''26'!F19="","",'Jun''26'!F19)</f>
        <v>0</v>
      </c>
      <c r="H19" s="623">
        <f>IFERROR(IF(INDEX('Jul''26'!$F:$F,MATCH($A19,'Jul''26'!$B:$B,0))="","",INDEX('Jul''26'!$F:$F,MATCH($A19,'Jul''26'!$B:$B,0))),"")</f>
        <v>0</v>
      </c>
      <c r="I19" s="625">
        <f t="shared" ca="1" si="1"/>
        <v>13489</v>
      </c>
    </row>
    <row r="20" spans="1:9">
      <c r="A20" s="620" t="str">
        <f>IF('Jun''26'!B20="","",'Jun''26'!B20)</f>
        <v>Operation salaries</v>
      </c>
      <c r="B20" s="623">
        <f ca="1">IFERROR(IF(INDEX(Jan!$E:$E,MATCH(TRIM($A20),Jan!$B:$B,0))="","",INDEX(Jan!$E:$E,MATCH(TRIM($A20),Jan!$B:$B,0))),"")</f>
        <v>65898.684782608703</v>
      </c>
      <c r="C20" s="623">
        <f>IFERROR(IF(INDEX('March-Feb'!$I:$I,MATCH($A20,'March-Feb'!$B:$B,0))="","",INDEX('March-Feb'!$I:$I,MATCH($A20,'March-Feb'!$B:$B,0))),"")</f>
        <v>66470</v>
      </c>
      <c r="D20" s="623">
        <f>IFERROR(IF(INDEX('March-Feb'!$E:$E,MATCH($A20,'March-Feb'!$B:$B,0))="","",INDEX('March-Feb'!$E:$E,MATCH($A20,'March-Feb'!$B:$B,0))),"")</f>
        <v>71381</v>
      </c>
      <c r="E20" s="623">
        <f>IFERROR(IF(INDEX('April-March'!$F:$F,MATCH($A20,'April-March'!$B:$B,0))="","",INDEX('April-March'!$F:$F,MATCH($A20,'April-March'!$B:$B,0))),"")</f>
        <v>62706</v>
      </c>
      <c r="F20" s="623">
        <f>IFERROR(IF(INDEX('May-April'!$F:$F,MATCH($A20,'May-April'!$B:$B,0))="","",INDEX('May-April'!$F:$F,MATCH($A20,'May-April'!$B:$B,0))),"")</f>
        <v>57391</v>
      </c>
      <c r="G20" s="636">
        <f>IF('Jun''26'!F20="","",'Jun''26'!F20)</f>
        <v>60587</v>
      </c>
      <c r="H20" s="623">
        <f>IFERROR(IF(INDEX('Jul''26'!$F:$F,MATCH($A20,'Jul''26'!$B:$B,0))="","",INDEX('Jul''26'!$F:$F,MATCH($A20,'Jul''26'!$B:$B,0))),"")</f>
        <v>64832</v>
      </c>
      <c r="I20" s="625">
        <f t="shared" ca="1" si="1"/>
        <v>449265.6847826087</v>
      </c>
    </row>
    <row r="21" spans="1:9">
      <c r="A21" s="620" t="str">
        <f>IF('Jun''26'!B21="","",'Jun''26'!B21)</f>
        <v>Ops Support Salaries</v>
      </c>
      <c r="B21" s="623">
        <f ca="1">IFERROR(IF(INDEX(Jan!$E:$E,MATCH(TRIM($A21),Jan!$B:$B,0))="","",INDEX(Jan!$E:$E,MATCH(TRIM($A21),Jan!$B:$B,0))),"")</f>
        <v>37200.967391304301</v>
      </c>
      <c r="C21" s="623">
        <f>IFERROR(IF(INDEX('March-Feb'!$I:$I,MATCH($A21,'March-Feb'!$B:$B,0))="","",INDEX('March-Feb'!$I:$I,MATCH($A21,'March-Feb'!$B:$B,0))),"")</f>
        <v>36233</v>
      </c>
      <c r="D21" s="623">
        <f>IFERROR(IF(INDEX('March-Feb'!$E:$E,MATCH($A21,'March-Feb'!$B:$B,0))="","",INDEX('March-Feb'!$E:$E,MATCH($A21,'March-Feb'!$B:$B,0))),"")</f>
        <v>41215</v>
      </c>
      <c r="E21" s="623">
        <f>IFERROR(IF(INDEX('April-March'!$F:$F,MATCH($A21,'April-March'!$B:$B,0))="","",INDEX('April-March'!$F:$F,MATCH($A21,'April-March'!$B:$B,0))),"")</f>
        <v>38087</v>
      </c>
      <c r="F21" s="623">
        <f>IFERROR(IF(INDEX('May-April'!$F:$F,MATCH($A21,'May-April'!$B:$B,0))="","",INDEX('May-April'!$F:$F,MATCH($A21,'May-April'!$B:$B,0))),"")</f>
        <v>35040</v>
      </c>
      <c r="G21" s="636">
        <f>IF('Jun''26'!F21="","",'Jun''26'!F21)</f>
        <v>33990</v>
      </c>
      <c r="H21" s="623">
        <f>IFERROR(IF(INDEX('Jul''26'!$F:$F,MATCH($A21,'Jul''26'!$B:$B,0))="","",INDEX('Jul''26'!$F:$F,MATCH($A21,'Jul''26'!$B:$B,0))),"")</f>
        <v>33513</v>
      </c>
      <c r="I21" s="625">
        <f t="shared" ca="1" si="1"/>
        <v>255278.96739130429</v>
      </c>
    </row>
    <row r="22" spans="1:9">
      <c r="A22" s="620" t="str">
        <f>IF('Jun''26'!B22="","",'Jun''26'!B22)</f>
        <v>Contract employee salaries</v>
      </c>
      <c r="B22" s="623">
        <f ca="1">IFERROR(IF(INDEX(Jan!$E:$E,MATCH(TRIM($A22),Jan!$B:$B,0))="","",INDEX(Jan!$E:$E,MATCH(TRIM($A22),Jan!$B:$B,0))),"")</f>
        <v>0</v>
      </c>
      <c r="C22" s="623">
        <f>IFERROR(IF(INDEX('March-Feb'!$I:$I,MATCH($A22,'March-Feb'!$B:$B,0))="","",INDEX('March-Feb'!$I:$I,MATCH($A22,'March-Feb'!$B:$B,0))),"")</f>
        <v>217</v>
      </c>
      <c r="D22" s="623">
        <f>IFERROR(IF(INDEX('March-Feb'!$E:$E,MATCH($A22,'March-Feb'!$B:$B,0))="","",INDEX('March-Feb'!$E:$E,MATCH($A22,'March-Feb'!$B:$B,0))),"")</f>
        <v>217</v>
      </c>
      <c r="E22" s="623">
        <f>IFERROR(IF(INDEX('April-March'!$F:$F,MATCH($A22,'April-March'!$B:$B,0))="","",INDEX('April-March'!$F:$F,MATCH($A22,'April-March'!$B:$B,0))),"")</f>
        <v>0</v>
      </c>
      <c r="F22" s="623">
        <f>IFERROR(IF(INDEX('May-April'!$F:$F,MATCH($A22,'May-April'!$B:$B,0))="","",INDEX('May-April'!$F:$F,MATCH($A22,'May-April'!$B:$B,0))),"")</f>
        <v>53</v>
      </c>
      <c r="G22" s="636">
        <f>IF('Jun''26'!F22="","",'Jun''26'!F22)</f>
        <v>213</v>
      </c>
      <c r="H22" s="623">
        <f>IFERROR(IF(INDEX('Jul''26'!$F:$F,MATCH($A22,'Jul''26'!$B:$B,0))="","",INDEX('Jul''26'!$F:$F,MATCH($A22,'Jul''26'!$B:$B,0))),"")</f>
        <v>211</v>
      </c>
      <c r="I22" s="625">
        <f t="shared" ca="1" si="1"/>
        <v>911</v>
      </c>
    </row>
    <row r="23" spans="1:9">
      <c r="A23" s="620" t="str">
        <f>IF('Jun''26'!B23="","",'Jun''26'!B23)</f>
        <v>Coding charges</v>
      </c>
      <c r="B23" s="623">
        <f ca="1">IFERROR(IF(INDEX(Jan!$E:$E,MATCH(TRIM($A23),Jan!$B:$B,0))="","",INDEX(Jan!$E:$E,MATCH(TRIM($A23),Jan!$B:$B,0))),"")</f>
        <v>0</v>
      </c>
      <c r="C23" s="623" t="str">
        <f>IFERROR(IF(INDEX('March-Feb'!$I:$I,MATCH($A23,'March-Feb'!$B:$B,0))="","",INDEX('March-Feb'!$I:$I,MATCH($A23,'March-Feb'!$B:$B,0))),"")</f>
        <v/>
      </c>
      <c r="D23" s="623">
        <f>IFERROR(IF(INDEX('March-Feb'!$E:$E,MATCH($A23,'March-Feb'!$B:$B,0))="","",INDEX('March-Feb'!$E:$E,MATCH($A23,'March-Feb'!$B:$B,0))),"")</f>
        <v>121</v>
      </c>
      <c r="E23" s="623">
        <f>IFERROR(IF(INDEX('April-March'!$F:$F,MATCH($A23,'April-March'!$B:$B,0))="","",INDEX('April-March'!$F:$F,MATCH($A23,'April-March'!$B:$B,0))),"")</f>
        <v>0</v>
      </c>
      <c r="F23" s="623">
        <f>IFERROR(IF(INDEX('May-April'!$F:$F,MATCH($A23,'May-April'!$B:$B,0))="","",INDEX('May-April'!$F:$F,MATCH($A23,'May-April'!$B:$B,0))),"")</f>
        <v>-1</v>
      </c>
      <c r="G23" s="636">
        <f>IF('Jun''26'!F23="","",'Jun''26'!F23)</f>
        <v>0</v>
      </c>
      <c r="H23" s="623">
        <f>IFERROR(IF(INDEX('Jul''26'!$F:$F,MATCH($A23,'Jul''26'!$B:$B,0))="","",INDEX('Jul''26'!$F:$F,MATCH($A23,'Jul''26'!$B:$B,0))),"")</f>
        <v>2147</v>
      </c>
      <c r="I23" s="625">
        <f t="shared" ca="1" si="1"/>
        <v>2267</v>
      </c>
    </row>
    <row r="24" spans="1:9">
      <c r="A24" s="619" t="str">
        <f>IF('Jun''26'!B24="","",'Jun''26'!B24)</f>
        <v xml:space="preserve">        Employee statutory expenses</v>
      </c>
      <c r="B24" s="626" t="str">
        <f ca="1">IFERROR(IF(INDEX(Jan!$E:$E,MATCH(TRIM($A24),Jan!$B:$B,0))="","",INDEX(Jan!$E:$E,MATCH(TRIM($A24),Jan!$B:$B,0))),"")</f>
        <v/>
      </c>
      <c r="C24" s="626">
        <f>IFERROR(IF(INDEX('March-Feb'!$I:$I,MATCH($A24,'March-Feb'!$B:$B,0))="","",INDEX('March-Feb'!$I:$I,MATCH($A24,'March-Feb'!$B:$B,0))),"")</f>
        <v>10714</v>
      </c>
      <c r="D24" s="626">
        <f>IFERROR(IF(INDEX('March-Feb'!$E:$E,MATCH($A24,'March-Feb'!$B:$B,0))="","",INDEX('March-Feb'!$E:$E,MATCH($A24,'March-Feb'!$B:$B,0))),"")</f>
        <v>11400</v>
      </c>
      <c r="E24" s="626">
        <f>IFERROR(IF(INDEX('April-March'!$F:$F,MATCH($A24,'April-March'!$B:$B,0))="","",INDEX('April-March'!$F:$F,MATCH($A24,'April-March'!$B:$B,0))),"")</f>
        <v>11371</v>
      </c>
      <c r="F24" s="626">
        <f>IFERROR(IF(INDEX('May-April'!$F:$F,MATCH($A24,'May-April'!$B:$B,0))="","",INDEX('May-April'!$F:$F,MATCH($A24,'May-April'!$B:$B,0))),"")</f>
        <v>10965</v>
      </c>
      <c r="G24" s="637">
        <f>IF('Jun''26'!F24="","",'Jun''26'!F24)</f>
        <v>11261</v>
      </c>
      <c r="H24" s="626">
        <f>IFERROR(IF(INDEX('Jul''26'!$F:$F,MATCH($A24,'Jul''26'!$B:$B,0))="","",INDEX('Jul''26'!$F:$F,MATCH($A24,'Jul''26'!$B:$B,0))),"")</f>
        <v>11693</v>
      </c>
      <c r="I24" s="625">
        <f t="shared" ca="1" si="1"/>
        <v>67404</v>
      </c>
    </row>
    <row r="25" spans="1:9">
      <c r="A25" s="620" t="str">
        <f>IF('Jun''26'!B25="","",'Jun''26'!B25)</f>
        <v>Employee ESI</v>
      </c>
      <c r="B25" s="623">
        <f ca="1">IFERROR(IF(INDEX(Jan!$E:$E,MATCH(TRIM($A25),Jan!$B:$B,0))="","",INDEX(Jan!$E:$E,MATCH(TRIM($A25),Jan!$B:$B,0))),"")</f>
        <v>82.630434782608702</v>
      </c>
      <c r="C25" s="623" t="str">
        <f>IFERROR(IF(INDEX('March-Feb'!$I:$I,MATCH($A25,'March-Feb'!$B:$B,0))="","",INDEX('March-Feb'!$I:$I,MATCH($A25,'March-Feb'!$B:$B,0))),"")</f>
        <v/>
      </c>
      <c r="D25" s="623" t="str">
        <f>IFERROR(IF(INDEX('March-Feb'!$E:$E,MATCH($A25,'March-Feb'!$B:$B,0))="","",INDEX('March-Feb'!$E:$E,MATCH($A25,'March-Feb'!$B:$B,0))),"")</f>
        <v/>
      </c>
      <c r="E25" s="623" t="str">
        <f>IFERROR(IF(INDEX('April-March'!$F:$F,MATCH($A25,'April-March'!$B:$B,0))="","",INDEX('April-March'!$F:$F,MATCH($A25,'April-March'!$B:$B,0))),"")</f>
        <v/>
      </c>
      <c r="F25" s="623" t="str">
        <f>IFERROR(IF(INDEX('May-April'!$F:$F,MATCH($A25,'May-April'!$B:$B,0))="","",INDEX('May-April'!$F:$F,MATCH($A25,'May-April'!$B:$B,0))),"")</f>
        <v/>
      </c>
      <c r="G25" s="636" t="str">
        <f>IF('Jun''26'!F25="","",'Jun''26'!F25)</f>
        <v/>
      </c>
      <c r="H25" s="623">
        <f>IFERROR(IF(INDEX('Jul''26'!$F:$F,MATCH($A25,'Jul''26'!$B:$B,0))="","",INDEX('Jul''26'!$F:$F,MATCH($A25,'Jul''26'!$B:$B,0))),"")</f>
        <v>0</v>
      </c>
      <c r="I25" s="625">
        <f t="shared" ca="1" si="1"/>
        <v>82.630434782608702</v>
      </c>
    </row>
    <row r="26" spans="1:9">
      <c r="A26" s="620" t="str">
        <f>IF('Jun''26'!B26="","",'Jun''26'!B26)</f>
        <v>EPF Admin Charges</v>
      </c>
      <c r="B26" s="623">
        <f ca="1">IFERROR(IF(INDEX(Jan!$E:$E,MATCH(TRIM($A26),Jan!$B:$B,0))="","",INDEX(Jan!$E:$E,MATCH(TRIM($A26),Jan!$B:$B,0))),"")</f>
        <v>406.91304347826099</v>
      </c>
      <c r="C26" s="623">
        <f>IFERROR(IF(INDEX('March-Feb'!$I:$I,MATCH($A26,'March-Feb'!$B:$B,0))="","",INDEX('March-Feb'!$I:$I,MATCH($A26,'March-Feb'!$B:$B,0))),"")</f>
        <v>370</v>
      </c>
      <c r="D26" s="623">
        <f>IFERROR(IF(INDEX('March-Feb'!$E:$E,MATCH($A26,'March-Feb'!$B:$B,0))="","",INDEX('March-Feb'!$E:$E,MATCH($A26,'March-Feb'!$B:$B,0))),"")</f>
        <v>392</v>
      </c>
      <c r="E26" s="623">
        <f>IFERROR(IF(INDEX('April-March'!$F:$F,MATCH($A26,'April-March'!$B:$B,0))="","",INDEX('April-March'!$F:$F,MATCH($A26,'April-March'!$B:$B,0))),"")</f>
        <v>411</v>
      </c>
      <c r="F26" s="623">
        <f>IFERROR(IF(INDEX('May-April'!$F:$F,MATCH($A26,'May-April'!$B:$B,0))="","",INDEX('May-April'!$F:$F,MATCH($A26,'May-April'!$B:$B,0))),"")</f>
        <v>381</v>
      </c>
      <c r="G26" s="636">
        <f>IF('Jun''26'!F26="","",'Jun''26'!F26)</f>
        <v>396</v>
      </c>
      <c r="H26" s="623">
        <f>IFERROR(IF(INDEX('Jul''26'!$F:$F,MATCH($A26,'Jul''26'!$B:$B,0))="","",INDEX('Jul''26'!$F:$F,MATCH($A26,'Jul''26'!$B:$B,0))),"")</f>
        <v>413</v>
      </c>
      <c r="I26" s="625">
        <f t="shared" ca="1" si="1"/>
        <v>2769.913043478261</v>
      </c>
    </row>
    <row r="27" spans="1:9">
      <c r="A27" s="620" t="str">
        <f>IF('Jun''26'!B27="","",'Jun''26'!B27)</f>
        <v>Employee PF</v>
      </c>
      <c r="B27" s="623">
        <f ca="1">IFERROR(IF(INDEX(Jan!$E:$E,MATCH(TRIM($A27),Jan!$B:$B,0))="","",INDEX(Jan!$E:$E,MATCH(TRIM($A27),Jan!$B:$B,0))),"")</f>
        <v>5078.7173913043498</v>
      </c>
      <c r="C27" s="623">
        <f>IFERROR(IF(INDEX('March-Feb'!$I:$I,MATCH($A27,'March-Feb'!$B:$B,0))="","",INDEX('March-Feb'!$I:$I,MATCH($A27,'March-Feb'!$B:$B,0))),"")</f>
        <v>9273</v>
      </c>
      <c r="D27" s="623">
        <f>IFERROR(IF(INDEX('March-Feb'!$E:$E,MATCH($A27,'March-Feb'!$B:$B,0))="","",INDEX('March-Feb'!$E:$E,MATCH($A27,'March-Feb'!$B:$B,0))),"")</f>
        <v>9964</v>
      </c>
      <c r="E27" s="623">
        <f>IFERROR(IF(INDEX('April-March'!$F:$F,MATCH($A27,'April-March'!$B:$B,0))="","",INDEX('April-March'!$F:$F,MATCH($A27,'April-March'!$B:$B,0))),"")</f>
        <v>9958</v>
      </c>
      <c r="F27" s="623">
        <f>IFERROR(IF(INDEX('May-April'!$F:$F,MATCH($A27,'May-April'!$B:$B,0))="","",INDEX('May-April'!$F:$F,MATCH($A27,'May-April'!$B:$B,0))),"")</f>
        <v>9488</v>
      </c>
      <c r="G27" s="636">
        <f>IF('Jun''26'!F27="","",'Jun''26'!F27)</f>
        <v>9833</v>
      </c>
      <c r="H27" s="623">
        <f>IFERROR(IF(INDEX('Jul''26'!$F:$F,MATCH($A27,'Jul''26'!$B:$B,0))="","",INDEX('Jul''26'!$F:$F,MATCH($A27,'Jul''26'!$B:$B,0))),"")</f>
        <v>10249</v>
      </c>
      <c r="I27" s="625">
        <f t="shared" ca="1" si="1"/>
        <v>63843.717391304352</v>
      </c>
    </row>
    <row r="28" spans="1:9">
      <c r="A28" s="620" t="str">
        <f>IF('Jun''26'!B28="","",'Jun''26'!B28)</f>
        <v>Employer ESI</v>
      </c>
      <c r="B28" s="623">
        <f ca="1">IFERROR(IF(INDEX(Jan!$E:$E,MATCH(TRIM($A28),Jan!$B:$B,0))="","",INDEX(Jan!$E:$E,MATCH(TRIM($A28),Jan!$B:$B,0))),"")</f>
        <v>356.89130434782601</v>
      </c>
      <c r="C28" s="623">
        <f>IFERROR(IF(INDEX('March-Feb'!$I:$I,MATCH($A28,'March-Feb'!$B:$B,0))="","",INDEX('March-Feb'!$I:$I,MATCH($A28,'March-Feb'!$B:$B,0))),"")</f>
        <v>428</v>
      </c>
      <c r="D28" s="623">
        <f>IFERROR(IF(INDEX('March-Feb'!$E:$E,MATCH($A28,'March-Feb'!$B:$B,0))="","",INDEX('March-Feb'!$E:$E,MATCH($A28,'March-Feb'!$B:$B,0))),"")</f>
        <v>404</v>
      </c>
      <c r="E28" s="623">
        <f>IFERROR(IF(INDEX('April-March'!$F:$F,MATCH($A28,'April-March'!$B:$B,0))="","",INDEX('April-March'!$F:$F,MATCH($A28,'April-March'!$B:$B,0))),"")</f>
        <v>391</v>
      </c>
      <c r="F28" s="623">
        <f>IFERROR(IF(INDEX('May-April'!$F:$F,MATCH($A28,'May-April'!$B:$B,0))="","",INDEX('May-April'!$F:$F,MATCH($A28,'May-April'!$B:$B,0))),"")</f>
        <v>365</v>
      </c>
      <c r="G28" s="636">
        <f>IF('Jun''26'!F28="","",'Jun''26'!F28)</f>
        <v>381</v>
      </c>
      <c r="H28" s="623">
        <f>IFERROR(IF(INDEX('Jul''26'!$F:$F,MATCH($A28,'Jul''26'!$B:$B,0))="","",INDEX('Jul''26'!$F:$F,MATCH($A28,'Jul''26'!$B:$B,0))),"")</f>
        <v>341</v>
      </c>
      <c r="I28" s="625">
        <f t="shared" ca="1" si="1"/>
        <v>2666.891304347826</v>
      </c>
    </row>
    <row r="29" spans="1:9">
      <c r="A29" s="620" t="str">
        <f>IF('Jun''26'!B29="","",'Jun''26'!B29)</f>
        <v>Employer PF</v>
      </c>
      <c r="B29" s="623">
        <f ca="1">IFERROR(IF(INDEX(Jan!$E:$E,MATCH(TRIM($A29),Jan!$B:$B,0))="","",INDEX(Jan!$E:$E,MATCH(TRIM($A29),Jan!$B:$B,0))),"")</f>
        <v>5078.7173913043498</v>
      </c>
      <c r="C29" s="623" t="str">
        <f>IFERROR(IF(INDEX('March-Feb'!$I:$I,MATCH($A29,'March-Feb'!$B:$B,0))="","",INDEX('March-Feb'!$I:$I,MATCH($A29,'March-Feb'!$B:$B,0))),"")</f>
        <v/>
      </c>
      <c r="D29" s="623" t="str">
        <f>IFERROR(IF(INDEX('March-Feb'!$E:$E,MATCH($A29,'March-Feb'!$B:$B,0))="","",INDEX('March-Feb'!$E:$E,MATCH($A29,'March-Feb'!$B:$B,0))),"")</f>
        <v/>
      </c>
      <c r="E29" s="623" t="str">
        <f>IFERROR(IF(INDEX('April-March'!$F:$F,MATCH($A29,'April-March'!$B:$B,0))="","",INDEX('April-March'!$F:$F,MATCH($A29,'April-March'!$B:$B,0))),"")</f>
        <v/>
      </c>
      <c r="F29" s="623" t="str">
        <f>IFERROR(IF(INDEX('May-April'!$F:$F,MATCH($A29,'May-April'!$B:$B,0))="","",INDEX('May-April'!$F:$F,MATCH($A29,'May-April'!$B:$B,0))),"")</f>
        <v/>
      </c>
      <c r="G29" s="636" t="str">
        <f>IF('Jun''26'!F29="","",'Jun''26'!F29)</f>
        <v/>
      </c>
      <c r="H29" s="623">
        <f>IFERROR(IF(INDEX('Jul''26'!$F:$F,MATCH($A29,'Jul''26'!$B:$B,0))="","",INDEX('Jul''26'!$F:$F,MATCH($A29,'Jul''26'!$B:$B,0))),"")</f>
        <v>0</v>
      </c>
      <c r="I29" s="625">
        <f t="shared" ca="1" si="1"/>
        <v>5078.7173913043498</v>
      </c>
    </row>
    <row r="30" spans="1:9">
      <c r="A30" s="620" t="str">
        <f>IF('Jun''26'!B30="","",'Jun''26'!B30)</f>
        <v>Professional tax</v>
      </c>
      <c r="B30" s="623">
        <f ca="1">IFERROR(IF(INDEX(Jan!$E:$E,MATCH(TRIM($A30),Jan!$B:$B,0))="","",INDEX(Jan!$E:$E,MATCH(TRIM($A30),Jan!$B:$B,0))),"")</f>
        <v>747.91304347826099</v>
      </c>
      <c r="C30" s="623">
        <f>IFERROR(IF(INDEX('March-Feb'!$I:$I,MATCH($A30,'March-Feb'!$B:$B,0))="","",INDEX('March-Feb'!$I:$I,MATCH($A30,'March-Feb'!$B:$B,0))),"")</f>
        <v>644</v>
      </c>
      <c r="D30" s="623">
        <f>IFERROR(IF(INDEX('March-Feb'!$E:$E,MATCH($A30,'March-Feb'!$B:$B,0))="","",INDEX('March-Feb'!$E:$E,MATCH($A30,'March-Feb'!$B:$B,0))),"")</f>
        <v>639</v>
      </c>
      <c r="E30" s="623">
        <f>IFERROR(IF(INDEX('April-March'!$F:$F,MATCH($A30,'April-March'!$B:$B,0))="","",INDEX('April-March'!$F:$F,MATCH($A30,'April-March'!$B:$B,0))),"")</f>
        <v>610</v>
      </c>
      <c r="F30" s="623">
        <f>IFERROR(IF(INDEX('May-April'!$F:$F,MATCH($A30,'May-April'!$B:$B,0))="","",INDEX('May-April'!$F:$F,MATCH($A30,'May-April'!$B:$B,0))),"")</f>
        <v>597</v>
      </c>
      <c r="G30" s="636">
        <f>IF('Jun''26'!F30="","",'Jun''26'!F30)</f>
        <v>651</v>
      </c>
      <c r="H30" s="623">
        <f>IFERROR(IF(INDEX('Jul''26'!$F:$F,MATCH($A30,'Jul''26'!$B:$B,0))="","",INDEX('Jul''26'!$F:$F,MATCH($A30,'Jul''26'!$B:$B,0))),"")</f>
        <v>690</v>
      </c>
      <c r="I30" s="625">
        <f t="shared" ca="1" si="1"/>
        <v>4578.913043478261</v>
      </c>
    </row>
    <row r="31" spans="1:9">
      <c r="A31" s="620" t="str">
        <f>IF('Jun''26'!B31="","",'Jun''26'!B31)</f>
        <v>Interest on TDS</v>
      </c>
      <c r="B31" s="623">
        <f ca="1">IFERROR(IF(INDEX(Jan!$E:$E,MATCH(TRIM($A31),Jan!$B:$B,0))="","",INDEX(Jan!$E:$E,MATCH(TRIM($A31),Jan!$B:$B,0))),"")</f>
        <v>0</v>
      </c>
      <c r="C31" s="623" t="str">
        <f>IFERROR(IF(INDEX('March-Feb'!$I:$I,MATCH($A31,'March-Feb'!$B:$B,0))="","",INDEX('March-Feb'!$I:$I,MATCH($A31,'March-Feb'!$B:$B,0))),"")</f>
        <v/>
      </c>
      <c r="D31" s="623" t="str">
        <f>IFERROR(IF(INDEX('March-Feb'!$E:$E,MATCH($A31,'March-Feb'!$B:$B,0))="","",INDEX('March-Feb'!$E:$E,MATCH($A31,'March-Feb'!$B:$B,0))),"")</f>
        <v/>
      </c>
      <c r="E31" s="623" t="str">
        <f>IFERROR(IF(INDEX('April-March'!$F:$F,MATCH($A31,'April-March'!$B:$B,0))="","",INDEX('April-March'!$F:$F,MATCH($A31,'April-March'!$B:$B,0))),"")</f>
        <v/>
      </c>
      <c r="F31" s="623">
        <f>IFERROR(IF(INDEX('May-April'!$F:$F,MATCH($A31,'May-April'!$B:$B,0))="","",INDEX('May-April'!$F:$F,MATCH($A31,'May-April'!$B:$B,0))),"")</f>
        <v>8</v>
      </c>
      <c r="G31" s="636">
        <f>IF('Jun''26'!F31="","",'Jun''26'!F31)</f>
        <v>0</v>
      </c>
      <c r="H31" s="623">
        <f>IFERROR(IF(INDEX('Jul''26'!$F:$F,MATCH($A31,'Jul''26'!$B:$B,0))="","",INDEX('Jul''26'!$F:$F,MATCH($A31,'Jul''26'!$B:$B,0))),"")</f>
        <v>0</v>
      </c>
      <c r="I31" s="625">
        <f t="shared" ca="1" si="1"/>
        <v>8</v>
      </c>
    </row>
    <row r="32" spans="1:9">
      <c r="A32" s="620" t="str">
        <f>IF('Jun''26'!B32="","",'Jun''26'!B32)</f>
        <v>Interest on employee statutory dues</v>
      </c>
      <c r="B32" s="623">
        <f ca="1">IFERROR(IF(INDEX(Jan!$E:$E,MATCH(TRIM($A32),Jan!$B:$B,0))="","",INDEX(Jan!$E:$E,MATCH(TRIM($A32),Jan!$B:$B,0))),"")</f>
        <v>0</v>
      </c>
      <c r="C32" s="623" t="str">
        <f>IFERROR(IF(INDEX('March-Feb'!$I:$I,MATCH($A32,'March-Feb'!$B:$B,0))="","",INDEX('March-Feb'!$I:$I,MATCH($A32,'March-Feb'!$B:$B,0))),"")</f>
        <v/>
      </c>
      <c r="D32" s="623" t="str">
        <f>IFERROR(IF(INDEX('March-Feb'!$E:$E,MATCH($A32,'March-Feb'!$B:$B,0))="","",INDEX('March-Feb'!$E:$E,MATCH($A32,'March-Feb'!$B:$B,0))),"")</f>
        <v/>
      </c>
      <c r="E32" s="623" t="str">
        <f>IFERROR(IF(INDEX('April-March'!$F:$F,MATCH($A32,'April-March'!$B:$B,0))="","",INDEX('April-March'!$F:$F,MATCH($A32,'April-March'!$B:$B,0))),"")</f>
        <v/>
      </c>
      <c r="F32" s="623" t="str">
        <f>IFERROR(IF(INDEX('May-April'!$F:$F,MATCH($A32,'May-April'!$B:$B,0))="","",INDEX('May-April'!$F:$F,MATCH($A32,'May-April'!$B:$B,0))),"")</f>
        <v/>
      </c>
      <c r="G32" s="636" t="str">
        <f>IF('Jun''26'!F32="","",'Jun''26'!F32)</f>
        <v/>
      </c>
      <c r="H32" s="623">
        <f>IFERROR(IF(INDEX('Jul''26'!$F:$F,MATCH($A32,'Jul''26'!$B:$B,0))="","",INDEX('Jul''26'!$F:$F,MATCH($A32,'Jul''26'!$B:$B,0))),"")</f>
        <v>0</v>
      </c>
      <c r="I32" s="625">
        <f t="shared" ca="1" si="1"/>
        <v>0</v>
      </c>
    </row>
    <row r="33" spans="1:9">
      <c r="A33" s="620" t="str">
        <f>IF('Jun''26'!B33="","",'Jun''26'!B33)</f>
        <v>Interest on Advance Tax</v>
      </c>
      <c r="B33" s="623" t="str">
        <f ca="1">IFERROR(IF(INDEX(Jan!$E:$E,MATCH(TRIM($A33),Jan!$B:$B,0))="","",INDEX(Jan!$E:$E,MATCH(TRIM($A33),Jan!$B:$B,0))),"")</f>
        <v/>
      </c>
      <c r="C33" s="623" t="str">
        <f>IFERROR(IF(INDEX('March-Feb'!$I:$I,MATCH($A33,'March-Feb'!$B:$B,0))="","",INDEX('March-Feb'!$I:$I,MATCH($A33,'March-Feb'!$B:$B,0))),"")</f>
        <v/>
      </c>
      <c r="D33" s="623" t="str">
        <f>IFERROR(IF(INDEX('March-Feb'!$E:$E,MATCH($A33,'March-Feb'!$B:$B,0))="","",INDEX('March-Feb'!$E:$E,MATCH($A33,'March-Feb'!$B:$B,0))),"")</f>
        <v/>
      </c>
      <c r="E33" s="623" t="str">
        <f>IFERROR(IF(INDEX('April-March'!$F:$F,MATCH($A33,'April-March'!$B:$B,0))="","",INDEX('April-March'!$F:$F,MATCH($A33,'April-March'!$B:$B,0))),"")</f>
        <v/>
      </c>
      <c r="F33" s="623">
        <f>IFERROR(IF(INDEX('May-April'!$F:$F,MATCH($A33,'May-April'!$B:$B,0))="","",INDEX('May-April'!$F:$F,MATCH($A33,'May-April'!$B:$B,0))),"")</f>
        <v>127</v>
      </c>
      <c r="G33" s="636">
        <f>IF('Jun''26'!F33="","",'Jun''26'!F33)</f>
        <v>0</v>
      </c>
      <c r="H33" s="623">
        <f>IFERROR(IF(INDEX('Jul''26'!$F:$F,MATCH($A33,'Jul''26'!$B:$B,0))="","",INDEX('Jul''26'!$F:$F,MATCH($A33,'Jul''26'!$B:$B,0))),"")</f>
        <v>0</v>
      </c>
      <c r="I33" s="625">
        <f t="shared" ca="1" si="1"/>
        <v>127</v>
      </c>
    </row>
    <row r="34" spans="1:9">
      <c r="A34" s="619" t="str">
        <f>IF('Jun''26'!B34="","",'Jun''26'!B34)</f>
        <v xml:space="preserve">        Facility Cost</v>
      </c>
      <c r="B34" s="626">
        <f ca="1">IFERROR(IF(INDEX(Jan!$E:$E,MATCH(TRIM($A34),Jan!$B:$B,0))="","",INDEX(Jan!$E:$E,MATCH(TRIM($A34),Jan!$B:$B,0))),"")</f>
        <v>15975.718478260877</v>
      </c>
      <c r="C34" s="626">
        <f>IFERROR(IF(INDEX('March-Feb'!$I:$I,MATCH($A34,'March-Feb'!$B:$B,0))="","",INDEX('March-Feb'!$I:$I,MATCH($A34,'March-Feb'!$B:$B,0))),"")</f>
        <v>15082</v>
      </c>
      <c r="D34" s="626">
        <f>IFERROR(IF(INDEX('March-Feb'!$E:$E,MATCH($A34,'March-Feb'!$B:$B,0))="","",INDEX('March-Feb'!$E:$E,MATCH($A34,'March-Feb'!$B:$B,0))),"")</f>
        <v>15533</v>
      </c>
      <c r="E34" s="626">
        <f>IFERROR(IF(INDEX('April-March'!$F:$F,MATCH($A34,'April-March'!$B:$B,0))="","",INDEX('April-March'!$F:$F,MATCH($A34,'April-March'!$B:$B,0))),"")</f>
        <v>14894</v>
      </c>
      <c r="F34" s="626">
        <f>IFERROR(IF(INDEX('May-April'!$F:$F,MATCH($A34,'May-April'!$B:$B,0))="","",INDEX('May-April'!$F:$F,MATCH($A34,'May-April'!$B:$B,0))),"")</f>
        <v>17229</v>
      </c>
      <c r="G34" s="637">
        <f>IF('Jun''26'!F34="","",'Jun''26'!F34)</f>
        <v>15275</v>
      </c>
      <c r="H34" s="626">
        <f>IFERROR(IF(INDEX('Jul''26'!$F:$F,MATCH($A34,'Jul''26'!$B:$B,0))="","",INDEX('Jul''26'!$F:$F,MATCH($A34,'Jul''26'!$B:$B,0))),"")</f>
        <v>18345</v>
      </c>
      <c r="I34" s="625">
        <f t="shared" ca="1" si="1"/>
        <v>112333.71847826088</v>
      </c>
    </row>
    <row r="35" spans="1:9">
      <c r="A35" s="620" t="str">
        <f>IF('Jun''26'!B35="","",'Jun''26'!B35)</f>
        <v>Electricity</v>
      </c>
      <c r="B35" s="623">
        <f ca="1">IFERROR(IF(INDEX(Jan!$E:$E,MATCH(TRIM($A35),Jan!$B:$B,0))="","",INDEX(Jan!$E:$E,MATCH(TRIM($A35),Jan!$B:$B,0))),"")</f>
        <v>0</v>
      </c>
      <c r="C35" s="623" t="str">
        <f>IFERROR(IF(INDEX('March-Feb'!$I:$I,MATCH($A35,'March-Feb'!$B:$B,0))="","",INDEX('March-Feb'!$I:$I,MATCH($A35,'March-Feb'!$B:$B,0))),"")</f>
        <v/>
      </c>
      <c r="D35" s="623" t="str">
        <f>IFERROR(IF(INDEX('March-Feb'!$E:$E,MATCH($A35,'March-Feb'!$B:$B,0))="","",INDEX('March-Feb'!$E:$E,MATCH($A35,'March-Feb'!$B:$B,0))),"")</f>
        <v/>
      </c>
      <c r="E35" s="623" t="str">
        <f>IFERROR(IF(INDEX('April-March'!$F:$F,MATCH($A35,'April-March'!$B:$B,0))="","",INDEX('April-March'!$F:$F,MATCH($A35,'April-March'!$B:$B,0))),"")</f>
        <v/>
      </c>
      <c r="F35" s="623" t="str">
        <f>IFERROR(IF(INDEX('May-April'!$F:$F,MATCH($A35,'May-April'!$B:$B,0))="","",INDEX('May-April'!$F:$F,MATCH($A35,'May-April'!$B:$B,0))),"")</f>
        <v/>
      </c>
      <c r="G35" s="636" t="str">
        <f>IF('Jun''26'!F35="","",'Jun''26'!F35)</f>
        <v/>
      </c>
      <c r="H35" s="623">
        <f>IFERROR(IF(INDEX('Jul''26'!$F:$F,MATCH($A35,'Jul''26'!$B:$B,0))="","",INDEX('Jul''26'!$F:$F,MATCH($A35,'Jul''26'!$B:$B,0))),"")</f>
        <v>0</v>
      </c>
      <c r="I35" s="625">
        <f t="shared" ca="1" si="1"/>
        <v>0</v>
      </c>
    </row>
    <row r="36" spans="1:9">
      <c r="A36" s="620" t="str">
        <f>IF('Jun''26'!B36="","",'Jun''26'!B36)</f>
        <v>Electricity Expense</v>
      </c>
      <c r="B36" s="623">
        <f ca="1">IFERROR(IF(INDEX(Jan!$E:$E,MATCH(TRIM($A36),Jan!$B:$B,0))="","",INDEX(Jan!$E:$E,MATCH(TRIM($A36),Jan!$B:$B,0))),"")</f>
        <v>1968.04347826087</v>
      </c>
      <c r="C36" s="623">
        <f>IFERROR(IF(INDEX('March-Feb'!$I:$I,MATCH($A36,'March-Feb'!$B:$B,0))="","",INDEX('March-Feb'!$I:$I,MATCH($A36,'March-Feb'!$B:$B,0))),"")</f>
        <v>3064</v>
      </c>
      <c r="D36" s="623">
        <f>IFERROR(IF(INDEX('March-Feb'!$E:$E,MATCH($A36,'March-Feb'!$B:$B,0))="","",INDEX('March-Feb'!$E:$E,MATCH($A36,'March-Feb'!$B:$B,0))),"")</f>
        <v>2676</v>
      </c>
      <c r="E36" s="623">
        <f>IFERROR(IF(INDEX('April-March'!$F:$F,MATCH($A36,'April-March'!$B:$B,0))="","",INDEX('April-March'!$F:$F,MATCH($A36,'April-March'!$B:$B,0))),"")</f>
        <v>2980</v>
      </c>
      <c r="F36" s="623">
        <f>IFERROR(IF(INDEX('May-April'!$F:$F,MATCH($A36,'May-April'!$B:$B,0))="","",INDEX('May-April'!$F:$F,MATCH($A36,'May-April'!$B:$B,0))),"")</f>
        <v>2663</v>
      </c>
      <c r="G36" s="636">
        <f>IF('Jun''26'!F36="","",'Jun''26'!F36)</f>
        <v>3476</v>
      </c>
      <c r="H36" s="623">
        <f>IFERROR(IF(INDEX('Jul''26'!$F:$F,MATCH($A36,'Jul''26'!$B:$B,0))="","",INDEX('Jul''26'!$F:$F,MATCH($A36,'Jul''26'!$B:$B,0))),"")</f>
        <v>4842</v>
      </c>
      <c r="I36" s="625">
        <f t="shared" ca="1" si="1"/>
        <v>21669.043478260872</v>
      </c>
    </row>
    <row r="37" spans="1:9">
      <c r="A37" s="620" t="str">
        <f>IF('Jun''26'!B37="","",'Jun''26'!B37)</f>
        <v>Computer maintenance</v>
      </c>
      <c r="B37" s="623">
        <f ca="1">IFERROR(IF(INDEX(Jan!$E:$E,MATCH(TRIM($A37),Jan!$B:$B,0))="","",INDEX(Jan!$E:$E,MATCH(TRIM($A37),Jan!$B:$B,0))),"")</f>
        <v>0</v>
      </c>
      <c r="C37" s="623" t="str">
        <f>IFERROR(IF(INDEX('March-Feb'!$I:$I,MATCH($A37,'March-Feb'!$B:$B,0))="","",INDEX('March-Feb'!$I:$I,MATCH($A37,'March-Feb'!$B:$B,0))),"")</f>
        <v/>
      </c>
      <c r="D37" s="623" t="str">
        <f>IFERROR(IF(INDEX('March-Feb'!$E:$E,MATCH($A37,'March-Feb'!$B:$B,0))="","",INDEX('March-Feb'!$E:$E,MATCH($A37,'March-Feb'!$B:$B,0))),"")</f>
        <v/>
      </c>
      <c r="E37" s="623" t="str">
        <f>IFERROR(IF(INDEX('April-March'!$F:$F,MATCH($A37,'April-March'!$B:$B,0))="","",INDEX('April-March'!$F:$F,MATCH($A37,'April-March'!$B:$B,0))),"")</f>
        <v/>
      </c>
      <c r="F37" s="623" t="str">
        <f>IFERROR(IF(INDEX('May-April'!$F:$F,MATCH($A37,'May-April'!$B:$B,0))="","",INDEX('May-April'!$F:$F,MATCH($A37,'May-April'!$B:$B,0))),"")</f>
        <v/>
      </c>
      <c r="G37" s="636" t="str">
        <f>IF('Jun''26'!F37="","",'Jun''26'!F37)</f>
        <v/>
      </c>
      <c r="H37" s="623">
        <f>IFERROR(IF(INDEX('Jul''26'!$F:$F,MATCH($A37,'Jul''26'!$B:$B,0))="","",INDEX('Jul''26'!$F:$F,MATCH($A37,'Jul''26'!$B:$B,0))),"")</f>
        <v>0</v>
      </c>
      <c r="I37" s="625">
        <f t="shared" ca="1" si="1"/>
        <v>0</v>
      </c>
    </row>
    <row r="38" spans="1:9">
      <c r="A38" s="620" t="str">
        <f>IF('Jun''26'!B38="","",'Jun''26'!B38)</f>
        <v>Janani Property Maintenance Charges</v>
      </c>
      <c r="B38" s="623">
        <f ca="1">IFERROR(IF(INDEX(Jan!$E:$E,MATCH(TRIM($A38),Jan!$B:$B,0))="","",INDEX(Jan!$E:$E,MATCH(TRIM($A38),Jan!$B:$B,0))),"")</f>
        <v>743.04347826086996</v>
      </c>
      <c r="C38" s="623">
        <f>IFERROR(IF(INDEX('March-Feb'!$I:$I,MATCH($A38,'March-Feb'!$B:$B,0))="","",INDEX('March-Feb'!$I:$I,MATCH($A38,'March-Feb'!$B:$B,0))),"")</f>
        <v>743</v>
      </c>
      <c r="D38" s="623">
        <f>IFERROR(IF(INDEX('March-Feb'!$E:$E,MATCH($A38,'March-Feb'!$B:$B,0))="","",INDEX('March-Feb'!$E:$E,MATCH($A38,'March-Feb'!$B:$B,0))),"")</f>
        <v>743</v>
      </c>
      <c r="E38" s="623">
        <f>IFERROR(IF(INDEX('April-March'!$F:$F,MATCH($A38,'April-March'!$B:$B,0))="","",INDEX('April-March'!$F:$F,MATCH($A38,'April-March'!$B:$B,0))),"")</f>
        <v>743</v>
      </c>
      <c r="F38" s="623">
        <f>IFERROR(IF(INDEX('May-April'!$F:$F,MATCH($A38,'May-April'!$B:$B,0))="","",INDEX('May-April'!$F:$F,MATCH($A38,'May-April'!$B:$B,0))),"")</f>
        <v>719</v>
      </c>
      <c r="G38" s="636">
        <f>IF('Jun''26'!F38="","",'Jun''26'!F38)</f>
        <v>727</v>
      </c>
      <c r="H38" s="623">
        <f>IFERROR(IF(INDEX('Jul''26'!$F:$F,MATCH($A38,'Jul''26'!$B:$B,0))="","",INDEX('Jul''26'!$F:$F,MATCH($A38,'Jul''26'!$B:$B,0))),"")</f>
        <v>317</v>
      </c>
      <c r="I38" s="625">
        <f t="shared" ca="1" si="1"/>
        <v>4735.04347826087</v>
      </c>
    </row>
    <row r="39" spans="1:9">
      <c r="A39" s="620" t="str">
        <f>IF('Jun''26'!B39="","",'Jun''26'!B39)</f>
        <v>Janani Property Rental Charges</v>
      </c>
      <c r="B39" s="623">
        <f ca="1">IFERROR(IF(INDEX(Jan!$E:$E,MATCH(TRIM($A39),Jan!$B:$B,0))="","",INDEX(Jan!$E:$E,MATCH(TRIM($A39),Jan!$B:$B,0))),"")</f>
        <v>4301.8369565217399</v>
      </c>
      <c r="C39" s="623">
        <f>IFERROR(IF(INDEX('March-Feb'!$I:$I,MATCH($A39,'March-Feb'!$B:$B,0))="","",INDEX('March-Feb'!$I:$I,MATCH($A39,'March-Feb'!$B:$B,0))),"")</f>
        <v>4302</v>
      </c>
      <c r="D39" s="623">
        <f>IFERROR(IF(INDEX('March-Feb'!$E:$E,MATCH($A39,'March-Feb'!$B:$B,0))="","",INDEX('March-Feb'!$E:$E,MATCH($A39,'March-Feb'!$B:$B,0))),"")</f>
        <v>4302</v>
      </c>
      <c r="E39" s="623">
        <f>IFERROR(IF(INDEX('April-March'!$F:$F,MATCH($A39,'April-March'!$B:$B,0))="","",INDEX('April-March'!$F:$F,MATCH($A39,'April-March'!$B:$B,0))),"")</f>
        <v>4302</v>
      </c>
      <c r="F39" s="623">
        <f>IFERROR(IF(INDEX('May-April'!$F:$F,MATCH($A39,'May-April'!$B:$B,0))="","",INDEX('May-April'!$F:$F,MATCH($A39,'May-April'!$B:$B,0))),"")</f>
        <v>4162</v>
      </c>
      <c r="G39" s="636">
        <f>IF('Jun''26'!F39="","",'Jun''26'!F39)</f>
        <v>4210</v>
      </c>
      <c r="H39" s="623">
        <f>IFERROR(IF(INDEX('Jul''26'!$F:$F,MATCH($A39,'Jul''26'!$B:$B,0))="","",INDEX('Jul''26'!$F:$F,MATCH($A39,'Jul''26'!$B:$B,0))),"")</f>
        <v>1834</v>
      </c>
      <c r="I39" s="625">
        <f t="shared" ca="1" si="1"/>
        <v>27413.83695652174</v>
      </c>
    </row>
    <row r="40" spans="1:9">
      <c r="A40" s="620" t="str">
        <f>IF('Jun''26'!B40="","",'Jun''26'!B40)</f>
        <v>Laptop Rental Charges</v>
      </c>
      <c r="B40" s="623">
        <f ca="1">IFERROR(IF(INDEX(Jan!$E:$E,MATCH(TRIM($A40),Jan!$B:$B,0))="","",INDEX(Jan!$E:$E,MATCH(TRIM($A40),Jan!$B:$B,0))),"")</f>
        <v>2057.9032608695702</v>
      </c>
      <c r="C40" s="623">
        <f>IFERROR(IF(INDEX('March-Feb'!$I:$I,MATCH($A40,'March-Feb'!$B:$B,0))="","",INDEX('March-Feb'!$I:$I,MATCH($A40,'March-Feb'!$B:$B,0))),"")</f>
        <v>2068</v>
      </c>
      <c r="D40" s="623">
        <f>IFERROR(IF(INDEX('March-Feb'!$E:$E,MATCH($A40,'March-Feb'!$B:$B,0))="","",INDEX('March-Feb'!$E:$E,MATCH($A40,'March-Feb'!$B:$B,0))),"")</f>
        <v>1907</v>
      </c>
      <c r="E40" s="623">
        <f>IFERROR(IF(INDEX('April-March'!$F:$F,MATCH($A40,'April-March'!$B:$B,0))="","",INDEX('April-March'!$F:$F,MATCH($A40,'April-March'!$B:$B,0))),"")</f>
        <v>1964</v>
      </c>
      <c r="F40" s="623">
        <f>IFERROR(IF(INDEX('May-April'!$F:$F,MATCH($A40,'May-April'!$B:$B,0))="","",INDEX('May-April'!$F:$F,MATCH($A40,'May-April'!$B:$B,0))),"")</f>
        <v>1924</v>
      </c>
      <c r="G40" s="636">
        <f>IF('Jun''26'!F40="","",'Jun''26'!F40)</f>
        <v>2049</v>
      </c>
      <c r="H40" s="623">
        <f>IFERROR(IF(INDEX('Jul''26'!$F:$F,MATCH($A40,'Jul''26'!$B:$B,0))="","",INDEX('Jul''26'!$F:$F,MATCH($A40,'Jul''26'!$B:$B,0))),"")</f>
        <v>2148</v>
      </c>
      <c r="I40" s="625">
        <f t="shared" ca="1" si="1"/>
        <v>14117.903260869571</v>
      </c>
    </row>
    <row r="41" spans="1:9">
      <c r="A41" s="620" t="str">
        <f>IF('Jun''26'!B41="","",'Jun''26'!B41)</f>
        <v>Thiruttani rental charges</v>
      </c>
      <c r="B41" s="623">
        <f ca="1">IFERROR(IF(INDEX(Jan!$E:$E,MATCH(TRIM($A41),Jan!$B:$B,0))="","",INDEX(Jan!$E:$E,MATCH(TRIM($A41),Jan!$B:$B,0))),"")</f>
        <v>285.32608695652198</v>
      </c>
      <c r="C41" s="623">
        <f>IFERROR(IF(INDEX('March-Feb'!$I:$I,MATCH($A41,'March-Feb'!$B:$B,0))="","",INDEX('March-Feb'!$I:$I,MATCH($A41,'March-Feb'!$B:$B,0))),"")</f>
        <v>285</v>
      </c>
      <c r="D41" s="623">
        <f>IFERROR(IF(INDEX('March-Feb'!$E:$E,MATCH($A41,'March-Feb'!$B:$B,0))="","",INDEX('March-Feb'!$E:$E,MATCH($A41,'March-Feb'!$B:$B,0))),"")</f>
        <v>285</v>
      </c>
      <c r="E41" s="623">
        <f>IFERROR(IF(INDEX('April-March'!$F:$F,MATCH($A41,'April-March'!$B:$B,0))="","",INDEX('April-March'!$F:$F,MATCH($A41,'April-March'!$B:$B,0))),"")</f>
        <v>285</v>
      </c>
      <c r="F41" s="623">
        <f>IFERROR(IF(INDEX('May-April'!$F:$F,MATCH($A41,'May-April'!$B:$B,0))="","",INDEX('May-April'!$F:$F,MATCH($A41,'May-April'!$B:$B,0))),"")</f>
        <v>290</v>
      </c>
      <c r="G41" s="636">
        <f>IF('Jun''26'!F41="","",'Jun''26'!F41)</f>
        <v>293</v>
      </c>
      <c r="H41" s="623">
        <f>IFERROR(IF(INDEX('Jul''26'!$F:$F,MATCH($A41,'Jul''26'!$B:$B,0))="","",INDEX('Jul''26'!$F:$F,MATCH($A41,'Jul''26'!$B:$B,0))),"")</f>
        <v>276</v>
      </c>
      <c r="I41" s="625">
        <f t="shared" ca="1" si="1"/>
        <v>1999.326086956522</v>
      </c>
    </row>
    <row r="42" spans="1:9">
      <c r="A42" s="620" t="str">
        <f>IF('Jun''26'!B42="","",'Jun''26'!B42)</f>
        <v>Max Office rental charges</v>
      </c>
      <c r="B42" s="623">
        <f ca="1">IFERROR(IF(INDEX(Jan!$E:$E,MATCH(TRIM($A42),Jan!$B:$B,0))="","",INDEX(Jan!$E:$E,MATCH(TRIM($A42),Jan!$B:$B,0))),"")</f>
        <v>4347.8260869565202</v>
      </c>
      <c r="C42" s="623">
        <f>IFERROR(IF(INDEX('March-Feb'!$I:$I,MATCH($A42,'March-Feb'!$B:$B,0))="","",INDEX('March-Feb'!$I:$I,MATCH($A42,'March-Feb'!$B:$B,0))),"")</f>
        <v>4348</v>
      </c>
      <c r="D42" s="623">
        <f>IFERROR(IF(INDEX('March-Feb'!$E:$E,MATCH($A42,'March-Feb'!$B:$B,0))="","",INDEX('March-Feb'!$E:$E,MATCH($A42,'March-Feb'!$B:$B,0))),"")</f>
        <v>4348</v>
      </c>
      <c r="E42" s="623">
        <f>IFERROR(IF(INDEX('April-March'!$F:$F,MATCH($A42,'April-March'!$B:$B,0))="","",INDEX('April-March'!$F:$F,MATCH($A42,'April-March'!$B:$B,0))),"")</f>
        <v>4348</v>
      </c>
      <c r="F42" s="623">
        <f>IFERROR(IF(INDEX('May-April'!$F:$F,MATCH($A42,'May-April'!$B:$B,0))="","",INDEX('May-April'!$F:$F,MATCH($A42,'May-April'!$B:$B,0))),"")</f>
        <v>4207</v>
      </c>
      <c r="G42" s="636">
        <f>IF('Jun''26'!F42="","",'Jun''26'!F42)</f>
        <v>4255</v>
      </c>
      <c r="H42" s="623">
        <f>IFERROR(IF(INDEX('Jul''26'!$F:$F,MATCH($A42,'Jul''26'!$B:$B,0))="","",INDEX('Jul''26'!$F:$F,MATCH($A42,'Jul''26'!$B:$B,0))),"")</f>
        <v>4209</v>
      </c>
      <c r="I42" s="625">
        <f t="shared" ca="1" si="1"/>
        <v>30062.82608695652</v>
      </c>
    </row>
    <row r="43" spans="1:9">
      <c r="A43" s="620" t="str">
        <f>IF('Jun''26'!B43="","",'Jun''26'!B43)</f>
        <v>Rent Expense</v>
      </c>
      <c r="B43" s="623">
        <f ca="1">IFERROR(IF(INDEX(Jan!$E:$E,MATCH(TRIM($A43),Jan!$B:$B,0))="","",INDEX(Jan!$E:$E,MATCH(TRIM($A43),Jan!$B:$B,0))),"")</f>
        <v>2000</v>
      </c>
      <c r="C43" s="623">
        <f>IFERROR(IF(INDEX('March-Feb'!$I:$I,MATCH($A43,'March-Feb'!$B:$B,0))="","",INDEX('March-Feb'!$I:$I,MATCH($A43,'March-Feb'!$B:$B,0))),"")</f>
        <v>272</v>
      </c>
      <c r="D43" s="623">
        <f>IFERROR(IF(INDEX('March-Feb'!$E:$E,MATCH($A43,'March-Feb'!$B:$B,0))="","",INDEX('March-Feb'!$E:$E,MATCH($A43,'March-Feb'!$B:$B,0))),"")</f>
        <v>1272</v>
      </c>
      <c r="E43" s="623">
        <f>IFERROR(IF(INDEX('April-March'!$F:$F,MATCH($A43,'April-March'!$B:$B,0))="","",INDEX('April-March'!$F:$F,MATCH($A43,'April-March'!$B:$B,0))),"")</f>
        <v>272</v>
      </c>
      <c r="F43" s="623">
        <f>IFERROR(IF(INDEX('May-April'!$F:$F,MATCH($A43,'May-April'!$B:$B,0))="","",INDEX('May-April'!$F:$F,MATCH($A43,'May-April'!$B:$B,0))),"")</f>
        <v>3263</v>
      </c>
      <c r="G43" s="636">
        <f>IF('Jun''26'!F43="","",'Jun''26'!F43)</f>
        <v>266</v>
      </c>
      <c r="H43" s="623">
        <f>IFERROR(IF(INDEX('Jul''26'!$F:$F,MATCH($A43,'Jul''26'!$B:$B,0))="","",INDEX('Jul''26'!$F:$F,MATCH($A43,'Jul''26'!$B:$B,0))),"")</f>
        <v>3388</v>
      </c>
      <c r="I43" s="625">
        <f t="shared" ca="1" si="1"/>
        <v>10733</v>
      </c>
    </row>
    <row r="44" spans="1:9">
      <c r="A44" s="620" t="str">
        <f>IF('Jun''26'!B44="","",'Jun''26'!B44)</f>
        <v>Trichy rental charges</v>
      </c>
      <c r="B44" s="623">
        <f ca="1">IFERROR(IF(INDEX(Jan!$E:$E,MATCH(TRIM($A44),Jan!$B:$B,0))="","",INDEX(Jan!$E:$E,MATCH(TRIM($A44),Jan!$B:$B,0))),"")</f>
        <v>271.73913043478302</v>
      </c>
      <c r="C44" s="623" t="str">
        <f>IFERROR(IF(INDEX('March-Feb'!$I:$I,MATCH($A44,'March-Feb'!$B:$B,0))="","",INDEX('March-Feb'!$I:$I,MATCH($A44,'March-Feb'!$B:$B,0))),"")</f>
        <v/>
      </c>
      <c r="D44" s="623" t="str">
        <f>IFERROR(IF(INDEX('March-Feb'!$E:$E,MATCH($A44,'March-Feb'!$B:$B,0))="","",INDEX('March-Feb'!$E:$E,MATCH($A44,'March-Feb'!$B:$B,0))),"")</f>
        <v/>
      </c>
      <c r="E44" s="623" t="str">
        <f>IFERROR(IF(INDEX('April-March'!$F:$F,MATCH($A44,'April-March'!$B:$B,0))="","",INDEX('April-March'!$F:$F,MATCH($A44,'April-March'!$B:$B,0))),"")</f>
        <v/>
      </c>
      <c r="F44" s="623" t="str">
        <f>IFERROR(IF(INDEX('May-April'!$F:$F,MATCH($A44,'May-April'!$B:$B,0))="","",INDEX('May-April'!$F:$F,MATCH($A44,'May-April'!$B:$B,0))),"")</f>
        <v/>
      </c>
      <c r="G44" s="636" t="str">
        <f>IF('Jun''26'!F44="","",'Jun''26'!F44)</f>
        <v/>
      </c>
      <c r="H44" s="623">
        <f>IFERROR(IF(INDEX('Jul''26'!$F:$F,MATCH($A44,'Jul''26'!$B:$B,0))="","",INDEX('Jul''26'!$F:$F,MATCH($A44,'Jul''26'!$B:$B,0))),"")</f>
        <v>0</v>
      </c>
      <c r="I44" s="625">
        <f t="shared" ca="1" si="1"/>
        <v>271.73913043478302</v>
      </c>
    </row>
    <row r="45" spans="1:9">
      <c r="A45" s="619" t="str">
        <f>IF('Jun''26'!B45="","",'Jun''26'!B45)</f>
        <v xml:space="preserve">        Telcom/Data &amp; others</v>
      </c>
      <c r="B45" s="626">
        <f ca="1">IFERROR(IF(INDEX(Jan!$E:$E,MATCH(TRIM($A45),Jan!$B:$B,0))="","",INDEX(Jan!$E:$E,MATCH(TRIM($A45),Jan!$B:$B,0))),"")</f>
        <v>4938.9910869565228</v>
      </c>
      <c r="C45" s="626">
        <f>IFERROR(IF(INDEX('March-Feb'!$I:$I,MATCH($A45,'March-Feb'!$B:$B,0))="","",INDEX('March-Feb'!$I:$I,MATCH($A45,'March-Feb'!$B:$B,0))),"")</f>
        <v>19569</v>
      </c>
      <c r="D45" s="626">
        <f>IFERROR(IF(INDEX('March-Feb'!$E:$E,MATCH($A45,'March-Feb'!$B:$B,0))="","",INDEX('March-Feb'!$E:$E,MATCH($A45,'March-Feb'!$B:$B,0))),"")</f>
        <v>26953</v>
      </c>
      <c r="E45" s="626">
        <f>IFERROR(IF(INDEX('April-March'!$F:$F,MATCH($A45,'April-March'!$B:$B,0))="","",INDEX('April-March'!$F:$F,MATCH($A45,'April-March'!$B:$B,0))),"")</f>
        <v>1981</v>
      </c>
      <c r="F45" s="626">
        <f>IFERROR(IF(INDEX('May-April'!$F:$F,MATCH($A45,'May-April'!$B:$B,0))="","",INDEX('May-April'!$F:$F,MATCH($A45,'May-April'!$B:$B,0))),"")</f>
        <v>1969</v>
      </c>
      <c r="G45" s="637">
        <f>IF('Jun''26'!F45="","",'Jun''26'!F45)</f>
        <v>2713</v>
      </c>
      <c r="H45" s="626">
        <f>IFERROR(IF(INDEX('Jul''26'!$F:$F,MATCH($A45,'Jul''26'!$B:$B,0))="","",INDEX('Jul''26'!$F:$F,MATCH($A45,'Jul''26'!$B:$B,0))),"")</f>
        <v>2456</v>
      </c>
      <c r="I45" s="625">
        <f t="shared" ca="1" si="1"/>
        <v>60579.991086956521</v>
      </c>
    </row>
    <row r="46" spans="1:9">
      <c r="A46" s="620" t="str">
        <f>IF('Jun''26'!B46="","",'Jun''26'!B46)</f>
        <v>Telephone Expense</v>
      </c>
      <c r="B46" s="623">
        <f ca="1">IFERROR(IF(INDEX(Jan!$E:$E,MATCH(TRIM($A46),Jan!$B:$B,0))="","",INDEX(Jan!$E:$E,MATCH(TRIM($A46),Jan!$B:$B,0))),"")</f>
        <v>2335.84</v>
      </c>
      <c r="C46" s="623">
        <f>IFERROR(IF(INDEX('March-Feb'!$I:$I,MATCH($A46,'March-Feb'!$B:$B,0))="","",INDEX('March-Feb'!$I:$I,MATCH($A46,'March-Feb'!$B:$B,0))),"")</f>
        <v>541</v>
      </c>
      <c r="D46" s="623">
        <f>IFERROR(IF(INDEX('March-Feb'!$E:$E,MATCH($A46,'March-Feb'!$B:$B,0))="","",INDEX('March-Feb'!$E:$E,MATCH($A46,'March-Feb'!$B:$B,0))),"")</f>
        <v>295</v>
      </c>
      <c r="E46" s="623">
        <f>IFERROR(IF(INDEX('April-March'!$F:$F,MATCH($A46,'April-March'!$B:$B,0))="","",INDEX('April-March'!$F:$F,MATCH($A46,'April-March'!$B:$B,0))),"")</f>
        <v>285</v>
      </c>
      <c r="F46" s="623">
        <f>IFERROR(IF(INDEX('May-April'!$F:$F,MATCH($A46,'May-April'!$B:$B,0))="","",INDEX('May-April'!$F:$F,MATCH($A46,'May-April'!$B:$B,0))),"")</f>
        <v>285</v>
      </c>
      <c r="G46" s="636">
        <f>IF('Jun''26'!F46="","",'Jun''26'!F46)</f>
        <v>329</v>
      </c>
      <c r="H46" s="623">
        <f>IFERROR(IF(INDEX('Jul''26'!$F:$F,MATCH($A46,'Jul''26'!$B:$B,0))="","",INDEX('Jul''26'!$F:$F,MATCH($A46,'Jul''26'!$B:$B,0))),"")</f>
        <v>602</v>
      </c>
      <c r="I46" s="625">
        <f t="shared" ca="1" si="1"/>
        <v>4672.84</v>
      </c>
    </row>
    <row r="47" spans="1:9">
      <c r="A47" s="620" t="str">
        <f>IF('Jun''26'!B47="","",'Jun''26'!B47)</f>
        <v>Dues and Subscriptions</v>
      </c>
      <c r="B47" s="623">
        <f ca="1">IFERROR(IF(INDEX(Jan!$E:$E,MATCH(TRIM($A47),Jan!$B:$B,0))="","",INDEX(Jan!$E:$E,MATCH(TRIM($A47),Jan!$B:$B,0))),"")</f>
        <v>435.09</v>
      </c>
      <c r="C47" s="623">
        <f>IFERROR(IF(INDEX('March-Feb'!$I:$I,MATCH($A47,'March-Feb'!$B:$B,0))="","",INDEX('March-Feb'!$I:$I,MATCH($A47,'March-Feb'!$B:$B,0))),"")</f>
        <v>393</v>
      </c>
      <c r="D47" s="623">
        <f>IFERROR(IF(INDEX('March-Feb'!$E:$E,MATCH($A47,'March-Feb'!$B:$B,0))="","",INDEX('March-Feb'!$E:$E,MATCH($A47,'March-Feb'!$B:$B,0))),"")</f>
        <v>459</v>
      </c>
      <c r="E47" s="623">
        <f>IFERROR(IF(INDEX('April-March'!$F:$F,MATCH($A47,'April-March'!$B:$B,0))="","",INDEX('April-March'!$F:$F,MATCH($A47,'April-March'!$B:$B,0))),"")</f>
        <v>220</v>
      </c>
      <c r="F47" s="623">
        <f>IFERROR(IF(INDEX('May-April'!$F:$F,MATCH($A47,'May-April'!$B:$B,0))="","",INDEX('May-April'!$F:$F,MATCH($A47,'May-April'!$B:$B,0))),"")</f>
        <v>220</v>
      </c>
      <c r="G47" s="636">
        <f>IF('Jun''26'!F47="","",'Jun''26'!F47)</f>
        <v>366</v>
      </c>
      <c r="H47" s="623">
        <f>IFERROR(IF(INDEX('Jul''26'!$F:$F,MATCH($A47,'Jul''26'!$B:$B,0))="","",INDEX('Jul''26'!$F:$F,MATCH($A47,'Jul''26'!$B:$B,0))),"")</f>
        <v>247</v>
      </c>
      <c r="I47" s="625">
        <f t="shared" ca="1" si="1"/>
        <v>2340.09</v>
      </c>
    </row>
    <row r="48" spans="1:9">
      <c r="A48" s="620" t="str">
        <f>IF('Jun''26'!B48="","",'Jun''26'!B48)</f>
        <v>IT and Internet Expenses</v>
      </c>
      <c r="B48" s="623">
        <f ca="1">IFERROR(IF(INDEX(Jan!$E:$E,MATCH(TRIM($A48),Jan!$B:$B,0))="","",INDEX(Jan!$E:$E,MATCH(TRIM($A48),Jan!$B:$B,0))),"")</f>
        <v>965.78913043478303</v>
      </c>
      <c r="C48" s="623">
        <f>IFERROR(IF(INDEX('March-Feb'!$I:$I,MATCH($A48,'March-Feb'!$B:$B,0))="","",INDEX('March-Feb'!$I:$I,MATCH($A48,'March-Feb'!$B:$B,0))),"")</f>
        <v>973</v>
      </c>
      <c r="D48" s="623">
        <f>IFERROR(IF(INDEX('March-Feb'!$E:$E,MATCH($A48,'March-Feb'!$B:$B,0))="","",INDEX('March-Feb'!$E:$E,MATCH($A48,'March-Feb'!$B:$B,0))),"")</f>
        <v>985</v>
      </c>
      <c r="E48" s="623">
        <f>IFERROR(IF(INDEX('April-March'!$F:$F,MATCH($A48,'April-March'!$B:$B,0))="","",INDEX('April-March'!$F:$F,MATCH($A48,'April-March'!$B:$B,0))),"")</f>
        <v>479</v>
      </c>
      <c r="F48" s="623">
        <f>IFERROR(IF(INDEX('May-April'!$F:$F,MATCH($A48,'May-April'!$B:$B,0))="","",INDEX('May-April'!$F:$F,MATCH($A48,'May-April'!$B:$B,0))),"")</f>
        <v>688</v>
      </c>
      <c r="G48" s="636">
        <f>IF('Jun''26'!F48="","",'Jun''26'!F48)</f>
        <v>686</v>
      </c>
      <c r="H48" s="623">
        <f>IFERROR(IF(INDEX('Jul''26'!$F:$F,MATCH($A48,'Jul''26'!$B:$B,0))="","",INDEX('Jul''26'!$F:$F,MATCH($A48,'Jul''26'!$B:$B,0))),"")</f>
        <v>773</v>
      </c>
      <c r="I48" s="625">
        <f t="shared" ca="1" si="1"/>
        <v>5549.7891304347831</v>
      </c>
    </row>
    <row r="49" spans="1:9">
      <c r="A49" s="620" t="str">
        <f>IF('Jun''26'!B49="","",'Jun''26'!B49)</f>
        <v>Telecom Charges</v>
      </c>
      <c r="B49" s="623" t="str">
        <f ca="1">IFERROR(IF(INDEX(Jan!$E:$E,MATCH(TRIM($A49),Jan!$B:$B,0))="","",INDEX(Jan!$E:$E,MATCH(TRIM($A49),Jan!$B:$B,0))),"")</f>
        <v/>
      </c>
      <c r="C49" s="623">
        <f>IFERROR(IF(INDEX('March-Feb'!$I:$I,MATCH($A49,'March-Feb'!$B:$B,0))="","",INDEX('March-Feb'!$I:$I,MATCH($A49,'March-Feb'!$B:$B,0))),"")</f>
        <v>146</v>
      </c>
      <c r="D49" s="623">
        <f>IFERROR(IF(INDEX('March-Feb'!$E:$E,MATCH($A49,'March-Feb'!$B:$B,0))="","",INDEX('March-Feb'!$E:$E,MATCH($A49,'March-Feb'!$B:$B,0))),"")</f>
        <v>34</v>
      </c>
      <c r="E49" s="623">
        <f>IFERROR(IF(INDEX('April-March'!$F:$F,MATCH($A49,'April-March'!$B:$B,0))="","",INDEX('April-March'!$F:$F,MATCH($A49,'April-March'!$B:$B,0))),"")</f>
        <v>29</v>
      </c>
      <c r="F49" s="623">
        <f>IFERROR(IF(INDEX('May-April'!$F:$F,MATCH($A49,'May-April'!$B:$B,0))="","",INDEX('May-April'!$F:$F,MATCH($A49,'May-April'!$B:$B,0))),"")</f>
        <v>27</v>
      </c>
      <c r="G49" s="636">
        <f>IF('Jun''26'!F49="","",'Jun''26'!F49)</f>
        <v>28</v>
      </c>
      <c r="H49" s="623">
        <f>IFERROR(IF(INDEX('Jul''26'!$F:$F,MATCH($A49,'Jul''26'!$B:$B,0))="","",INDEX('Jul''26'!$F:$F,MATCH($A49,'Jul''26'!$B:$B,0))),"")</f>
        <v>25</v>
      </c>
      <c r="I49" s="625">
        <f t="shared" ca="1" si="1"/>
        <v>289</v>
      </c>
    </row>
    <row r="50" spans="1:9">
      <c r="A50" s="620" t="str">
        <f>IF('Jun''26'!B50="","",'Jun''26'!B50)</f>
        <v>Telephone Rental Charges</v>
      </c>
      <c r="B50" s="623">
        <f ca="1">IFERROR(IF(INDEX(Jan!$E:$E,MATCH(TRIM($A50),Jan!$B:$B,0))="","",INDEX(Jan!$E:$E,MATCH(TRIM($A50),Jan!$B:$B,0))),"")</f>
        <v>189.130434782609</v>
      </c>
      <c r="C50" s="623">
        <f>IFERROR(IF(INDEX('March-Feb'!$I:$I,MATCH($A50,'March-Feb'!$B:$B,0))="","",INDEX('March-Feb'!$I:$I,MATCH($A50,'March-Feb'!$B:$B,0))),"")</f>
        <v>189</v>
      </c>
      <c r="D50" s="623">
        <f>IFERROR(IF(INDEX('March-Feb'!$E:$E,MATCH($A50,'March-Feb'!$B:$B,0))="","",INDEX('March-Feb'!$E:$E,MATCH($A50,'March-Feb'!$B:$B,0))),"")</f>
        <v>189</v>
      </c>
      <c r="E50" s="623">
        <f>IFERROR(IF(INDEX('April-March'!$F:$F,MATCH($A50,'April-March'!$B:$B,0))="","",INDEX('April-March'!$F:$F,MATCH($A50,'April-March'!$B:$B,0))),"")</f>
        <v>213</v>
      </c>
      <c r="F50" s="623">
        <f>IFERROR(IF(INDEX('May-April'!$F:$F,MATCH($A50,'May-April'!$B:$B,0))="","",INDEX('May-April'!$F:$F,MATCH($A50,'May-April'!$B:$B,0))),"")</f>
        <v>210</v>
      </c>
      <c r="G50" s="636">
        <f>IF('Jun''26'!F50="","",'Jun''26'!F50)</f>
        <v>208</v>
      </c>
      <c r="H50" s="623">
        <f>IFERROR(IF(INDEX('Jul''26'!$F:$F,MATCH($A50,'Jul''26'!$B:$B,0))="","",INDEX('Jul''26'!$F:$F,MATCH($A50,'Jul''26'!$B:$B,0))),"")</f>
        <v>205</v>
      </c>
      <c r="I50" s="625">
        <f t="shared" ca="1" si="1"/>
        <v>1403.130434782609</v>
      </c>
    </row>
    <row r="51" spans="1:9">
      <c r="A51" s="620" t="str">
        <f>IF('Jun''26'!B51="","",'Jun''26'!B51)</f>
        <v>License/Subscription Charges</v>
      </c>
      <c r="B51" s="623" t="str">
        <f ca="1">IFERROR(IF(INDEX(Jan!$E:$E,MATCH(TRIM($A51),Jan!$B:$B,0))="","",INDEX(Jan!$E:$E,MATCH(TRIM($A51),Jan!$B:$B,0))),"")</f>
        <v/>
      </c>
      <c r="C51" s="623">
        <f>IFERROR(IF(INDEX('March-Feb'!$I:$I,MATCH($A51,'March-Feb'!$B:$B,0))="","",INDEX('March-Feb'!$I:$I,MATCH($A51,'March-Feb'!$B:$B,0))),"")</f>
        <v>662</v>
      </c>
      <c r="D51" s="623">
        <f>IFERROR(IF(INDEX('March-Feb'!$E:$E,MATCH($A51,'March-Feb'!$B:$B,0))="","",INDEX('March-Feb'!$E:$E,MATCH($A51,'March-Feb'!$B:$B,0))),"")</f>
        <v>838</v>
      </c>
      <c r="E51" s="623">
        <f>IFERROR(IF(INDEX('April-March'!$F:$F,MATCH($A51,'April-March'!$B:$B,0))="","",INDEX('April-March'!$F:$F,MATCH($A51,'April-March'!$B:$B,0))),"")</f>
        <v>754</v>
      </c>
      <c r="F51" s="623">
        <f>IFERROR(IF(INDEX('May-April'!$F:$F,MATCH($A51,'May-April'!$B:$B,0))="","",INDEX('May-April'!$F:$F,MATCH($A51,'May-April'!$B:$B,0))),"")</f>
        <v>539</v>
      </c>
      <c r="G51" s="636">
        <f>IF('Jun''26'!F51="","",'Jun''26'!F51)</f>
        <v>1097</v>
      </c>
      <c r="H51" s="623">
        <f>IFERROR(IF(INDEX('Jul''26'!$F:$F,MATCH($A51,'Jul''26'!$B:$B,0))="","",INDEX('Jul''26'!$F:$F,MATCH($A51,'Jul''26'!$B:$B,0))),"")</f>
        <v>603</v>
      </c>
      <c r="I51" s="625">
        <f t="shared" ca="1" si="1"/>
        <v>4493</v>
      </c>
    </row>
    <row r="52" spans="1:9">
      <c r="A52" s="619" t="str">
        <f>IF('Jun''26'!B52="","",'Jun''26'!B52)</f>
        <v xml:space="preserve">        Transport</v>
      </c>
      <c r="B52" s="626">
        <f ca="1">IFERROR(IF(INDEX(Jan!$E:$E,MATCH(TRIM($A52),Jan!$B:$B,0))="","",INDEX(Jan!$E:$E,MATCH(TRIM($A52),Jan!$B:$B,0))),"")</f>
        <v>4438.5869565217399</v>
      </c>
      <c r="C52" s="626">
        <f>IFERROR(IF(INDEX('March-Feb'!$I:$I,MATCH($A52,'March-Feb'!$B:$B,0))="","",INDEX('March-Feb'!$I:$I,MATCH($A52,'March-Feb'!$B:$B,0))),"")</f>
        <v>4371</v>
      </c>
      <c r="D52" s="626">
        <f>IFERROR(IF(INDEX('March-Feb'!$E:$E,MATCH($A52,'March-Feb'!$B:$B,0))="","",INDEX('March-Feb'!$E:$E,MATCH($A52,'March-Feb'!$B:$B,0))),"")</f>
        <v>5351</v>
      </c>
      <c r="E52" s="626">
        <f>IFERROR(IF(INDEX('April-March'!$F:$F,MATCH($A52,'April-March'!$B:$B,0))="","",INDEX('April-March'!$F:$F,MATCH($A52,'April-March'!$B:$B,0))),"")</f>
        <v>4084</v>
      </c>
      <c r="F52" s="626">
        <f>IFERROR(IF(INDEX('May-April'!$F:$F,MATCH($A52,'May-April'!$B:$B,0))="","",INDEX('May-April'!$F:$F,MATCH($A52,'May-April'!$B:$B,0))),"")</f>
        <v>4254</v>
      </c>
      <c r="G52" s="637">
        <f>IF('Jun''26'!F52="","",'Jun''26'!F52)</f>
        <v>5760</v>
      </c>
      <c r="H52" s="626">
        <f>IFERROR(IF(INDEX('Jul''26'!$F:$F,MATCH($A52,'Jul''26'!$B:$B,0))="","",INDEX('Jul''26'!$F:$F,MATCH($A52,'Jul''26'!$B:$B,0))),"")</f>
        <v>6651</v>
      </c>
      <c r="I52" s="625">
        <f t="shared" ca="1" si="1"/>
        <v>34909.586956521744</v>
      </c>
    </row>
    <row r="53" spans="1:9">
      <c r="A53" s="620" t="str">
        <f>IF('Jun''26'!B53="","",'Jun''26'!B53)</f>
        <v>Staff Transportation Charges</v>
      </c>
      <c r="B53" s="623">
        <f ca="1">IFERROR(IF(INDEX(Jan!$E:$E,MATCH(TRIM($A53),Jan!$B:$B,0))="","",INDEX(Jan!$E:$E,MATCH(TRIM($A53),Jan!$B:$B,0))),"")</f>
        <v>4438.5869565217399</v>
      </c>
      <c r="C53" s="623">
        <f>IFERROR(IF(INDEX('March-Feb'!$I:$I,MATCH($A53,'March-Feb'!$B:$B,0))="","",INDEX('March-Feb'!$I:$I,MATCH($A53,'March-Feb'!$B:$B,0))),"")</f>
        <v>4371</v>
      </c>
      <c r="D53" s="623">
        <f>IFERROR(IF(INDEX('March-Feb'!$E:$E,MATCH($A53,'March-Feb'!$B:$B,0))="","",INDEX('March-Feb'!$E:$E,MATCH($A53,'March-Feb'!$B:$B,0))),"")</f>
        <v>5351</v>
      </c>
      <c r="E53" s="623">
        <f>IFERROR(IF(INDEX('April-March'!$F:$F,MATCH($A53,'April-March'!$B:$B,0))="","",INDEX('April-March'!$F:$F,MATCH($A53,'April-March'!$B:$B,0))),"")</f>
        <v>4084</v>
      </c>
      <c r="F53" s="623">
        <f>IFERROR(IF(INDEX('May-April'!$F:$F,MATCH($A53,'May-April'!$B:$B,0))="","",INDEX('May-April'!$F:$F,MATCH($A53,'May-April'!$B:$B,0))),"")</f>
        <v>4254</v>
      </c>
      <c r="G53" s="636">
        <f>IF('Jun''26'!F53="","",'Jun''26'!F53)</f>
        <v>5760</v>
      </c>
      <c r="H53" s="623">
        <f>IFERROR(IF(INDEX('Jul''26'!$F:$F,MATCH($A53,'Jul''26'!$B:$B,0))="","",INDEX('Jul''26'!$F:$F,MATCH($A53,'Jul''26'!$B:$B,0))),"")</f>
        <v>6651</v>
      </c>
      <c r="I53" s="625">
        <f t="shared" ca="1" si="1"/>
        <v>34909.586956521744</v>
      </c>
    </row>
    <row r="54" spans="1:9">
      <c r="A54" s="619" t="str">
        <f>IF('Jun''26'!B54="","",'Jun''26'!B54)</f>
        <v xml:space="preserve">        Other COGS</v>
      </c>
      <c r="B54" s="626">
        <f ca="1">IFERROR(IF(INDEX(Jan!$E:$E,MATCH(TRIM($A54),Jan!$B:$B,0))="","",INDEX(Jan!$E:$E,MATCH(TRIM($A54),Jan!$B:$B,0))),"")</f>
        <v>20230.448586956521</v>
      </c>
      <c r="C54" s="626">
        <f>IFERROR(IF(INDEX('March-Feb'!$I:$I,MATCH($A54,'March-Feb'!$B:$B,0))="","",INDEX('March-Feb'!$I:$I,MATCH($A54,'March-Feb'!$B:$B,0))),"")</f>
        <v>7664</v>
      </c>
      <c r="D54" s="626">
        <f>IFERROR(IF(INDEX('March-Feb'!$E:$E,MATCH($A54,'March-Feb'!$B:$B,0))="","",INDEX('March-Feb'!$E:$E,MATCH($A54,'March-Feb'!$B:$B,0))),"")</f>
        <v>9684</v>
      </c>
      <c r="E54" s="626">
        <f>IFERROR(IF(INDEX('April-March'!$F:$F,MATCH($A54,'April-March'!$B:$B,0))="","",INDEX('April-March'!$F:$F,MATCH($A54,'April-March'!$B:$B,0))),"")</f>
        <v>21527</v>
      </c>
      <c r="F54" s="626">
        <f>IFERROR(IF(INDEX('May-April'!$F:$F,MATCH($A54,'May-April'!$B:$B,0))="","",INDEX('May-April'!$F:$F,MATCH($A54,'May-April'!$B:$B,0))),"")</f>
        <v>17650</v>
      </c>
      <c r="G54" s="637">
        <f>IF('Jun''26'!F54="","",'Jun''26'!F54)</f>
        <v>18529</v>
      </c>
      <c r="H54" s="626">
        <f>IFERROR(IF(INDEX('Jul''26'!$F:$F,MATCH($A54,'Jul''26'!$B:$B,0))="","",INDEX('Jul''26'!$F:$F,MATCH($A54,'Jul''26'!$B:$B,0))),"")</f>
        <v>13135</v>
      </c>
      <c r="I54" s="625">
        <f t="shared" ca="1" si="1"/>
        <v>108419.44858695653</v>
      </c>
    </row>
    <row r="55" spans="1:9">
      <c r="A55" s="620" t="str">
        <f>IF('Jun''26'!B55="","",'Jun''26'!B55)</f>
        <v>General Insurance</v>
      </c>
      <c r="B55" s="623">
        <f ca="1">IFERROR(IF(INDEX(Jan!$E:$E,MATCH(TRIM($A55),Jan!$B:$B,0))="","",INDEX(Jan!$E:$E,MATCH(TRIM($A55),Jan!$B:$B,0))),"")</f>
        <v>0</v>
      </c>
      <c r="C55" s="623" t="str">
        <f>IFERROR(IF(INDEX('March-Feb'!$I:$I,MATCH($A55,'March-Feb'!$B:$B,0))="","",INDEX('March-Feb'!$I:$I,MATCH($A55,'March-Feb'!$B:$B,0))),"")</f>
        <v/>
      </c>
      <c r="D55" s="623" t="str">
        <f>IFERROR(IF(INDEX('March-Feb'!$E:$E,MATCH($A55,'March-Feb'!$B:$B,0))="","",INDEX('March-Feb'!$E:$E,MATCH($A55,'March-Feb'!$B:$B,0))),"")</f>
        <v/>
      </c>
      <c r="E55" s="623" t="str">
        <f>IFERROR(IF(INDEX('April-March'!$F:$F,MATCH($A55,'April-March'!$B:$B,0))="","",INDEX('April-March'!$F:$F,MATCH($A55,'April-March'!$B:$B,0))),"")</f>
        <v/>
      </c>
      <c r="F55" s="623" t="str">
        <f>IFERROR(IF(INDEX('May-April'!$F:$F,MATCH($A55,'May-April'!$B:$B,0))="","",INDEX('May-April'!$F:$F,MATCH($A55,'May-April'!$B:$B,0))),"")</f>
        <v/>
      </c>
      <c r="G55" s="636" t="str">
        <f>IF('Jun''26'!F55="","",'Jun''26'!F55)</f>
        <v/>
      </c>
      <c r="H55" s="623">
        <f>IFERROR(IF(INDEX('Jul''26'!$F:$F,MATCH($A55,'Jul''26'!$B:$B,0))="","",INDEX('Jul''26'!$F:$F,MATCH($A55,'Jul''26'!$B:$B,0))),"")</f>
        <v>0</v>
      </c>
      <c r="I55" s="625">
        <f t="shared" ca="1" si="1"/>
        <v>0</v>
      </c>
    </row>
    <row r="56" spans="1:9">
      <c r="A56" s="620" t="str">
        <f>IF('Jun''26'!B56="","",'Jun''26'!B56)</f>
        <v>Insurance</v>
      </c>
      <c r="B56" s="623">
        <f ca="1">IFERROR(IF(INDEX(Jan!$E:$E,MATCH(TRIM($A56),Jan!$B:$B,0))="","",INDEX(Jan!$E:$E,MATCH(TRIM($A56),Jan!$B:$B,0))),"")</f>
        <v>755.83695652173901</v>
      </c>
      <c r="C56" s="623" t="str">
        <f>IFERROR(IF(INDEX('March-Feb'!$I:$I,MATCH($A56,'March-Feb'!$B:$B,0))="","",INDEX('March-Feb'!$I:$I,MATCH($A56,'March-Feb'!$B:$B,0))),"")</f>
        <v/>
      </c>
      <c r="D56" s="623" t="str">
        <f>IFERROR(IF(INDEX('March-Feb'!$E:$E,MATCH($A56,'March-Feb'!$B:$B,0))="","",INDEX('March-Feb'!$E:$E,MATCH($A56,'March-Feb'!$B:$B,0))),"")</f>
        <v/>
      </c>
      <c r="E56" s="623" t="str">
        <f>IFERROR(IF(INDEX('April-March'!$F:$F,MATCH($A56,'April-March'!$B:$B,0))="","",INDEX('April-March'!$F:$F,MATCH($A56,'April-March'!$B:$B,0))),"")</f>
        <v/>
      </c>
      <c r="F56" s="623" t="str">
        <f>IFERROR(IF(INDEX('May-April'!$F:$F,MATCH($A56,'May-April'!$B:$B,0))="","",INDEX('May-April'!$F:$F,MATCH($A56,'May-April'!$B:$B,0))),"")</f>
        <v/>
      </c>
      <c r="G56" s="636" t="str">
        <f>IF('Jun''26'!F56="","",'Jun''26'!F56)</f>
        <v/>
      </c>
      <c r="H56" s="623">
        <f>IFERROR(IF(INDEX('Jul''26'!$F:$F,MATCH($A56,'Jul''26'!$B:$B,0))="","",INDEX('Jul''26'!$F:$F,MATCH($A56,'Jul''26'!$B:$B,0))),"")</f>
        <v>0</v>
      </c>
      <c r="I56" s="625">
        <f t="shared" ca="1" si="1"/>
        <v>755.83695652173901</v>
      </c>
    </row>
    <row r="57" spans="1:9">
      <c r="A57" s="620" t="str">
        <f>IF('Jun''26'!B57="","",'Jun''26'!B57)</f>
        <v>Donation</v>
      </c>
      <c r="B57" s="623">
        <f ca="1">IFERROR(IF(INDEX(Jan!$E:$E,MATCH(TRIM($A57),Jan!$B:$B,0))="","",INDEX(Jan!$E:$E,MATCH(TRIM($A57),Jan!$B:$B,0))),"")</f>
        <v>0</v>
      </c>
      <c r="C57" s="623" t="str">
        <f>IFERROR(IF(INDEX('March-Feb'!$I:$I,MATCH($A57,'March-Feb'!$B:$B,0))="","",INDEX('March-Feb'!$I:$I,MATCH($A57,'March-Feb'!$B:$B,0))),"")</f>
        <v/>
      </c>
      <c r="D57" s="623" t="str">
        <f>IFERROR(IF(INDEX('March-Feb'!$E:$E,MATCH($A57,'March-Feb'!$B:$B,0))="","",INDEX('March-Feb'!$E:$E,MATCH($A57,'March-Feb'!$B:$B,0))),"")</f>
        <v/>
      </c>
      <c r="E57" s="623" t="str">
        <f>IFERROR(IF(INDEX('April-March'!$F:$F,MATCH($A57,'April-March'!$B:$B,0))="","",INDEX('April-March'!$F:$F,MATCH($A57,'April-March'!$B:$B,0))),"")</f>
        <v/>
      </c>
      <c r="F57" s="623" t="str">
        <f>IFERROR(IF(INDEX('May-April'!$F:$F,MATCH($A57,'May-April'!$B:$B,0))="","",INDEX('May-April'!$F:$F,MATCH($A57,'May-April'!$B:$B,0))),"")</f>
        <v/>
      </c>
      <c r="G57" s="636" t="str">
        <f>IF('Jun''26'!F57="","",'Jun''26'!F57)</f>
        <v/>
      </c>
      <c r="H57" s="623">
        <f>IFERROR(IF(INDEX('Jul''26'!$F:$F,MATCH($A57,'Jul''26'!$B:$B,0))="","",INDEX('Jul''26'!$F:$F,MATCH($A57,'Jul''26'!$B:$B,0))),"")</f>
        <v>0</v>
      </c>
      <c r="I57" s="625">
        <f t="shared" ca="1" si="1"/>
        <v>0</v>
      </c>
    </row>
    <row r="58" spans="1:9">
      <c r="A58" s="620" t="str">
        <f>IF('Jun''26'!B58="","",'Jun''26'!B58)</f>
        <v>Software development and Hosting charges</v>
      </c>
      <c r="B58" s="623">
        <f ca="1">IFERROR(IF(INDEX(Jan!$E:$E,MATCH(TRIM($A58),Jan!$B:$B,0))="","",INDEX(Jan!$E:$E,MATCH(TRIM($A58),Jan!$B:$B,0))),"")</f>
        <v>364.23902173913001</v>
      </c>
      <c r="C58" s="623">
        <f>IFERROR(IF(INDEX('March-Feb'!$I:$I,MATCH($A58,'March-Feb'!$B:$B,0))="","",INDEX('March-Feb'!$I:$I,MATCH($A58,'March-Feb'!$B:$B,0))),"")</f>
        <v>360</v>
      </c>
      <c r="D58" s="623">
        <f>IFERROR(IF(INDEX('March-Feb'!$E:$E,MATCH($A58,'March-Feb'!$B:$B,0))="","",INDEX('March-Feb'!$E:$E,MATCH($A58,'March-Feb'!$B:$B,0))),"")</f>
        <v>1304</v>
      </c>
      <c r="E58" s="623">
        <f>IFERROR(IF(INDEX('April-March'!$F:$F,MATCH($A58,'April-March'!$B:$B,0))="","",INDEX('April-March'!$F:$F,MATCH($A58,'April-March'!$B:$B,0))),"")</f>
        <v>163</v>
      </c>
      <c r="F58" s="623">
        <f>IFERROR(IF(INDEX('May-April'!$F:$F,MATCH($A58,'May-April'!$B:$B,0))="","",INDEX('May-April'!$F:$F,MATCH($A58,'May-April'!$B:$B,0))),"")</f>
        <v>427</v>
      </c>
      <c r="G58" s="636">
        <f>IF('Jun''26'!F58="","",'Jun''26'!F58)</f>
        <v>802</v>
      </c>
      <c r="H58" s="623">
        <f>IFERROR(IF(INDEX('Jul''26'!$F:$F,MATCH($A58,'Jul''26'!$B:$B,0))="","",INDEX('Jul''26'!$F:$F,MATCH($A58,'Jul''26'!$B:$B,0))),"")</f>
        <v>965</v>
      </c>
      <c r="I58" s="625">
        <f t="shared" ca="1" si="1"/>
        <v>4385.2390217391303</v>
      </c>
    </row>
    <row r="59" spans="1:9">
      <c r="A59" s="620" t="str">
        <f>IF('Jun''26'!B59="","",'Jun''26'!B59)</f>
        <v>Other Cogs- MD</v>
      </c>
      <c r="B59" s="623">
        <f ca="1">IFERROR(IF(INDEX(Jan!$E:$E,MATCH(TRIM($A59),Jan!$B:$B,0))="","",INDEX(Jan!$E:$E,MATCH(TRIM($A59),Jan!$B:$B,0))),"")</f>
        <v>0</v>
      </c>
      <c r="C59" s="623" t="str">
        <f>IFERROR(IF(INDEX('March-Feb'!$I:$I,MATCH($A59,'March-Feb'!$B:$B,0))="","",INDEX('March-Feb'!$I:$I,MATCH($A59,'March-Feb'!$B:$B,0))),"")</f>
        <v/>
      </c>
      <c r="D59" s="623" t="str">
        <f>IFERROR(IF(INDEX('March-Feb'!$E:$E,MATCH($A59,'March-Feb'!$B:$B,0))="","",INDEX('March-Feb'!$E:$E,MATCH($A59,'March-Feb'!$B:$B,0))),"")</f>
        <v/>
      </c>
      <c r="E59" s="623" t="str">
        <f>IFERROR(IF(INDEX('April-March'!$F:$F,MATCH($A59,'April-March'!$B:$B,0))="","",INDEX('April-March'!$F:$F,MATCH($A59,'April-March'!$B:$B,0))),"")</f>
        <v/>
      </c>
      <c r="F59" s="623" t="str">
        <f>IFERROR(IF(INDEX('May-April'!$F:$F,MATCH($A59,'May-April'!$B:$B,0))="","",INDEX('May-April'!$F:$F,MATCH($A59,'May-April'!$B:$B,0))),"")</f>
        <v/>
      </c>
      <c r="G59" s="636" t="str">
        <f>IF('Jun''26'!F59="","",'Jun''26'!F59)</f>
        <v/>
      </c>
      <c r="H59" s="623">
        <f>IFERROR(IF(INDEX('Jul''26'!$F:$F,MATCH($A59,'Jul''26'!$B:$B,0))="","",INDEX('Jul''26'!$F:$F,MATCH($A59,'Jul''26'!$B:$B,0))),"")</f>
        <v>0</v>
      </c>
      <c r="I59" s="625">
        <f t="shared" ca="1" si="1"/>
        <v>0</v>
      </c>
    </row>
    <row r="60" spans="1:9">
      <c r="A60" s="620" t="str">
        <f>IF('Jun''26'!B60="","",'Jun''26'!B60)</f>
        <v>Employee Engagement</v>
      </c>
      <c r="B60" s="623">
        <f ca="1">IFERROR(IF(INDEX(Jan!$E:$E,MATCH(TRIM($A60),Jan!$B:$B,0))="","",INDEX(Jan!$E:$E,MATCH(TRIM($A60),Jan!$B:$B,0))),"")</f>
        <v>0</v>
      </c>
      <c r="C60" s="623" t="str">
        <f>IFERROR(IF(INDEX('March-Feb'!$I:$I,MATCH($A60,'March-Feb'!$B:$B,0))="","",INDEX('March-Feb'!$I:$I,MATCH($A60,'March-Feb'!$B:$B,0))),"")</f>
        <v/>
      </c>
      <c r="D60" s="623" t="str">
        <f>IFERROR(IF(INDEX('March-Feb'!$E:$E,MATCH($A60,'March-Feb'!$B:$B,0))="","",INDEX('March-Feb'!$E:$E,MATCH($A60,'March-Feb'!$B:$B,0))),"")</f>
        <v/>
      </c>
      <c r="E60" s="623" t="str">
        <f>IFERROR(IF(INDEX('April-March'!$F:$F,MATCH($A60,'April-March'!$B:$B,0))="","",INDEX('April-March'!$F:$F,MATCH($A60,'April-March'!$B:$B,0))),"")</f>
        <v/>
      </c>
      <c r="F60" s="623" t="str">
        <f>IFERROR(IF(INDEX('May-April'!$F:$F,MATCH($A60,'May-April'!$B:$B,0))="","",INDEX('May-April'!$F:$F,MATCH($A60,'May-April'!$B:$B,0))),"")</f>
        <v/>
      </c>
      <c r="G60" s="636" t="str">
        <f>IF('Jun''26'!F60="","",'Jun''26'!F60)</f>
        <v/>
      </c>
      <c r="H60" s="623">
        <f>IFERROR(IF(INDEX('Jul''26'!$F:$F,MATCH($A60,'Jul''26'!$B:$B,0))="","",INDEX('Jul''26'!$F:$F,MATCH($A60,'Jul''26'!$B:$B,0))),"")</f>
        <v>29</v>
      </c>
      <c r="I60" s="625">
        <f t="shared" ca="1" si="1"/>
        <v>29</v>
      </c>
    </row>
    <row r="61" spans="1:9">
      <c r="A61" s="620" t="str">
        <f>IF('Jun''26'!B61="","",'Jun''26'!B61)</f>
        <v>Staff Welfare Expenses</v>
      </c>
      <c r="B61" s="623">
        <f ca="1">IFERROR(IF(INDEX(Jan!$E:$E,MATCH(TRIM($A61),Jan!$B:$B,0))="","",INDEX(Jan!$E:$E,MATCH(TRIM($A61),Jan!$B:$B,0))),"")</f>
        <v>418.62478260869602</v>
      </c>
      <c r="C61" s="623">
        <f>IFERROR(IF(INDEX('March-Feb'!$I:$I,MATCH($A61,'March-Feb'!$B:$B,0))="","",INDEX('March-Feb'!$I:$I,MATCH($A61,'March-Feb'!$B:$B,0))),"")</f>
        <v>3655</v>
      </c>
      <c r="D61" s="623">
        <f>IFERROR(IF(INDEX('March-Feb'!$E:$E,MATCH($A61,'March-Feb'!$B:$B,0))="","",INDEX('March-Feb'!$E:$E,MATCH($A61,'March-Feb'!$B:$B,0))),"")</f>
        <v>3892</v>
      </c>
      <c r="E61" s="623">
        <f>IFERROR(IF(INDEX('April-March'!$F:$F,MATCH($A61,'April-March'!$B:$B,0))="","",INDEX('April-March'!$F:$F,MATCH($A61,'April-March'!$B:$B,0))),"")</f>
        <v>1727</v>
      </c>
      <c r="F61" s="623">
        <f>IFERROR(IF(INDEX('May-April'!$F:$F,MATCH($A61,'May-April'!$B:$B,0))="","",INDEX('May-April'!$F:$F,MATCH($A61,'May-April'!$B:$B,0))),"")</f>
        <v>1873</v>
      </c>
      <c r="G61" s="636">
        <f>IF('Jun''26'!F61="","",'Jun''26'!F61)</f>
        <v>4401</v>
      </c>
      <c r="H61" s="623">
        <f>IFERROR(IF(INDEX('Jul''26'!$F:$F,MATCH($A61,'Jul''26'!$B:$B,0))="","",INDEX('Jul''26'!$F:$F,MATCH($A61,'Jul''26'!$B:$B,0))),"")</f>
        <v>3238</v>
      </c>
      <c r="I61" s="625">
        <f t="shared" ca="1" si="1"/>
        <v>19204.624782608698</v>
      </c>
    </row>
    <row r="62" spans="1:9">
      <c r="A62" s="620" t="str">
        <f>IF('Jun''26'!B62="","",'Jun''26'!B62)</f>
        <v>Fuel expenses</v>
      </c>
      <c r="B62" s="623">
        <f ca="1">IFERROR(IF(INDEX(Jan!$E:$E,MATCH(TRIM($A62),Jan!$B:$B,0))="","",INDEX(Jan!$E:$E,MATCH(TRIM($A62),Jan!$B:$B,0))),"")</f>
        <v>0</v>
      </c>
      <c r="C62" s="623" t="str">
        <f>IFERROR(IF(INDEX('March-Feb'!$I:$I,MATCH($A62,'March-Feb'!$B:$B,0))="","",INDEX('March-Feb'!$I:$I,MATCH($A62,'March-Feb'!$B:$B,0))),"")</f>
        <v/>
      </c>
      <c r="D62" s="623" t="str">
        <f>IFERROR(IF(INDEX('March-Feb'!$E:$E,MATCH($A62,'March-Feb'!$B:$B,0))="","",INDEX('March-Feb'!$E:$E,MATCH($A62,'March-Feb'!$B:$B,0))),"")</f>
        <v/>
      </c>
      <c r="E62" s="623" t="str">
        <f>IFERROR(IF(INDEX('April-March'!$F:$F,MATCH($A62,'April-March'!$B:$B,0))="","",INDEX('April-March'!$F:$F,MATCH($A62,'April-March'!$B:$B,0))),"")</f>
        <v/>
      </c>
      <c r="F62" s="623" t="str">
        <f>IFERROR(IF(INDEX('May-April'!$F:$F,MATCH($A62,'May-April'!$B:$B,0))="","",INDEX('May-April'!$F:$F,MATCH($A62,'May-April'!$B:$B,0))),"")</f>
        <v/>
      </c>
      <c r="G62" s="636" t="str">
        <f>IF('Jun''26'!F62="","",'Jun''26'!F62)</f>
        <v/>
      </c>
      <c r="H62" s="623">
        <f>IFERROR(IF(INDEX('Jul''26'!$F:$F,MATCH($A62,'Jul''26'!$B:$B,0))="","",INDEX('Jul''26'!$F:$F,MATCH($A62,'Jul''26'!$B:$B,0))),"")</f>
        <v>0</v>
      </c>
      <c r="I62" s="625">
        <f t="shared" ca="1" si="1"/>
        <v>0</v>
      </c>
    </row>
    <row r="63" spans="1:9">
      <c r="A63" s="620" t="str">
        <f>IF('Jun''26'!B63="","",'Jun''26'!B63)</f>
        <v>Obo Health Inc</v>
      </c>
      <c r="B63" s="623">
        <f ca="1">IFERROR(IF(INDEX(Jan!$E:$E,MATCH(TRIM($A63),Jan!$B:$B,0))="","",INDEX(Jan!$E:$E,MATCH(TRIM($A63),Jan!$B:$B,0))),"")</f>
        <v>0</v>
      </c>
      <c r="C63" s="623" t="str">
        <f>IFERROR(IF(INDEX('March-Feb'!$I:$I,MATCH($A63,'March-Feb'!$B:$B,0))="","",INDEX('March-Feb'!$I:$I,MATCH($A63,'March-Feb'!$B:$B,0))),"")</f>
        <v/>
      </c>
      <c r="D63" s="623" t="str">
        <f>IFERROR(IF(INDEX('March-Feb'!$E:$E,MATCH($A63,'March-Feb'!$B:$B,0))="","",INDEX('March-Feb'!$E:$E,MATCH($A63,'March-Feb'!$B:$B,0))),"")</f>
        <v/>
      </c>
      <c r="E63" s="623" t="str">
        <f>IFERROR(IF(INDEX('April-March'!$F:$F,MATCH($A63,'April-March'!$B:$B,0))="","",INDEX('April-March'!$F:$F,MATCH($A63,'April-March'!$B:$B,0))),"")</f>
        <v/>
      </c>
      <c r="F63" s="623" t="str">
        <f>IFERROR(IF(INDEX('May-April'!$F:$F,MATCH($A63,'May-April'!$B:$B,0))="","",INDEX('May-April'!$F:$F,MATCH($A63,'May-April'!$B:$B,0))),"")</f>
        <v/>
      </c>
      <c r="G63" s="636" t="str">
        <f>IF('Jun''26'!F63="","",'Jun''26'!F63)</f>
        <v/>
      </c>
      <c r="H63" s="623">
        <f>IFERROR(IF(INDEX('Jul''26'!$F:$F,MATCH($A63,'Jul''26'!$B:$B,0))="","",INDEX('Jul''26'!$F:$F,MATCH($A63,'Jul''26'!$B:$B,0))),"")</f>
        <v>0</v>
      </c>
      <c r="I63" s="625">
        <f t="shared" ca="1" si="1"/>
        <v>0</v>
      </c>
    </row>
    <row r="64" spans="1:9">
      <c r="A64" s="620" t="str">
        <f>IF('Jun''26'!B64="","",'Jun''26'!B64)</f>
        <v>Food Coupon-Happay Wallet</v>
      </c>
      <c r="B64" s="623">
        <f ca="1">IFERROR(IF(INDEX(Jan!$E:$E,MATCH(TRIM($A64),Jan!$B:$B,0))="","",INDEX(Jan!$E:$E,MATCH(TRIM($A64),Jan!$B:$B,0))),"")</f>
        <v>3220.1630434782601</v>
      </c>
      <c r="C64" s="623">
        <f>IFERROR(IF(INDEX('March-Feb'!$I:$I,MATCH($A64,'March-Feb'!$B:$B,0))="","",INDEX('March-Feb'!$I:$I,MATCH($A64,'March-Feb'!$B:$B,0))),"")</f>
        <v>2902</v>
      </c>
      <c r="D64" s="623">
        <f>IFERROR(IF(INDEX('March-Feb'!$E:$E,MATCH($A64,'March-Feb'!$B:$B,0))="","",INDEX('March-Feb'!$E:$E,MATCH($A64,'March-Feb'!$B:$B,0))),"")</f>
        <v>3070</v>
      </c>
      <c r="E64" s="623">
        <f>IFERROR(IF(INDEX('April-March'!$F:$F,MATCH($A64,'April-March'!$B:$B,0))="","",INDEX('April-March'!$F:$F,MATCH($A64,'April-March'!$B:$B,0))),"")</f>
        <v>2951</v>
      </c>
      <c r="F64" s="623">
        <f>IFERROR(IF(INDEX('May-April'!$F:$F,MATCH($A64,'May-April'!$B:$B,0))="","",INDEX('May-April'!$F:$F,MATCH($A64,'May-April'!$B:$B,0))),"")</f>
        <v>2818</v>
      </c>
      <c r="G64" s="636">
        <f>IF('Jun''26'!F64="","",'Jun''26'!F64)</f>
        <v>2993</v>
      </c>
      <c r="H64" s="623">
        <f>IFERROR(IF(INDEX('Jul''26'!$F:$F,MATCH($A64,'Jul''26'!$B:$B,0))="","",INDEX('Jul''26'!$F:$F,MATCH($A64,'Jul''26'!$B:$B,0))),"")</f>
        <v>3130</v>
      </c>
      <c r="I64" s="625">
        <f t="shared" ca="1" si="1"/>
        <v>21084.16304347826</v>
      </c>
    </row>
    <row r="65" spans="1:9">
      <c r="A65" s="620" t="str">
        <f>IF('Jun''26'!B65="","",'Jun''26'!B65)</f>
        <v>Software Expenses</v>
      </c>
      <c r="B65" s="623">
        <f ca="1">IFERROR(IF(INDEX(Jan!$E:$E,MATCH(TRIM($A65),Jan!$B:$B,0))="","",INDEX(Jan!$E:$E,MATCH(TRIM($A65),Jan!$B:$B,0))),"")</f>
        <v>0</v>
      </c>
      <c r="C65" s="623">
        <f>IFERROR(IF(INDEX('March-Feb'!$I:$I,MATCH($A65,'March-Feb'!$B:$B,0))="","",INDEX('March-Feb'!$I:$I,MATCH($A65,'March-Feb'!$B:$B,0))),"")</f>
        <v>16666</v>
      </c>
      <c r="D65" s="623">
        <f>IFERROR(IF(INDEX('March-Feb'!$E:$E,MATCH($A65,'March-Feb'!$B:$B,0))="","",INDEX('March-Feb'!$E:$E,MATCH($A65,'March-Feb'!$B:$B,0))),"")</f>
        <v>24152</v>
      </c>
      <c r="E65" s="623">
        <f>IFERROR(IF(INDEX('April-March'!$F:$F,MATCH($A65,'April-March'!$B:$B,0))="","",INDEX('April-March'!$F:$F,MATCH($A65,'April-March'!$B:$B,0))),"")</f>
        <v>16686</v>
      </c>
      <c r="F65" s="623">
        <f>IFERROR(IF(INDEX('May-April'!$F:$F,MATCH($A65,'May-April'!$B:$B,0))="","",INDEX('May-April'!$F:$F,MATCH($A65,'May-April'!$B:$B,0))),"")</f>
        <v>12533</v>
      </c>
      <c r="G65" s="636">
        <f>IF('Jun''26'!F65="","",'Jun''26'!F65)</f>
        <v>10333</v>
      </c>
      <c r="H65" s="623">
        <f>IFERROR(IF(INDEX('Jul''26'!$F:$F,MATCH($A65,'Jul''26'!$B:$B,0))="","",INDEX('Jul''26'!$F:$F,MATCH($A65,'Jul''26'!$B:$B,0))),"")</f>
        <v>10773</v>
      </c>
      <c r="I65" s="625">
        <f t="shared" ca="1" si="1"/>
        <v>91143</v>
      </c>
    </row>
    <row r="66" spans="1:9">
      <c r="A66" s="631" t="str">
        <f>IF('Jun''26'!B66="","",'Jun''26'!B66)</f>
        <v>Total COGS</v>
      </c>
      <c r="B66" s="632">
        <f ca="1">IFERROR(IF(INDEX(Jan!$E:$E,MATCH(TRIM($A66),Jan!$B:$B,0))="","",INDEX(Jan!$E:$E,MATCH(TRIM($A66),Jan!$B:$B,0))),"")</f>
        <v>160435.17989130429</v>
      </c>
      <c r="C66" s="632">
        <f>IFERROR(IF(INDEX('March-Feb'!$I:$I,MATCH($A66,'March-Feb'!$B:$B,0))="","",INDEX('March-Feb'!$I:$I,MATCH($A66,'March-Feb'!$B:$B,0))),"")</f>
        <v>166233</v>
      </c>
      <c r="D66" s="632">
        <f>IFERROR(IF(INDEX('March-Feb'!$E:$E,MATCH($A66,'March-Feb'!$B:$B,0))="","",INDEX('March-Feb'!$E:$E,MATCH($A66,'March-Feb'!$B:$B,0))),"")</f>
        <v>189430</v>
      </c>
      <c r="E66" s="632">
        <f>IFERROR(IF(INDEX('April-March'!$F:$F,MATCH($A66,'April-March'!$B:$B,0))="","",INDEX('April-March'!$F:$F,MATCH($A66,'April-March'!$B:$B,0))),"")</f>
        <v>154650</v>
      </c>
      <c r="F66" s="632">
        <f>IFERROR(IF(INDEX('May-April'!$F:$F,MATCH($A66,'May-April'!$B:$B,0))="","",INDEX('May-April'!$F:$F,MATCH($A66,'May-April'!$B:$B,0))),"")</f>
        <v>144550</v>
      </c>
      <c r="G66" s="639">
        <f>IF('Jun''26'!F66="","",'Jun''26'!F66)</f>
        <v>148327</v>
      </c>
      <c r="H66" s="632">
        <f>IFERROR(IF(INDEX('Jul''26'!$F:$F,MATCH($A66,'Jul''26'!$B:$B,0))="","",INDEX('Jul''26'!$F:$F,MATCH($A66,'Jul''26'!$B:$B,0))),"")</f>
        <v>152984</v>
      </c>
      <c r="I66" s="625">
        <f t="shared" ca="1" si="1"/>
        <v>1116609.1798913043</v>
      </c>
    </row>
    <row r="67" spans="1:9">
      <c r="A67" s="619" t="str">
        <f>IF('Jun''26'!B67="","",'Jun''26'!B67)</f>
        <v>GM</v>
      </c>
      <c r="B67" s="626">
        <f>Jan!E16</f>
        <v>66378.820108695712</v>
      </c>
      <c r="C67" s="626">
        <f>IFERROR(IF(INDEX('March-Feb'!$I:$I,MATCH($A67,'March-Feb'!$B:$B,0))="","",INDEX('March-Feb'!$I:$I,MATCH($A67,'March-Feb'!$B:$B,0))),"")</f>
        <v>61538</v>
      </c>
      <c r="D67" s="626">
        <f>IFERROR(IF(INDEX('March-Feb'!$E:$E,MATCH($A67,'March-Feb'!$B:$B,0))="","",INDEX('March-Feb'!$E:$E,MATCH($A67,'March-Feb'!$B:$B,0))),"")</f>
        <v>31785</v>
      </c>
      <c r="E67" s="626">
        <f>IFERROR(IF(INDEX('April-March'!$F:$F,MATCH($A67,'April-March'!$B:$B,0))="","",INDEX('April-March'!$F:$F,MATCH($A67,'April-March'!$B:$B,0))),"")</f>
        <v>40557</v>
      </c>
      <c r="F67" s="626">
        <f>IFERROR(IF(INDEX('May-April'!$F:$F,MATCH($A67,'May-April'!$B:$B,0))="","",INDEX('May-April'!$F:$F,MATCH($A67,'May-April'!$B:$B,0))),"")</f>
        <v>65368</v>
      </c>
      <c r="G67" s="637">
        <f>IF('Jun''26'!F67="","",'Jun''26'!F67)</f>
        <v>83983</v>
      </c>
      <c r="H67" s="626">
        <f>IFERROR(IF(INDEX('Jul''26'!$F:$F,MATCH($A67,'Jul''26'!$B:$B,0))="","",INDEX('Jul''26'!$F:$F,MATCH($A67,'Jul''26'!$B:$B,0))),"")</f>
        <v>97689</v>
      </c>
      <c r="I67" s="625">
        <f t="shared" si="1"/>
        <v>447298.82010869571</v>
      </c>
    </row>
    <row r="68" spans="1:9">
      <c r="A68" s="619" t="str">
        <f>IF('Jun''26'!B68="","",'Jun''26'!B68)</f>
        <v>GM%</v>
      </c>
      <c r="B68" s="627">
        <f ca="1">IFERROR(B$67/B$15,"")</f>
        <v>0.29265750839320198</v>
      </c>
      <c r="C68" s="627">
        <f t="shared" ref="C68:G68" si="2">IFERROR(C$67/C$15,"")</f>
        <v>0.2701748686180418</v>
      </c>
      <c r="D68" s="627">
        <f t="shared" si="2"/>
        <v>0.14368374658138011</v>
      </c>
      <c r="E68" s="627">
        <f t="shared" si="2"/>
        <v>0.20776406583780294</v>
      </c>
      <c r="F68" s="627">
        <f t="shared" si="2"/>
        <v>0.31139778389656914</v>
      </c>
      <c r="G68" s="640">
        <f t="shared" si="2"/>
        <v>0.36151107782240188</v>
      </c>
      <c r="H68" s="627">
        <f>IFERROR(H$67/H$15,"")</f>
        <v>0.38970846364970957</v>
      </c>
      <c r="I68" s="625">
        <f t="shared" ca="1" si="1"/>
        <v>1.9768975147991075</v>
      </c>
    </row>
    <row r="69" spans="1:9">
      <c r="A69" s="624" t="str">
        <f>IF('Jun''26'!B69="","",'Jun''26'!B69)</f>
        <v>SG&amp;A</v>
      </c>
      <c r="B69" s="628" t="str">
        <f ca="1">IFERROR(IF(INDEX(Jan!$E:$E,MATCH(TRIM($A69),Jan!$B:$B,0))="","",INDEX(Jan!$E:$E,MATCH(TRIM($A69),Jan!$B:$B,0))),"")</f>
        <v/>
      </c>
      <c r="C69" s="628" t="str">
        <f>IFERROR(IF(INDEX('March-Feb'!$I:$I,MATCH($A69,'March-Feb'!$B:$B,0))="","",INDEX('March-Feb'!$I:$I,MATCH($A69,'March-Feb'!$B:$B,0))),"")</f>
        <v/>
      </c>
      <c r="D69" s="628" t="str">
        <f>IFERROR(IF(INDEX('March-Feb'!$E:$E,MATCH($A69,'March-Feb'!$B:$B,0))="","",INDEX('March-Feb'!$E:$E,MATCH($A69,'March-Feb'!$B:$B,0))),"")</f>
        <v/>
      </c>
      <c r="E69" s="628" t="str">
        <f>IFERROR(IF(INDEX('April-March'!$F:$F,MATCH($A69,'April-March'!$B:$B,0))="","",INDEX('April-March'!$F:$F,MATCH($A69,'April-March'!$B:$B,0))),"")</f>
        <v/>
      </c>
      <c r="F69" s="628" t="str">
        <f>IFERROR(IF(INDEX('May-April'!$F:$F,MATCH($A69,'May-April'!$B:$B,0))="","",INDEX('May-April'!$F:$F,MATCH($A69,'May-April'!$B:$B,0))),"")</f>
        <v/>
      </c>
      <c r="G69" s="638" t="str">
        <f>IF('Jun''26'!F69="","",'Jun''26'!F69)</f>
        <v/>
      </c>
      <c r="H69" s="628" t="str">
        <f>IFERROR(IF(INDEX('Jul''26'!$F:$F,MATCH($A69,'Jul''26'!$B:$B,0))="","",INDEX('Jul''26'!$F:$F,MATCH($A69,'Jul''26'!$B:$B,0))),"")</f>
        <v/>
      </c>
      <c r="I69" s="625">
        <f t="shared" ca="1" si="1"/>
        <v>0</v>
      </c>
    </row>
    <row r="70" spans="1:9">
      <c r="A70" s="619" t="str">
        <f>IF('Jun''26'!B70="","",'Jun''26'!B70)</f>
        <v xml:space="preserve">        Selling Expenses</v>
      </c>
      <c r="B70" s="626">
        <f ca="1">IFERROR(IF(INDEX(Jan!$E:$E,MATCH(TRIM($A70),Jan!$B:$B,0))="","",INDEX(Jan!$E:$E,MATCH(TRIM($A70),Jan!$B:$B,0))),"")</f>
        <v>5200.4780434782606</v>
      </c>
      <c r="C70" s="626">
        <f>IFERROR(IF(INDEX('March-Feb'!$I:$I,MATCH($A70,'March-Feb'!$B:$B,0))="","",INDEX('March-Feb'!$I:$I,MATCH($A70,'March-Feb'!$B:$B,0))),"")</f>
        <v>3273</v>
      </c>
      <c r="D70" s="626">
        <f>IFERROR(IF(INDEX('March-Feb'!$E:$E,MATCH($A70,'March-Feb'!$B:$B,0))="","",INDEX('March-Feb'!$E:$E,MATCH($A70,'March-Feb'!$B:$B,0))),"")</f>
        <v>2839</v>
      </c>
      <c r="E70" s="626">
        <f>IFERROR(IF(INDEX('April-March'!$F:$F,MATCH($A70,'April-March'!$B:$B,0))="","",INDEX('April-March'!$F:$F,MATCH($A70,'April-March'!$B:$B,0))),"")</f>
        <v>2109</v>
      </c>
      <c r="F70" s="626">
        <f>IFERROR(IF(INDEX('May-April'!$F:$F,MATCH($A70,'May-April'!$B:$B,0))="","",INDEX('May-April'!$F:$F,MATCH($A70,'May-April'!$B:$B,0))),"")</f>
        <v>1407</v>
      </c>
      <c r="G70" s="637">
        <f>IF('Jun''26'!F70="","",'Jun''26'!F70)</f>
        <v>6679</v>
      </c>
      <c r="H70" s="626">
        <f>IFERROR(IF(INDEX('Jul''26'!$F:$F,MATCH($A70,'Jul''26'!$B:$B,0))="","",INDEX('Jul''26'!$F:$F,MATCH($A70,'Jul''26'!$B:$B,0))),"")</f>
        <v>3342</v>
      </c>
      <c r="I70" s="625">
        <f t="shared" ca="1" si="1"/>
        <v>24849.478043478259</v>
      </c>
    </row>
    <row r="71" spans="1:9">
      <c r="A71" s="620" t="str">
        <f>IF('Jun''26'!B71="","",'Jun''26'!B71)</f>
        <v>Travel Expense</v>
      </c>
      <c r="B71" s="623">
        <f ca="1">IFERROR(IF(INDEX(Jan!$E:$E,MATCH(TRIM($A71),Jan!$B:$B,0))="","",INDEX(Jan!$E:$E,MATCH(TRIM($A71),Jan!$B:$B,0))),"")</f>
        <v>1498.83</v>
      </c>
      <c r="C71" s="623" t="str">
        <f>IFERROR(IF(INDEX('March-Feb'!$I:$I,MATCH($A71,'March-Feb'!$B:$B,0))="","",INDEX('March-Feb'!$I:$I,MATCH($A71,'March-Feb'!$B:$B,0))),"")</f>
        <v/>
      </c>
      <c r="D71" s="623" t="str">
        <f>IFERROR(IF(INDEX('March-Feb'!$E:$E,MATCH($A71,'March-Feb'!$B:$B,0))="","",INDEX('March-Feb'!$E:$E,MATCH($A71,'March-Feb'!$B:$B,0))),"")</f>
        <v/>
      </c>
      <c r="E71" s="623" t="str">
        <f>IFERROR(IF(INDEX('April-March'!$F:$F,MATCH($A71,'April-March'!$B:$B,0))="","",INDEX('April-March'!$F:$F,MATCH($A71,'April-March'!$B:$B,0))),"")</f>
        <v/>
      </c>
      <c r="F71" s="623" t="str">
        <f>IFERROR(IF(INDEX('May-April'!$F:$F,MATCH($A71,'May-April'!$B:$B,0))="","",INDEX('May-April'!$F:$F,MATCH($A71,'May-April'!$B:$B,0))),"")</f>
        <v/>
      </c>
      <c r="G71" s="636" t="str">
        <f>IF('Jun''26'!F71="","",'Jun''26'!F71)</f>
        <v/>
      </c>
      <c r="H71" s="623">
        <f>IFERROR(IF(INDEX('Jul''26'!$F:$F,MATCH($A71,'Jul''26'!$B:$B,0))="","",INDEX('Jul''26'!$F:$F,MATCH($A71,'Jul''26'!$B:$B,0))),"")</f>
        <v>0</v>
      </c>
      <c r="I71" s="625">
        <f t="shared" ca="1" si="1"/>
        <v>1498.83</v>
      </c>
    </row>
    <row r="72" spans="1:9">
      <c r="A72" s="620" t="str">
        <f>IF('Jun''26'!B72="","",'Jun''26'!B72)</f>
        <v>Cyber Security Insurance</v>
      </c>
      <c r="B72" s="623">
        <f ca="1">IFERROR(IF(INDEX(Jan!$E:$E,MATCH(TRIM($A72),Jan!$B:$B,0))="","",INDEX(Jan!$E:$E,MATCH(TRIM($A72),Jan!$B:$B,0))),"")</f>
        <v>0</v>
      </c>
      <c r="C72" s="623" t="str">
        <f>IFERROR(IF(INDEX('March-Feb'!$I:$I,MATCH($A72,'March-Feb'!$B:$B,0))="","",INDEX('March-Feb'!$I:$I,MATCH($A72,'March-Feb'!$B:$B,0))),"")</f>
        <v/>
      </c>
      <c r="D72" s="623" t="str">
        <f>IFERROR(IF(INDEX('March-Feb'!$E:$E,MATCH($A72,'March-Feb'!$B:$B,0))="","",INDEX('March-Feb'!$E:$E,MATCH($A72,'March-Feb'!$B:$B,0))),"")</f>
        <v/>
      </c>
      <c r="E72" s="623" t="str">
        <f>IFERROR(IF(INDEX('April-March'!$F:$F,MATCH($A72,'April-March'!$B:$B,0))="","",INDEX('April-March'!$F:$F,MATCH($A72,'April-March'!$B:$B,0))),"")</f>
        <v/>
      </c>
      <c r="F72" s="623" t="str">
        <f>IFERROR(IF(INDEX('May-April'!$F:$F,MATCH($A72,'May-April'!$B:$B,0))="","",INDEX('May-April'!$F:$F,MATCH($A72,'May-April'!$B:$B,0))),"")</f>
        <v/>
      </c>
      <c r="G72" s="636" t="str">
        <f>IF('Jun''26'!F72="","",'Jun''26'!F72)</f>
        <v/>
      </c>
      <c r="H72" s="623">
        <f>IFERROR(IF(INDEX('Jul''26'!$F:$F,MATCH($A72,'Jul''26'!$B:$B,0))="","",INDEX('Jul''26'!$F:$F,MATCH($A72,'Jul''26'!$B:$B,0))),"")</f>
        <v>0</v>
      </c>
      <c r="I72" s="625">
        <f t="shared" ca="1" si="1"/>
        <v>0</v>
      </c>
    </row>
    <row r="73" spans="1:9">
      <c r="A73" s="620" t="str">
        <f>IF('Jun''26'!B73="","",'Jun''26'!B73)</f>
        <v>Rewards and recognition</v>
      </c>
      <c r="B73" s="623">
        <f ca="1">IFERROR(IF(INDEX(Jan!$E:$E,MATCH(TRIM($A73),Jan!$B:$B,0))="","",INDEX(Jan!$E:$E,MATCH(TRIM($A73),Jan!$B:$B,0))),"")</f>
        <v>0</v>
      </c>
      <c r="C73" s="623" t="str">
        <f>IFERROR(IF(INDEX('March-Feb'!$I:$I,MATCH($A73,'March-Feb'!$B:$B,0))="","",INDEX('March-Feb'!$I:$I,MATCH($A73,'March-Feb'!$B:$B,0))),"")</f>
        <v/>
      </c>
      <c r="D73" s="623" t="str">
        <f>IFERROR(IF(INDEX('March-Feb'!$E:$E,MATCH($A73,'March-Feb'!$B:$B,0))="","",INDEX('March-Feb'!$E:$E,MATCH($A73,'March-Feb'!$B:$B,0))),"")</f>
        <v/>
      </c>
      <c r="E73" s="623" t="str">
        <f>IFERROR(IF(INDEX('April-March'!$F:$F,MATCH($A73,'April-March'!$B:$B,0))="","",INDEX('April-March'!$F:$F,MATCH($A73,'April-March'!$B:$B,0))),"")</f>
        <v/>
      </c>
      <c r="F73" s="623" t="str">
        <f>IFERROR(IF(INDEX('May-April'!$F:$F,MATCH($A73,'May-April'!$B:$B,0))="","",INDEX('May-April'!$F:$F,MATCH($A73,'May-April'!$B:$B,0))),"")</f>
        <v/>
      </c>
      <c r="G73" s="636">
        <f>IF('Jun''26'!F73="","",'Jun''26'!F73)</f>
        <v>1314</v>
      </c>
      <c r="H73" s="623">
        <f>IFERROR(IF(INDEX('Jul''26'!$F:$F,MATCH($A73,'Jul''26'!$B:$B,0))="","",INDEX('Jul''26'!$F:$F,MATCH($A73,'Jul''26'!$B:$B,0))),"")</f>
        <v>-4</v>
      </c>
      <c r="I73" s="625">
        <f t="shared" ref="I73:I136" ca="1" si="3">SUM(B73:H73)</f>
        <v>1310</v>
      </c>
    </row>
    <row r="74" spans="1:9">
      <c r="A74" s="620" t="str">
        <f>IF('Jun''26'!B74="","",'Jun''26'!B74)</f>
        <v>Meals and Entertainment</v>
      </c>
      <c r="B74" s="623">
        <f ca="1">IFERROR(IF(INDEX(Jan!$E:$E,MATCH(TRIM($A74),Jan!$B:$B,0))="","",INDEX(Jan!$E:$E,MATCH(TRIM($A74),Jan!$B:$B,0))),"")</f>
        <v>605.17804347826086</v>
      </c>
      <c r="C74" s="623">
        <f>IFERROR(IF(INDEX('March-Feb'!$I:$I,MATCH($A74,'March-Feb'!$B:$B,0))="","",INDEX('March-Feb'!$I:$I,MATCH($A74,'March-Feb'!$B:$B,0))),"")</f>
        <v>1070</v>
      </c>
      <c r="D74" s="623">
        <f>IFERROR(IF(INDEX('March-Feb'!$E:$E,MATCH($A74,'March-Feb'!$B:$B,0))="","",INDEX('March-Feb'!$E:$E,MATCH($A74,'March-Feb'!$B:$B,0))),"")</f>
        <v>152</v>
      </c>
      <c r="E74" s="623">
        <f>IFERROR(IF(INDEX('April-March'!$F:$F,MATCH($A74,'April-March'!$B:$B,0))="","",INDEX('April-March'!$F:$F,MATCH($A74,'April-March'!$B:$B,0))),"")</f>
        <v>734</v>
      </c>
      <c r="F74" s="623">
        <f>IFERROR(IF(INDEX('May-April'!$F:$F,MATCH($A74,'May-April'!$B:$B,0))="","",INDEX('May-April'!$F:$F,MATCH($A74,'May-April'!$B:$B,0))),"")</f>
        <v>318</v>
      </c>
      <c r="G74" s="636">
        <f>IF('Jun''26'!F74="","",'Jun''26'!F74)</f>
        <v>3194</v>
      </c>
      <c r="H74" s="623">
        <f>IFERROR(IF(INDEX('Jul''26'!$F:$F,MATCH($A74,'Jul''26'!$B:$B,0))="","",INDEX('Jul''26'!$F:$F,MATCH($A74,'Jul''26'!$B:$B,0))),"")</f>
        <v>1005</v>
      </c>
      <c r="I74" s="625">
        <f t="shared" ca="1" si="3"/>
        <v>7078.1780434782613</v>
      </c>
    </row>
    <row r="75" spans="1:9">
      <c r="A75" s="620" t="str">
        <f>IF('Jun''26'!B75="","",'Jun''26'!B75)</f>
        <v>VISA charges</v>
      </c>
      <c r="B75" s="623">
        <f ca="1">IFERROR(IF(INDEX(Jan!$E:$E,MATCH(TRIM($A75),Jan!$B:$B,0))="","",INDEX(Jan!$E:$E,MATCH(TRIM($A75),Jan!$B:$B,0))),"")</f>
        <v>0</v>
      </c>
      <c r="C75" s="623" t="str">
        <f>IFERROR(IF(INDEX('March-Feb'!$I:$I,MATCH($A75,'March-Feb'!$B:$B,0))="","",INDEX('March-Feb'!$I:$I,MATCH($A75,'March-Feb'!$B:$B,0))),"")</f>
        <v/>
      </c>
      <c r="D75" s="623" t="str">
        <f>IFERROR(IF(INDEX('March-Feb'!$E:$E,MATCH($A75,'March-Feb'!$B:$B,0))="","",INDEX('March-Feb'!$E:$E,MATCH($A75,'March-Feb'!$B:$B,0))),"")</f>
        <v/>
      </c>
      <c r="E75" s="623" t="str">
        <f>IFERROR(IF(INDEX('April-March'!$F:$F,MATCH($A75,'April-March'!$B:$B,0))="","",INDEX('April-March'!$F:$F,MATCH($A75,'April-March'!$B:$B,0))),"")</f>
        <v/>
      </c>
      <c r="F75" s="623" t="str">
        <f>IFERROR(IF(INDEX('May-April'!$F:$F,MATCH($A75,'May-April'!$B:$B,0))="","",INDEX('May-April'!$F:$F,MATCH($A75,'May-April'!$B:$B,0))),"")</f>
        <v/>
      </c>
      <c r="G75" s="636" t="str">
        <f>IF('Jun''26'!F75="","",'Jun''26'!F75)</f>
        <v/>
      </c>
      <c r="H75" s="623">
        <f>IFERROR(IF(INDEX('Jul''26'!$F:$F,MATCH($A75,'Jul''26'!$B:$B,0))="","",INDEX('Jul''26'!$F:$F,MATCH($A75,'Jul''26'!$B:$B,0))),"")</f>
        <v>0</v>
      </c>
      <c r="I75" s="625">
        <f t="shared" ca="1" si="3"/>
        <v>0</v>
      </c>
    </row>
    <row r="76" spans="1:9">
      <c r="A76" s="620" t="str">
        <f>IF('Jun''26'!B76="","",'Jun''26'!B76)</f>
        <v>Conference &amp; Events</v>
      </c>
      <c r="B76" s="623" t="str">
        <f ca="1">IFERROR(IF(INDEX(Jan!$E:$E,MATCH(TRIM($A76),Jan!$B:$B,0))="","",INDEX(Jan!$E:$E,MATCH(TRIM($A76),Jan!$B:$B,0))),"")</f>
        <v/>
      </c>
      <c r="C76" s="623" t="str">
        <f>IFERROR(IF(INDEX('March-Feb'!$I:$I,MATCH($A76,'March-Feb'!$B:$B,0))="","",INDEX('March-Feb'!$I:$I,MATCH($A76,'March-Feb'!$B:$B,0))),"")</f>
        <v/>
      </c>
      <c r="D76" s="623" t="str">
        <f>IFERROR(IF(INDEX('March-Feb'!$E:$E,MATCH($A76,'March-Feb'!$B:$B,0))="","",INDEX('March-Feb'!$E:$E,MATCH($A76,'March-Feb'!$B:$B,0))),"")</f>
        <v/>
      </c>
      <c r="E76" s="623" t="str">
        <f>IFERROR(IF(INDEX('April-March'!$F:$F,MATCH($A76,'April-March'!$B:$B,0))="","",INDEX('April-March'!$F:$F,MATCH($A76,'April-March'!$B:$B,0))),"")</f>
        <v/>
      </c>
      <c r="F76" s="623" t="str">
        <f>IFERROR(IF(INDEX('May-April'!$F:$F,MATCH($A76,'May-April'!$B:$B,0))="","",INDEX('May-April'!$F:$F,MATCH($A76,'May-April'!$B:$B,0))),"")</f>
        <v/>
      </c>
      <c r="G76" s="636" t="str">
        <f>IF('Jun''26'!F76="","",'Jun''26'!F76)</f>
        <v/>
      </c>
      <c r="H76" s="623">
        <f>IFERROR(IF(INDEX('Jul''26'!$F:$F,MATCH($A76,'Jul''26'!$B:$B,0))="","",INDEX('Jul''26'!$F:$F,MATCH($A76,'Jul''26'!$B:$B,0))),"")</f>
        <v>0</v>
      </c>
      <c r="I76" s="625">
        <f t="shared" ca="1" si="3"/>
        <v>0</v>
      </c>
    </row>
    <row r="77" spans="1:9">
      <c r="A77" s="620" t="str">
        <f>IF('Jun''26'!B77="","",'Jun''26'!B77)</f>
        <v>Advertisement and marketing</v>
      </c>
      <c r="B77" s="623">
        <f ca="1">IFERROR(IF(INDEX(Jan!$E:$E,MATCH(TRIM($A77),Jan!$B:$B,0))="","",INDEX(Jan!$E:$E,MATCH(TRIM($A77),Jan!$B:$B,0))),"")</f>
        <v>0</v>
      </c>
      <c r="C77" s="623" t="str">
        <f>IFERROR(IF(INDEX('March-Feb'!$I:$I,MATCH($A77,'March-Feb'!$B:$B,0))="","",INDEX('March-Feb'!$I:$I,MATCH($A77,'March-Feb'!$B:$B,0))),"")</f>
        <v/>
      </c>
      <c r="D77" s="623" t="str">
        <f>IFERROR(IF(INDEX('March-Feb'!$E:$E,MATCH($A77,'March-Feb'!$B:$B,0))="","",INDEX('March-Feb'!$E:$E,MATCH($A77,'March-Feb'!$B:$B,0))),"")</f>
        <v/>
      </c>
      <c r="E77" s="623" t="str">
        <f>IFERROR(IF(INDEX('April-March'!$F:$F,MATCH($A77,'April-March'!$B:$B,0))="","",INDEX('April-March'!$F:$F,MATCH($A77,'April-March'!$B:$B,0))),"")</f>
        <v/>
      </c>
      <c r="F77" s="623" t="str">
        <f>IFERROR(IF(INDEX('May-April'!$F:$F,MATCH($A77,'May-April'!$B:$B,0))="","",INDEX('May-April'!$F:$F,MATCH($A77,'May-April'!$B:$B,0))),"")</f>
        <v/>
      </c>
      <c r="G77" s="636" t="str">
        <f>IF('Jun''26'!F77="","",'Jun''26'!F77)</f>
        <v/>
      </c>
      <c r="H77" s="623">
        <f>IFERROR(IF(INDEX('Jul''26'!$F:$F,MATCH($A77,'Jul''26'!$B:$B,0))="","",INDEX('Jul''26'!$F:$F,MATCH($A77,'Jul''26'!$B:$B,0))),"")</f>
        <v>0</v>
      </c>
      <c r="I77" s="625">
        <f t="shared" ca="1" si="3"/>
        <v>0</v>
      </c>
    </row>
    <row r="78" spans="1:9">
      <c r="A78" s="620" t="str">
        <f>IF('Jun''26'!B78="","",'Jun''26'!B78)</f>
        <v>Sales and marketing</v>
      </c>
      <c r="B78" s="623">
        <f ca="1">IFERROR(IF(INDEX(Jan!$E:$E,MATCH(TRIM($A78),Jan!$B:$B,0))="","",INDEX(Jan!$E:$E,MATCH(TRIM($A78),Jan!$B:$B,0))),"")</f>
        <v>1361.97</v>
      </c>
      <c r="C78" s="623">
        <f>IFERROR(IF(INDEX('March-Feb'!$I:$I,MATCH($A78,'March-Feb'!$B:$B,0))="","",INDEX('March-Feb'!$I:$I,MATCH($A78,'March-Feb'!$B:$B,0))),"")</f>
        <v>1188</v>
      </c>
      <c r="D78" s="623">
        <f>IFERROR(IF(INDEX('March-Feb'!$E:$E,MATCH($A78,'March-Feb'!$B:$B,0))="","",INDEX('March-Feb'!$E:$E,MATCH($A78,'March-Feb'!$B:$B,0))),"")</f>
        <v>1211</v>
      </c>
      <c r="E78" s="623">
        <f>IFERROR(IF(INDEX('April-March'!$F:$F,MATCH($A78,'April-March'!$B:$B,0))="","",INDEX('April-March'!$F:$F,MATCH($A78,'April-March'!$B:$B,0))),"")</f>
        <v>128</v>
      </c>
      <c r="F78" s="623">
        <f>IFERROR(IF(INDEX('May-April'!$F:$F,MATCH($A78,'May-April'!$B:$B,0))="","",INDEX('May-April'!$F:$F,MATCH($A78,'May-April'!$B:$B,0))),"")</f>
        <v>0</v>
      </c>
      <c r="G78" s="636">
        <f>IF('Jun''26'!F78="","",'Jun''26'!F78)</f>
        <v>1083</v>
      </c>
      <c r="H78" s="623">
        <f>IFERROR(IF(INDEX('Jul''26'!$F:$F,MATCH($A78,'Jul''26'!$B:$B,0))="","",INDEX('Jul''26'!$F:$F,MATCH($A78,'Jul''26'!$B:$B,0))),"")</f>
        <v>1346</v>
      </c>
      <c r="I78" s="625">
        <f t="shared" ca="1" si="3"/>
        <v>6317.97</v>
      </c>
    </row>
    <row r="79" spans="1:9">
      <c r="A79" s="620" t="str">
        <f>IF('Jun''26'!B79="","",'Jun''26'!B79)</f>
        <v>Business Promotion</v>
      </c>
      <c r="B79" s="623">
        <f ca="1">IFERROR(IF(INDEX(Jan!$E:$E,MATCH(TRIM($A79),Jan!$B:$B,0))="","",INDEX(Jan!$E:$E,MATCH(TRIM($A79),Jan!$B:$B,0))),"")</f>
        <v>0</v>
      </c>
      <c r="C79" s="623" t="str">
        <f>IFERROR(IF(INDEX('March-Feb'!$I:$I,MATCH($A79,'March-Feb'!$B:$B,0))="","",INDEX('March-Feb'!$I:$I,MATCH($A79,'March-Feb'!$B:$B,0))),"")</f>
        <v/>
      </c>
      <c r="D79" s="623" t="str">
        <f>IFERROR(IF(INDEX('March-Feb'!$E:$E,MATCH($A79,'March-Feb'!$B:$B,0))="","",INDEX('March-Feb'!$E:$E,MATCH($A79,'March-Feb'!$B:$B,0))),"")</f>
        <v/>
      </c>
      <c r="E79" s="623" t="str">
        <f>IFERROR(IF(INDEX('April-March'!$F:$F,MATCH($A79,'April-March'!$B:$B,0))="","",INDEX('April-March'!$F:$F,MATCH($A79,'April-March'!$B:$B,0))),"")</f>
        <v/>
      </c>
      <c r="F79" s="623" t="str">
        <f>IFERROR(IF(INDEX('May-April'!$F:$F,MATCH($A79,'May-April'!$B:$B,0))="","",INDEX('May-April'!$F:$F,MATCH($A79,'May-April'!$B:$B,0))),"")</f>
        <v/>
      </c>
      <c r="G79" s="636" t="str">
        <f>IF('Jun''26'!F79="","",'Jun''26'!F79)</f>
        <v/>
      </c>
      <c r="H79" s="623">
        <f>IFERROR(IF(INDEX('Jul''26'!$F:$F,MATCH($A79,'Jul''26'!$B:$B,0))="","",INDEX('Jul''26'!$F:$F,MATCH($A79,'Jul''26'!$B:$B,0))),"")</f>
        <v>0</v>
      </c>
      <c r="I79" s="625">
        <f t="shared" ca="1" si="3"/>
        <v>0</v>
      </c>
    </row>
    <row r="80" spans="1:9">
      <c r="A80" s="620" t="str">
        <f>IF('Jun''26'!B80="","",'Jun''26'!B80)</f>
        <v>S&amp;M Salaries</v>
      </c>
      <c r="B80" s="623">
        <f ca="1">IFERROR(IF(INDEX(Jan!$E:$E,MATCH(TRIM($A80),Jan!$B:$B,0))="","",INDEX(Jan!$E:$E,MATCH(TRIM($A80),Jan!$B:$B,0))),"")</f>
        <v>1153.75</v>
      </c>
      <c r="C80" s="623">
        <f>IFERROR(IF(INDEX('March-Feb'!$I:$I,MATCH($A80,'March-Feb'!$B:$B,0))="","",INDEX('March-Feb'!$I:$I,MATCH($A80,'March-Feb'!$B:$B,0))),"")</f>
        <v>1015</v>
      </c>
      <c r="D80" s="623">
        <f>IFERROR(IF(INDEX('March-Feb'!$E:$E,MATCH($A80,'March-Feb'!$B:$B,0))="","",INDEX('March-Feb'!$E:$E,MATCH($A80,'March-Feb'!$B:$B,0))),"")</f>
        <v>1476</v>
      </c>
      <c r="E80" s="623">
        <f>IFERROR(IF(INDEX('April-March'!$F:$F,MATCH($A80,'April-March'!$B:$B,0))="","",INDEX('April-March'!$F:$F,MATCH($A80,'April-March'!$B:$B,0))),"")</f>
        <v>1247</v>
      </c>
      <c r="F80" s="623">
        <f>IFERROR(IF(INDEX('May-April'!$F:$F,MATCH($A80,'May-April'!$B:$B,0))="","",INDEX('May-April'!$F:$F,MATCH($A80,'May-April'!$B:$B,0))),"")</f>
        <v>1093</v>
      </c>
      <c r="G80" s="636">
        <f>IF('Jun''26'!F80="","",'Jun''26'!F80)</f>
        <v>1090</v>
      </c>
      <c r="H80" s="623">
        <f>IFERROR(IF(INDEX('Jul''26'!$F:$F,MATCH($A80,'Jul''26'!$B:$B,0))="","",INDEX('Jul''26'!$F:$F,MATCH($A80,'Jul''26'!$B:$B,0))),"")</f>
        <v>997</v>
      </c>
      <c r="I80" s="625">
        <f t="shared" ca="1" si="3"/>
        <v>8071.75</v>
      </c>
    </row>
    <row r="81" spans="1:9">
      <c r="A81" s="620" t="str">
        <f>IF('Jun''26'!B81="","",'Jun''26'!B81)</f>
        <v>Gratuity</v>
      </c>
      <c r="B81" s="623">
        <f ca="1">IFERROR(IF(INDEX(Jan!$E:$E,MATCH(TRIM($A81),Jan!$B:$B,0))="","",INDEX(Jan!$E:$E,MATCH(TRIM($A81),Jan!$B:$B,0))),"")</f>
        <v>580.75</v>
      </c>
      <c r="C81" s="623">
        <f>IFERROR(IF(INDEX('March-Feb'!$I:$I,MATCH($A81,'March-Feb'!$B:$B,0))="","",INDEX('March-Feb'!$I:$I,MATCH($A81,'March-Feb'!$B:$B,0))),"")</f>
        <v>0</v>
      </c>
      <c r="D81" s="623">
        <f>IFERROR(IF(INDEX('March-Feb'!$E:$E,MATCH($A81,'March-Feb'!$B:$B,0))="","",INDEX('March-Feb'!$E:$E,MATCH($A81,'March-Feb'!$B:$B,0))),"")</f>
        <v>0</v>
      </c>
      <c r="E81" s="623">
        <f>IFERROR(IF(INDEX('April-March'!$F:$F,MATCH($A81,'April-March'!$B:$B,0))="","",INDEX('April-March'!$F:$F,MATCH($A81,'April-March'!$B:$B,0))),"")</f>
        <v>0</v>
      </c>
      <c r="F81" s="623">
        <f>IFERROR(IF(INDEX('May-April'!$F:$F,MATCH($A81,'May-April'!$B:$B,0))="","",INDEX('May-April'!$F:$F,MATCH($A81,'May-April'!$B:$B,0))),"")</f>
        <v>-4</v>
      </c>
      <c r="G81" s="636">
        <f>IF('Jun''26'!F81="","",'Jun''26'!F81)</f>
        <v>-1</v>
      </c>
      <c r="H81" s="623">
        <f>IFERROR(IF(INDEX('Jul''26'!$F:$F,MATCH($A81,'Jul''26'!$B:$B,0))="","",INDEX('Jul''26'!$F:$F,MATCH($A81,'Jul''26'!$B:$B,0))),"")</f>
        <v>-2</v>
      </c>
      <c r="I81" s="625">
        <f t="shared" ca="1" si="3"/>
        <v>573.75</v>
      </c>
    </row>
    <row r="82" spans="1:9">
      <c r="A82" s="620" t="str">
        <f>IF('Jun''26'!B82="","",'Jun''26'!B82)</f>
        <v>New Tools and Accesses - Needed</v>
      </c>
      <c r="B82" s="623">
        <f ca="1">IFERROR(IF(INDEX(Jan!$E:$E,MATCH(TRIM($A82),Jan!$B:$B,0))="","",INDEX(Jan!$E:$E,MATCH(TRIM($A82),Jan!$B:$B,0))),"")</f>
        <v>0</v>
      </c>
      <c r="C82" s="623" t="str">
        <f>IFERROR(IF(INDEX('March-Feb'!$I:$I,MATCH($A82,'March-Feb'!$B:$B,0))="","",INDEX('March-Feb'!$I:$I,MATCH($A82,'March-Feb'!$B:$B,0))),"")</f>
        <v/>
      </c>
      <c r="D82" s="623" t="str">
        <f>IFERROR(IF(INDEX('March-Feb'!$E:$E,MATCH($A82,'March-Feb'!$B:$B,0))="","",INDEX('March-Feb'!$E:$E,MATCH($A82,'March-Feb'!$B:$B,0))),"")</f>
        <v/>
      </c>
      <c r="E82" s="623" t="str">
        <f>IFERROR(IF(INDEX('April-March'!$F:$F,MATCH($A82,'April-March'!$B:$B,0))="","",INDEX('April-March'!$F:$F,MATCH($A82,'April-March'!$B:$B,0))),"")</f>
        <v/>
      </c>
      <c r="F82" s="623" t="str">
        <f>IFERROR(IF(INDEX('May-April'!$F:$F,MATCH($A82,'May-April'!$B:$B,0))="","",INDEX('May-April'!$F:$F,MATCH($A82,'May-April'!$B:$B,0))),"")</f>
        <v/>
      </c>
      <c r="G82" s="636" t="str">
        <f>IF('Jun''26'!F82="","",'Jun''26'!F82)</f>
        <v/>
      </c>
      <c r="H82" s="623">
        <f>IFERROR(IF(INDEX('Jul''26'!$F:$F,MATCH($A82,'Jul''26'!$B:$B,0))="","",INDEX('Jul''26'!$F:$F,MATCH($A82,'Jul''26'!$B:$B,0))),"")</f>
        <v>0</v>
      </c>
      <c r="I82" s="625">
        <f t="shared" ca="1" si="3"/>
        <v>0</v>
      </c>
    </row>
    <row r="83" spans="1:9">
      <c r="A83" s="620" t="str">
        <f>IF('Jun''26'!B83="","",'Jun''26'!B83)</f>
        <v>Customs Duty</v>
      </c>
      <c r="B83" s="623">
        <f ca="1">IFERROR(IF(INDEX(Jan!$E:$E,MATCH(TRIM($A83),Jan!$B:$B,0))="","",INDEX(Jan!$E:$E,MATCH(TRIM($A83),Jan!$B:$B,0))),"")</f>
        <v>0</v>
      </c>
      <c r="C83" s="623" t="str">
        <f>IFERROR(IF(INDEX('March-Feb'!$I:$I,MATCH($A83,'March-Feb'!$B:$B,0))="","",INDEX('March-Feb'!$I:$I,MATCH($A83,'March-Feb'!$B:$B,0))),"")</f>
        <v/>
      </c>
      <c r="D83" s="623" t="str">
        <f>IFERROR(IF(INDEX('March-Feb'!$E:$E,MATCH($A83,'March-Feb'!$B:$B,0))="","",INDEX('March-Feb'!$E:$E,MATCH($A83,'March-Feb'!$B:$B,0))),"")</f>
        <v/>
      </c>
      <c r="E83" s="623" t="str">
        <f>IFERROR(IF(INDEX('April-March'!$F:$F,MATCH($A83,'April-March'!$B:$B,0))="","",INDEX('April-March'!$F:$F,MATCH($A83,'April-March'!$B:$B,0))),"")</f>
        <v/>
      </c>
      <c r="F83" s="623" t="str">
        <f>IFERROR(IF(INDEX('May-April'!$F:$F,MATCH($A83,'May-April'!$B:$B,0))="","",INDEX('May-April'!$F:$F,MATCH($A83,'May-April'!$B:$B,0))),"")</f>
        <v/>
      </c>
      <c r="G83" s="636" t="str">
        <f>IF('Jun''26'!F83="","",'Jun''26'!F83)</f>
        <v/>
      </c>
      <c r="H83" s="623">
        <f>IFERROR(IF(INDEX('Jul''26'!$F:$F,MATCH($A83,'Jul''26'!$B:$B,0))="","",INDEX('Jul''26'!$F:$F,MATCH($A83,'Jul''26'!$B:$B,0))),"")</f>
        <v>0</v>
      </c>
      <c r="I83" s="625">
        <f t="shared" ca="1" si="3"/>
        <v>0</v>
      </c>
    </row>
    <row r="84" spans="1:9">
      <c r="A84" s="624" t="str">
        <f>IF('Jun''26'!B84="","",'Jun''26'!B84)</f>
        <v>G&amp;A Expenses</v>
      </c>
      <c r="B84" s="628" t="str">
        <f ca="1">IFERROR(IF(INDEX(Jan!$E:$E,MATCH(TRIM($A84),Jan!$B:$B,0))="","",INDEX(Jan!$E:$E,MATCH(TRIM($A84),Jan!$B:$B,0))),"")</f>
        <v/>
      </c>
      <c r="C84" s="628" t="str">
        <f>IFERROR(IF(INDEX('March-Feb'!$I:$I,MATCH($A84,'March-Feb'!$B:$B,0))="","",INDEX('March-Feb'!$I:$I,MATCH($A84,'March-Feb'!$B:$B,0))),"")</f>
        <v/>
      </c>
      <c r="D84" s="628" t="str">
        <f>IFERROR(IF(INDEX('March-Feb'!$E:$E,MATCH($A84,'March-Feb'!$B:$B,0))="","",INDEX('March-Feb'!$E:$E,MATCH($A84,'March-Feb'!$B:$B,0))),"")</f>
        <v/>
      </c>
      <c r="E84" s="628" t="str">
        <f>IFERROR(IF(INDEX('April-March'!$F:$F,MATCH($A84,'April-March'!$B:$B,0))="","",INDEX('April-March'!$F:$F,MATCH($A84,'April-March'!$B:$B,0))),"")</f>
        <v/>
      </c>
      <c r="F84" s="628" t="str">
        <f>IFERROR(IF(INDEX('May-April'!$F:$F,MATCH($A84,'May-April'!$B:$B,0))="","",INDEX('May-April'!$F:$F,MATCH($A84,'May-April'!$B:$B,0))),"")</f>
        <v/>
      </c>
      <c r="G84" s="638" t="str">
        <f>IF('Jun''26'!F84="","",'Jun''26'!F84)</f>
        <v/>
      </c>
      <c r="H84" s="628" t="str">
        <f>IFERROR(IF(INDEX('Jul''26'!$F:$F,MATCH($A84,'Jul''26'!$B:$B,0))="","",INDEX('Jul''26'!$F:$F,MATCH($A84,'Jul''26'!$B:$B,0))),"")</f>
        <v/>
      </c>
      <c r="I84" s="625">
        <f t="shared" ca="1" si="3"/>
        <v>0</v>
      </c>
    </row>
    <row r="85" spans="1:9">
      <c r="A85" s="619" t="str">
        <f>IF('Jun''26'!B85="","",'Jun''26'!B85)</f>
        <v xml:space="preserve">        Salaries-Management &amp; Others</v>
      </c>
      <c r="B85" s="626">
        <f ca="1">IFERROR(IF(INDEX(Jan!$E:$E,MATCH(TRIM($A85),Jan!$B:$B,0))="","",INDEX(Jan!$E:$E,MATCH(TRIM($A85),Jan!$B:$B,0))),"")</f>
        <v>47161.128695652165</v>
      </c>
      <c r="C85" s="626">
        <f>IFERROR(IF(INDEX('March-Feb'!$I:$I,MATCH($A85,'March-Feb'!$B:$B,0))="","",INDEX('March-Feb'!$I:$I,MATCH($A85,'March-Feb'!$B:$B,0))),"")</f>
        <v>37861</v>
      </c>
      <c r="D85" s="626">
        <f>IFERROR(IF(INDEX('March-Feb'!$E:$E,MATCH($A85,'March-Feb'!$B:$B,0))="","",INDEX('March-Feb'!$E:$E,MATCH($A85,'March-Feb'!$B:$B,0))),"")</f>
        <v>27151</v>
      </c>
      <c r="E85" s="626">
        <f>IFERROR(IF(INDEX('April-March'!$F:$F,MATCH($A85,'April-March'!$B:$B,0))="","",INDEX('April-March'!$F:$F,MATCH($A85,'April-March'!$B:$B,0))),"")</f>
        <v>32806</v>
      </c>
      <c r="F85" s="626">
        <f>IFERROR(IF(INDEX('May-April'!$F:$F,MATCH($A85,'May-April'!$B:$B,0))="","",INDEX('May-April'!$F:$F,MATCH($A85,'May-April'!$B:$B,0))),"")</f>
        <v>25618</v>
      </c>
      <c r="G85" s="637">
        <f>IF('Jun''26'!F85="","",'Jun''26'!F85)</f>
        <v>27321</v>
      </c>
      <c r="H85" s="626">
        <f>IFERROR(IF(INDEX('Jul''26'!$F:$F,MATCH($A85,'Jul''26'!$B:$B,0))="","",INDEX('Jul''26'!$F:$F,MATCH($A85,'Jul''26'!$B:$B,0))),"")</f>
        <v>25520</v>
      </c>
      <c r="I85" s="625">
        <f t="shared" ca="1" si="3"/>
        <v>223438.12869565218</v>
      </c>
    </row>
    <row r="86" spans="1:9">
      <c r="A86" s="620" t="str">
        <f>IF('Jun''26'!B86="","",'Jun''26'!B86)</f>
        <v>Bonus and Incentives</v>
      </c>
      <c r="B86" s="623">
        <f ca="1">IFERROR(IF(INDEX(Jan!$E:$E,MATCH(TRIM($A86),Jan!$B:$B,0))="","",INDEX(Jan!$E:$E,MATCH(TRIM($A86),Jan!$B:$B,0))),"")</f>
        <v>163.04347826086999</v>
      </c>
      <c r="C86" s="623">
        <f>IFERROR(IF(INDEX('March-Feb'!$I:$I,MATCH($A86,'March-Feb'!$B:$B,0))="","",INDEX('March-Feb'!$I:$I,MATCH($A86,'March-Feb'!$B:$B,0))),"")</f>
        <v>0</v>
      </c>
      <c r="D86" s="623">
        <f>IFERROR(IF(INDEX('March-Feb'!$E:$E,MATCH($A86,'March-Feb'!$B:$B,0))="","",INDEX('March-Feb'!$E:$E,MATCH($A86,'March-Feb'!$B:$B,0))),"")</f>
        <v>0</v>
      </c>
      <c r="E86" s="623">
        <f>IFERROR(IF(INDEX('April-March'!$F:$F,MATCH($A86,'April-March'!$B:$B,0))="","",INDEX('April-March'!$F:$F,MATCH($A86,'April-March'!$B:$B,0))),"")</f>
        <v>0</v>
      </c>
      <c r="F86" s="623">
        <f>IFERROR(IF(INDEX('May-April'!$F:$F,MATCH($A86,'May-April'!$B:$B,0))="","",INDEX('May-April'!$F:$F,MATCH($A86,'May-April'!$B:$B,0))),"")</f>
        <v>-1</v>
      </c>
      <c r="G86" s="636">
        <f>IF('Jun''26'!F86="","",'Jun''26'!F86)</f>
        <v>0</v>
      </c>
      <c r="H86" s="623">
        <f>IFERROR(IF(INDEX('Jul''26'!$F:$F,MATCH($A86,'Jul''26'!$B:$B,0))="","",INDEX('Jul''26'!$F:$F,MATCH($A86,'Jul''26'!$B:$B,0))),"")</f>
        <v>-1</v>
      </c>
      <c r="I86" s="625">
        <f t="shared" ca="1" si="3"/>
        <v>161.04347826086999</v>
      </c>
    </row>
    <row r="87" spans="1:9">
      <c r="A87" s="620" t="str">
        <f>IF('Jun''26'!B87="","",'Jun''26'!B87)</f>
        <v>Management Salaries</v>
      </c>
      <c r="B87" s="623">
        <f ca="1">IFERROR(IF(INDEX(Jan!$E:$E,MATCH(TRIM($A87),Jan!$B:$B,0))="","",INDEX(Jan!$E:$E,MATCH(TRIM($A87),Jan!$B:$B,0))),"")</f>
        <v>46998.085217391301</v>
      </c>
      <c r="C87" s="623">
        <f>IFERROR(IF(INDEX('March-Feb'!$I:$I,MATCH($A87,'March-Feb'!$B:$B,0))="","",INDEX('March-Feb'!$I:$I,MATCH($A87,'March-Feb'!$B:$B,0))),"")</f>
        <v>37861</v>
      </c>
      <c r="D87" s="623">
        <f>IFERROR(IF(INDEX('March-Feb'!$E:$E,MATCH($A87,'March-Feb'!$B:$B,0))="","",INDEX('March-Feb'!$E:$E,MATCH($A87,'March-Feb'!$B:$B,0))),"")</f>
        <v>27151</v>
      </c>
      <c r="E87" s="623">
        <f>IFERROR(IF(INDEX('April-March'!$F:$F,MATCH($A87,'April-March'!$B:$B,0))="","",INDEX('April-March'!$F:$F,MATCH($A87,'April-March'!$B:$B,0))),"")</f>
        <v>32806</v>
      </c>
      <c r="F87" s="623">
        <f>IFERROR(IF(INDEX('May-April'!$F:$F,MATCH($A87,'May-April'!$B:$B,0))="","",INDEX('May-April'!$F:$F,MATCH($A87,'May-April'!$B:$B,0))),"")</f>
        <v>25619</v>
      </c>
      <c r="G87" s="636">
        <f>IF('Jun''26'!F87="","",'Jun''26'!F87)</f>
        <v>27321</v>
      </c>
      <c r="H87" s="623">
        <f>IFERROR(IF(INDEX('Jul''26'!$F:$F,MATCH($A87,'Jul''26'!$B:$B,0))="","",INDEX('Jul''26'!$F:$F,MATCH($A87,'Jul''26'!$B:$B,0))),"")</f>
        <v>25520</v>
      </c>
      <c r="I87" s="625">
        <f t="shared" ca="1" si="3"/>
        <v>223276.08521739132</v>
      </c>
    </row>
    <row r="88" spans="1:9">
      <c r="A88" s="619" t="str">
        <f>IF('Jun''26'!B88="","",'Jun''26'!B88)</f>
        <v xml:space="preserve">        Legal &amp; Professional Fees</v>
      </c>
      <c r="B88" s="626">
        <f ca="1">IFERROR(IF(INDEX(Jan!$E:$E,MATCH(TRIM($A88),Jan!$B:$B,0))="","",INDEX(Jan!$E:$E,MATCH(TRIM($A88),Jan!$B:$B,0))),"")</f>
        <v>9353.4234782608673</v>
      </c>
      <c r="C88" s="626">
        <f>IFERROR(IF(INDEX('March-Feb'!$I:$I,MATCH($A88,'March-Feb'!$B:$B,0))="","",INDEX('March-Feb'!$I:$I,MATCH($A88,'March-Feb'!$B:$B,0))),"")</f>
        <v>5878</v>
      </c>
      <c r="D88" s="626">
        <f>IFERROR(IF(INDEX('March-Feb'!$E:$E,MATCH($A88,'March-Feb'!$B:$B,0))="","",INDEX('March-Feb'!$E:$E,MATCH($A88,'March-Feb'!$B:$B,0))),"")</f>
        <v>5987</v>
      </c>
      <c r="E88" s="626">
        <f>IFERROR(IF(INDEX('April-March'!$F:$F,MATCH($A88,'April-March'!$B:$B,0))="","",INDEX('April-March'!$F:$F,MATCH($A88,'April-March'!$B:$B,0))),"")</f>
        <v>3685</v>
      </c>
      <c r="F88" s="626">
        <f>IFERROR(IF(INDEX('May-April'!$F:$F,MATCH($A88,'May-April'!$B:$B,0))="","",INDEX('May-April'!$F:$F,MATCH($A88,'May-April'!$B:$B,0))),"")</f>
        <v>2340</v>
      </c>
      <c r="G88" s="637">
        <f>IF('Jun''26'!F88="","",'Jun''26'!F88)</f>
        <v>6330</v>
      </c>
      <c r="H88" s="626">
        <f>IFERROR(IF(INDEX('Jul''26'!$F:$F,MATCH($A88,'Jul''26'!$B:$B,0))="","",INDEX('Jul''26'!$F:$F,MATCH($A88,'Jul''26'!$B:$B,0))),"")</f>
        <v>6624</v>
      </c>
      <c r="I88" s="625">
        <f t="shared" ca="1" si="3"/>
        <v>40197.423478260869</v>
      </c>
    </row>
    <row r="89" spans="1:9">
      <c r="A89" s="620" t="str">
        <f>IF('Jun''26'!B89="","",'Jun''26'!B89)</f>
        <v>Professional fees</v>
      </c>
      <c r="B89" s="623">
        <f ca="1">IFERROR(IF(INDEX(Jan!$E:$E,MATCH(TRIM($A89),Jan!$B:$B,0))="","",INDEX(Jan!$E:$E,MATCH(TRIM($A89),Jan!$B:$B,0))),"")</f>
        <v>0</v>
      </c>
      <c r="C89" s="623" t="str">
        <f>IFERROR(IF(INDEX('March-Feb'!$I:$I,MATCH($A89,'March-Feb'!$B:$B,0))="","",INDEX('March-Feb'!$I:$I,MATCH($A89,'March-Feb'!$B:$B,0))),"")</f>
        <v/>
      </c>
      <c r="D89" s="623" t="str">
        <f>IFERROR(IF(INDEX('March-Feb'!$E:$E,MATCH($A89,'March-Feb'!$B:$B,0))="","",INDEX('March-Feb'!$E:$E,MATCH($A89,'March-Feb'!$B:$B,0))),"")</f>
        <v/>
      </c>
      <c r="E89" s="623" t="str">
        <f>IFERROR(IF(INDEX('April-March'!$F:$F,MATCH($A89,'April-March'!$B:$B,0))="","",INDEX('April-March'!$F:$F,MATCH($A89,'April-March'!$B:$B,0))),"")</f>
        <v/>
      </c>
      <c r="F89" s="623" t="str">
        <f>IFERROR(IF(INDEX('May-April'!$F:$F,MATCH($A89,'May-April'!$B:$B,0))="","",INDEX('May-April'!$F:$F,MATCH($A89,'May-April'!$B:$B,0))),"")</f>
        <v/>
      </c>
      <c r="G89" s="636" t="str">
        <f>IF('Jun''26'!F89="","",'Jun''26'!F89)</f>
        <v/>
      </c>
      <c r="H89" s="623">
        <f>IFERROR(IF(INDEX('Jul''26'!$F:$F,MATCH($A89,'Jul''26'!$B:$B,0))="","",INDEX('Jul''26'!$F:$F,MATCH($A89,'Jul''26'!$B:$B,0))),"")</f>
        <v>0</v>
      </c>
      <c r="I89" s="625">
        <f t="shared" ca="1" si="3"/>
        <v>0</v>
      </c>
    </row>
    <row r="90" spans="1:9">
      <c r="A90" s="620" t="str">
        <f>IF('Jun''26'!B90="","",'Jun''26'!B90)</f>
        <v>FPO Charges - SRF</v>
      </c>
      <c r="B90" s="623">
        <f ca="1">IFERROR(IF(INDEX(Jan!$E:$E,MATCH(TRIM($A90),Jan!$B:$B,0))="","",INDEX(Jan!$E:$E,MATCH(TRIM($A90),Jan!$B:$B,0))),"")</f>
        <v>1358.69565217391</v>
      </c>
      <c r="C90" s="623">
        <f>IFERROR(IF(INDEX('March-Feb'!$I:$I,MATCH($A90,'March-Feb'!$B:$B,0))="","",INDEX('March-Feb'!$I:$I,MATCH($A90,'March-Feb'!$B:$B,0))),"")</f>
        <v>1359</v>
      </c>
      <c r="D90" s="623">
        <f>IFERROR(IF(INDEX('March-Feb'!$E:$E,MATCH($A90,'March-Feb'!$B:$B,0))="","",INDEX('March-Feb'!$E:$E,MATCH($A90,'March-Feb'!$B:$B,0))),"")</f>
        <v>2011</v>
      </c>
      <c r="E90" s="623">
        <f>IFERROR(IF(INDEX('April-March'!$F:$F,MATCH($A90,'April-March'!$B:$B,0))="","",INDEX('April-March'!$F:$F,MATCH($A90,'April-March'!$B:$B,0))),"")</f>
        <v>1359</v>
      </c>
      <c r="F90" s="623">
        <f>IFERROR(IF(INDEX('May-April'!$F:$F,MATCH($A90,'May-April'!$B:$B,0))="","",INDEX('May-April'!$F:$F,MATCH($A90,'May-April'!$B:$B,0))),"")</f>
        <v>1315</v>
      </c>
      <c r="G90" s="636">
        <f>IF('Jun''26'!F90="","",'Jun''26'!F90)</f>
        <v>1330</v>
      </c>
      <c r="H90" s="623">
        <f>IFERROR(IF(INDEX('Jul''26'!$F:$F,MATCH($A90,'Jul''26'!$B:$B,0))="","",INDEX('Jul''26'!$F:$F,MATCH($A90,'Jul''26'!$B:$B,0))),"")</f>
        <v>1323</v>
      </c>
      <c r="I90" s="625">
        <f t="shared" ca="1" si="3"/>
        <v>10055.69565217391</v>
      </c>
    </row>
    <row r="91" spans="1:9">
      <c r="A91" s="620" t="str">
        <f>IF('Jun''26'!B91="","",'Jun''26'!B91)</f>
        <v>Legal &amp; Professional Services</v>
      </c>
      <c r="B91" s="623">
        <f ca="1">IFERROR(IF(INDEX(Jan!$E:$E,MATCH(TRIM($A91),Jan!$B:$B,0))="","",INDEX(Jan!$E:$E,MATCH(TRIM($A91),Jan!$B:$B,0))),"")</f>
        <v>7940.38</v>
      </c>
      <c r="C91" s="623">
        <f>IFERROR(IF(INDEX('March-Feb'!$I:$I,MATCH($A91,'March-Feb'!$B:$B,0))="","",INDEX('March-Feb'!$I:$I,MATCH($A91,'March-Feb'!$B:$B,0))),"")</f>
        <v>4519</v>
      </c>
      <c r="D91" s="623">
        <f>IFERROR(IF(INDEX('March-Feb'!$E:$E,MATCH($A91,'March-Feb'!$B:$B,0))="","",INDEX('March-Feb'!$E:$E,MATCH($A91,'March-Feb'!$B:$B,0))),"")</f>
        <v>3976</v>
      </c>
      <c r="E91" s="623">
        <f>IFERROR(IF(INDEX('April-March'!$F:$F,MATCH($A91,'April-March'!$B:$B,0))="","",INDEX('April-March'!$F:$F,MATCH($A91,'April-March'!$B:$B,0))),"")</f>
        <v>2326</v>
      </c>
      <c r="F91" s="623">
        <f>IFERROR(IF(INDEX('May-April'!$F:$F,MATCH($A91,'May-April'!$B:$B,0))="","",INDEX('May-April'!$F:$F,MATCH($A91,'May-April'!$B:$B,0))),"")</f>
        <v>1025</v>
      </c>
      <c r="G91" s="636">
        <f>IF('Jun''26'!F91="","",'Jun''26'!F91)</f>
        <v>5000</v>
      </c>
      <c r="H91" s="623">
        <f>IFERROR(IF(INDEX('Jul''26'!$F:$F,MATCH($A91,'Jul''26'!$B:$B,0))="","",INDEX('Jul''26'!$F:$F,MATCH($A91,'Jul''26'!$B:$B,0))),"")</f>
        <v>5087</v>
      </c>
      <c r="I91" s="625">
        <f t="shared" ca="1" si="3"/>
        <v>29873.38</v>
      </c>
    </row>
    <row r="92" spans="1:9">
      <c r="A92" s="620" t="str">
        <f>IF('Jun''26'!B92="","",'Jun''26'!B92)</f>
        <v>FPO Charges-SMCS GLOBAL</v>
      </c>
      <c r="B92" s="623">
        <f ca="1">IFERROR(IF(INDEX(Jan!$E:$E,MATCH(TRIM($A92),Jan!$B:$B,0))="","",INDEX(Jan!$E:$E,MATCH(TRIM($A92),Jan!$B:$B,0))),"")</f>
        <v>54.347826086956502</v>
      </c>
      <c r="C92" s="623">
        <f>IFERROR(IF(INDEX('March-Feb'!$I:$I,MATCH($A92,'March-Feb'!$B:$B,0))="","",INDEX('March-Feb'!$I:$I,MATCH($A92,'March-Feb'!$B:$B,0))),"")</f>
        <v>0</v>
      </c>
      <c r="D92" s="623">
        <f>IFERROR(IF(INDEX('March-Feb'!$E:$E,MATCH($A92,'March-Feb'!$B:$B,0))="","",INDEX('March-Feb'!$E:$E,MATCH($A92,'March-Feb'!$B:$B,0))),"")</f>
        <v>0</v>
      </c>
      <c r="E92" s="623" t="str">
        <f>IFERROR(IF(INDEX('April-March'!$F:$F,MATCH($A92,'April-March'!$B:$B,0))="","",INDEX('April-March'!$F:$F,MATCH($A92,'April-March'!$B:$B,0))),"")</f>
        <v/>
      </c>
      <c r="F92" s="623" t="str">
        <f>IFERROR(IF(INDEX('May-April'!$F:$F,MATCH($A92,'May-April'!$B:$B,0))="","",INDEX('May-April'!$F:$F,MATCH($A92,'May-April'!$B:$B,0))),"")</f>
        <v/>
      </c>
      <c r="G92" s="636" t="str">
        <f>IF('Jun''26'!F92="","",'Jun''26'!F92)</f>
        <v/>
      </c>
      <c r="H92" s="623">
        <f>IFERROR(IF(INDEX('Jul''26'!$F:$F,MATCH($A92,'Jul''26'!$B:$B,0))="","",INDEX('Jul''26'!$F:$F,MATCH($A92,'Jul''26'!$B:$B,0))),"")</f>
        <v>215</v>
      </c>
      <c r="I92" s="625">
        <f t="shared" ca="1" si="3"/>
        <v>269.3478260869565</v>
      </c>
    </row>
    <row r="93" spans="1:9">
      <c r="A93" s="619" t="str">
        <f>IF('Jun''26'!B93="","",'Jun''26'!B93)</f>
        <v xml:space="preserve">        G&amp;A salaries</v>
      </c>
      <c r="B93" s="626">
        <f ca="1">IFERROR(IF(INDEX(Jan!$E:$E,MATCH(TRIM($A93),Jan!$B:$B,0))="","",INDEX(Jan!$E:$E,MATCH(TRIM($A93),Jan!$B:$B,0))),"")</f>
        <v>14328.646956521738</v>
      </c>
      <c r="C93" s="626">
        <f>IFERROR(IF(INDEX('March-Feb'!$I:$I,MATCH($A93,'March-Feb'!$B:$B,0))="","",INDEX('March-Feb'!$I:$I,MATCH($A93,'March-Feb'!$B:$B,0))),"")</f>
        <v>9723</v>
      </c>
      <c r="D93" s="626">
        <f>IFERROR(IF(INDEX('March-Feb'!$E:$E,MATCH($A93,'March-Feb'!$B:$B,0))="","",INDEX('March-Feb'!$E:$E,MATCH($A93,'March-Feb'!$B:$B,0))),"")</f>
        <v>6533</v>
      </c>
      <c r="E93" s="626">
        <f>IFERROR(IF(INDEX('April-March'!$F:$F,MATCH($A93,'April-March'!$B:$B,0))="","",INDEX('April-March'!$F:$F,MATCH($A93,'April-March'!$B:$B,0))),"")</f>
        <v>5917</v>
      </c>
      <c r="F93" s="626">
        <f>IFERROR(IF(INDEX('May-April'!$F:$F,MATCH($A93,'May-April'!$B:$B,0))="","",INDEX('May-April'!$F:$F,MATCH($A93,'May-April'!$B:$B,0))),"")</f>
        <v>7541</v>
      </c>
      <c r="G93" s="637">
        <f>IF('Jun''26'!F93="","",'Jun''26'!F93)</f>
        <v>5660</v>
      </c>
      <c r="H93" s="626">
        <f>IFERROR(IF(INDEX('Jul''26'!$F:$F,MATCH($A93,'Jul''26'!$B:$B,0))="","",INDEX('Jul''26'!$F:$F,MATCH($A93,'Jul''26'!$B:$B,0))),"")</f>
        <v>5612</v>
      </c>
      <c r="I93" s="625">
        <f t="shared" ca="1" si="3"/>
        <v>55314.646956521741</v>
      </c>
    </row>
    <row r="94" spans="1:9">
      <c r="A94" s="620" t="str">
        <f>IF('Jun''26'!B94="","",'Jun''26'!B94)</f>
        <v>Payroll taxes</v>
      </c>
      <c r="B94" s="623">
        <f ca="1">IFERROR(IF(INDEX(Jan!$E:$E,MATCH(TRIM($A94),Jan!$B:$B,0))="","",INDEX(Jan!$E:$E,MATCH(TRIM($A94),Jan!$B:$B,0))),"")</f>
        <v>11722.56</v>
      </c>
      <c r="C94" s="623">
        <f>IFERROR(IF(INDEX('March-Feb'!$I:$I,MATCH($A94,'March-Feb'!$B:$B,0))="","",INDEX('March-Feb'!$I:$I,MATCH($A94,'March-Feb'!$B:$B,0))),"")</f>
        <v>7357</v>
      </c>
      <c r="D94" s="623">
        <f>IFERROR(IF(INDEX('March-Feb'!$E:$E,MATCH($A94,'March-Feb'!$B:$B,0))="","",INDEX('March-Feb'!$E:$E,MATCH($A94,'March-Feb'!$B:$B,0))),"")</f>
        <v>3764</v>
      </c>
      <c r="E94" s="623">
        <f>IFERROR(IF(INDEX('April-March'!$F:$F,MATCH($A94,'April-March'!$B:$B,0))="","",INDEX('April-March'!$F:$F,MATCH($A94,'April-March'!$B:$B,0))),"")</f>
        <v>3675</v>
      </c>
      <c r="F94" s="623">
        <f>IFERROR(IF(INDEX('May-April'!$F:$F,MATCH($A94,'May-April'!$B:$B,0))="","",INDEX('May-April'!$F:$F,MATCH($A94,'May-April'!$B:$B,0))),"")</f>
        <v>5513</v>
      </c>
      <c r="G94" s="636">
        <f>IF('Jun''26'!F94="","",'Jun''26'!F94)</f>
        <v>3675</v>
      </c>
      <c r="H94" s="623">
        <f>IFERROR(IF(INDEX('Jul''26'!$F:$F,MATCH($A94,'Jul''26'!$B:$B,0))="","",INDEX('Jul''26'!$F:$F,MATCH($A94,'Jul''26'!$B:$B,0))),"")</f>
        <v>3675</v>
      </c>
      <c r="I94" s="625">
        <f t="shared" ca="1" si="3"/>
        <v>39381.56</v>
      </c>
    </row>
    <row r="95" spans="1:9">
      <c r="A95" s="620" t="str">
        <f>IF('Jun''26'!B95="","",'Jun''26'!B95)</f>
        <v>HR Salaries</v>
      </c>
      <c r="B95" s="623">
        <f ca="1">IFERROR(IF(INDEX(Jan!$E:$E,MATCH(TRIM($A95),Jan!$B:$B,0))="","",INDEX(Jan!$E:$E,MATCH(TRIM($A95),Jan!$B:$B,0))),"")</f>
        <v>757.67391304347802</v>
      </c>
      <c r="C95" s="623">
        <f>IFERROR(IF(INDEX('March-Feb'!$I:$I,MATCH($A95,'March-Feb'!$B:$B,0))="","",INDEX('March-Feb'!$I:$I,MATCH($A95,'March-Feb'!$B:$B,0))),"")</f>
        <v>750</v>
      </c>
      <c r="D95" s="623">
        <f>IFERROR(IF(INDEX('March-Feb'!$E:$E,MATCH($A95,'March-Feb'!$B:$B,0))="","",INDEX('March-Feb'!$E:$E,MATCH($A95,'March-Feb'!$B:$B,0))),"")</f>
        <v>951</v>
      </c>
      <c r="E95" s="623">
        <f>IFERROR(IF(INDEX('April-March'!$F:$F,MATCH($A95,'April-March'!$B:$B,0))="","",INDEX('April-March'!$F:$F,MATCH($A95,'April-March'!$B:$B,0))),"")</f>
        <v>632</v>
      </c>
      <c r="F95" s="623">
        <f>IFERROR(IF(INDEX('May-April'!$F:$F,MATCH($A95,'May-April'!$B:$B,0))="","",INDEX('May-April'!$F:$F,MATCH($A95,'May-April'!$B:$B,0))),"")</f>
        <v>557</v>
      </c>
      <c r="G95" s="636">
        <f>IF('Jun''26'!F95="","",'Jun''26'!F95)</f>
        <v>566</v>
      </c>
      <c r="H95" s="623">
        <f>IFERROR(IF(INDEX('Jul''26'!$F:$F,MATCH($A95,'Jul''26'!$B:$B,0))="","",INDEX('Jul''26'!$F:$F,MATCH($A95,'Jul''26'!$B:$B,0))),"")</f>
        <v>534</v>
      </c>
      <c r="I95" s="625">
        <f t="shared" ca="1" si="3"/>
        <v>4747.673913043478</v>
      </c>
    </row>
    <row r="96" spans="1:9">
      <c r="A96" s="620" t="str">
        <f>IF('Jun''26'!B96="","",'Jun''26'!B96)</f>
        <v>Admin Salaries</v>
      </c>
      <c r="B96" s="623">
        <f ca="1">IFERROR(IF(INDEX(Jan!$E:$E,MATCH(TRIM($A96),Jan!$B:$B,0))="","",INDEX(Jan!$E:$E,MATCH(TRIM($A96),Jan!$B:$B,0))),"")</f>
        <v>994.23913043478296</v>
      </c>
      <c r="C96" s="623">
        <f>IFERROR(IF(INDEX('March-Feb'!$I:$I,MATCH($A96,'March-Feb'!$B:$B,0))="","",INDEX('March-Feb'!$I:$I,MATCH($A96,'March-Feb'!$B:$B,0))),"")</f>
        <v>943</v>
      </c>
      <c r="D96" s="623">
        <f>IFERROR(IF(INDEX('March-Feb'!$E:$E,MATCH($A96,'March-Feb'!$B:$B,0))="","",INDEX('March-Feb'!$E:$E,MATCH($A96,'March-Feb'!$B:$B,0))),"")</f>
        <v>860</v>
      </c>
      <c r="E96" s="623">
        <f>IFERROR(IF(INDEX('April-March'!$F:$F,MATCH($A96,'April-March'!$B:$B,0))="","",INDEX('April-March'!$F:$F,MATCH($A96,'April-March'!$B:$B,0))),"")</f>
        <v>774</v>
      </c>
      <c r="F96" s="623">
        <f>IFERROR(IF(INDEX('May-April'!$F:$F,MATCH($A96,'May-April'!$B:$B,0))="","",INDEX('May-April'!$F:$F,MATCH($A96,'May-April'!$B:$B,0))),"")</f>
        <v>693</v>
      </c>
      <c r="G96" s="636">
        <f>IF('Jun''26'!F96="","",'Jun''26'!F96)</f>
        <v>708</v>
      </c>
      <c r="H96" s="623">
        <f>IFERROR(IF(INDEX('Jul''26'!$F:$F,MATCH($A96,'Jul''26'!$B:$B,0))="","",INDEX('Jul''26'!$F:$F,MATCH($A96,'Jul''26'!$B:$B,0))),"")</f>
        <v>700</v>
      </c>
      <c r="I96" s="625">
        <f t="shared" ca="1" si="3"/>
        <v>5672.239130434783</v>
      </c>
    </row>
    <row r="97" spans="1:9">
      <c r="A97" s="620" t="str">
        <f>IF('Jun''26'!B97="","",'Jun''26'!B97)</f>
        <v>IT Salaries</v>
      </c>
      <c r="B97" s="623">
        <f ca="1">IFERROR(IF(INDEX(Jan!$E:$E,MATCH(TRIM($A97),Jan!$B:$B,0))="","",INDEX(Jan!$E:$E,MATCH(TRIM($A97),Jan!$B:$B,0))),"")</f>
        <v>854.17391304347802</v>
      </c>
      <c r="C97" s="623">
        <f>IFERROR(IF(INDEX('March-Feb'!$I:$I,MATCH($A97,'March-Feb'!$B:$B,0))="","",INDEX('March-Feb'!$I:$I,MATCH($A97,'March-Feb'!$B:$B,0))),"")</f>
        <v>673</v>
      </c>
      <c r="D97" s="623">
        <f>IFERROR(IF(INDEX('March-Feb'!$E:$E,MATCH($A97,'March-Feb'!$B:$B,0))="","",INDEX('March-Feb'!$E:$E,MATCH($A97,'March-Feb'!$B:$B,0))),"")</f>
        <v>958</v>
      </c>
      <c r="E97" s="623">
        <f>IFERROR(IF(INDEX('April-March'!$F:$F,MATCH($A97,'April-March'!$B:$B,0))="","",INDEX('April-March'!$F:$F,MATCH($A97,'April-March'!$B:$B,0))),"")</f>
        <v>836</v>
      </c>
      <c r="F97" s="623">
        <f>IFERROR(IF(INDEX('May-April'!$F:$F,MATCH($A97,'May-April'!$B:$B,0))="","",INDEX('May-April'!$F:$F,MATCH($A97,'May-April'!$B:$B,0))),"")</f>
        <v>777</v>
      </c>
      <c r="G97" s="636">
        <f>IF('Jun''26'!F97="","",'Jun''26'!F97)</f>
        <v>711</v>
      </c>
      <c r="H97" s="623">
        <f>IFERROR(IF(INDEX('Jul''26'!$F:$F,MATCH($A97,'Jul''26'!$B:$B,0))="","",INDEX('Jul''26'!$F:$F,MATCH($A97,'Jul''26'!$B:$B,0))),"")</f>
        <v>703</v>
      </c>
      <c r="I97" s="625">
        <f t="shared" ca="1" si="3"/>
        <v>5512.173913043478</v>
      </c>
    </row>
    <row r="98" spans="1:9">
      <c r="A98" s="620" t="str">
        <f>IF('Jun''26'!B98="","",'Jun''26'!B98)</f>
        <v>Coder</v>
      </c>
      <c r="B98" s="623">
        <f ca="1">IFERROR(IF(INDEX(Jan!$E:$E,MATCH(TRIM($A98),Jan!$B:$B,0))="","",INDEX(Jan!$E:$E,MATCH(TRIM($A98),Jan!$B:$B,0))),"")</f>
        <v>0</v>
      </c>
      <c r="C98" s="623" t="str">
        <f>IFERROR(IF(INDEX('March-Feb'!$I:$I,MATCH($A98,'March-Feb'!$B:$B,0))="","",INDEX('March-Feb'!$I:$I,MATCH($A98,'March-Feb'!$B:$B,0))),"")</f>
        <v/>
      </c>
      <c r="D98" s="623" t="str">
        <f>IFERROR(IF(INDEX('March-Feb'!$E:$E,MATCH($A98,'March-Feb'!$B:$B,0))="","",INDEX('March-Feb'!$E:$E,MATCH($A98,'March-Feb'!$B:$B,0))),"")</f>
        <v/>
      </c>
      <c r="E98" s="623" t="str">
        <f>IFERROR(IF(INDEX('April-March'!$F:$F,MATCH($A98,'April-March'!$B:$B,0))="","",INDEX('April-March'!$F:$F,MATCH($A98,'April-March'!$B:$B,0))),"")</f>
        <v/>
      </c>
      <c r="F98" s="623" t="str">
        <f>IFERROR(IF(INDEX('May-April'!$F:$F,MATCH($A98,'May-April'!$B:$B,0))="","",INDEX('May-April'!$F:$F,MATCH($A98,'May-April'!$B:$B,0))),"")</f>
        <v/>
      </c>
      <c r="G98" s="636" t="str">
        <f>IF('Jun''26'!F98="","",'Jun''26'!F98)</f>
        <v/>
      </c>
      <c r="H98" s="623">
        <f>IFERROR(IF(INDEX('Jul''26'!$F:$F,MATCH($A98,'Jul''26'!$B:$B,0))="","",INDEX('Jul''26'!$F:$F,MATCH($A98,'Jul''26'!$B:$B,0))),"")</f>
        <v>0</v>
      </c>
      <c r="I98" s="625">
        <f t="shared" ca="1" si="3"/>
        <v>0</v>
      </c>
    </row>
    <row r="99" spans="1:9">
      <c r="A99" s="619" t="str">
        <f>IF('Jun''26'!B99="","",'Jun''26'!B99)</f>
        <v xml:space="preserve">        Gen &amp; Admin Expenses</v>
      </c>
      <c r="B99" s="626">
        <f>Jan!E26</f>
        <v>16548.773043478261</v>
      </c>
      <c r="C99" s="626">
        <f>IFERROR(IF(INDEX('March-Feb'!$I:$I,MATCH($A99,'March-Feb'!$B:$B,0))="","",INDEX('March-Feb'!$I:$I,MATCH($A99,'March-Feb'!$B:$B,0))),"")</f>
        <v>9435</v>
      </c>
      <c r="D99" s="626">
        <f>IFERROR(IF(INDEX('March-Feb'!$E:$E,MATCH($A99,'March-Feb'!$B:$B,0))="","",INDEX('March-Feb'!$E:$E,MATCH($A99,'March-Feb'!$B:$B,0))),"")</f>
        <v>15990</v>
      </c>
      <c r="E99" s="626">
        <f>IFERROR(IF(INDEX('April-March'!$F:$F,MATCH($A99,'April-March'!$B:$B,0))="","",INDEX('April-March'!$F:$F,MATCH($A99,'April-March'!$B:$B,0))),"")</f>
        <v>9176</v>
      </c>
      <c r="F99" s="626">
        <f>IFERROR(IF(INDEX('May-April'!$F:$F,MATCH($A99,'May-April'!$B:$B,0))="","",INDEX('May-April'!$F:$F,MATCH($A99,'May-April'!$B:$B,0))),"")</f>
        <v>10040</v>
      </c>
      <c r="G99" s="637">
        <f>IF('Jun''26'!F99="","",'Jun''26'!F99)</f>
        <v>13142</v>
      </c>
      <c r="H99" s="626">
        <f>IFERROR(IF(INDEX('Jul''26'!$F:$F,MATCH($A99,'Jul''26'!$B:$B,0))="","",INDEX('Jul''26'!$F:$F,MATCH($A99,'Jul''26'!$B:$B,0))),"")</f>
        <v>19905</v>
      </c>
      <c r="I99" s="625">
        <f t="shared" si="3"/>
        <v>94236.773043478257</v>
      </c>
    </row>
    <row r="100" spans="1:9">
      <c r="A100" s="620" t="str">
        <f>IF('Jun''26'!B100="","",'Jun''26'!B100)</f>
        <v>Consultancy Fees</v>
      </c>
      <c r="B100" s="623">
        <f ca="1">IFERROR(IF(INDEX(Jan!$E:$E,MATCH(TRIM($A100),Jan!$B:$B,0))="","",INDEX(Jan!$E:$E,MATCH(TRIM($A100),Jan!$B:$B,0))),"")</f>
        <v>6383.42</v>
      </c>
      <c r="C100" s="623" t="str">
        <f>IFERROR(IF(INDEX('March-Feb'!$I:$I,MATCH($A100,'March-Feb'!$B:$B,0))="","",INDEX('March-Feb'!$I:$I,MATCH($A100,'March-Feb'!$B:$B,0))),"")</f>
        <v/>
      </c>
      <c r="D100" s="623" t="str">
        <f>IFERROR(IF(INDEX('March-Feb'!$E:$E,MATCH($A100,'March-Feb'!$B:$B,0))="","",INDEX('March-Feb'!$E:$E,MATCH($A100,'March-Feb'!$B:$B,0))),"")</f>
        <v/>
      </c>
      <c r="E100" s="623" t="str">
        <f>IFERROR(IF(INDEX('April-March'!$F:$F,MATCH($A100,'April-March'!$B:$B,0))="","",INDEX('April-March'!$F:$F,MATCH($A100,'April-March'!$B:$B,0))),"")</f>
        <v/>
      </c>
      <c r="F100" s="623" t="str">
        <f>IFERROR(IF(INDEX('May-April'!$F:$F,MATCH($A100,'May-April'!$B:$B,0))="","",INDEX('May-April'!$F:$F,MATCH($A100,'May-April'!$B:$B,0))),"")</f>
        <v/>
      </c>
      <c r="G100" s="636" t="str">
        <f>IF('Jun''26'!F100="","",'Jun''26'!F100)</f>
        <v/>
      </c>
      <c r="H100" s="623">
        <f>IFERROR(IF(INDEX('Jul''26'!$F:$F,MATCH($A100,'Jul''26'!$B:$B,0))="","",INDEX('Jul''26'!$F:$F,MATCH($A100,'Jul''26'!$B:$B,0))),"")</f>
        <v>0</v>
      </c>
      <c r="I100" s="625">
        <f t="shared" ca="1" si="3"/>
        <v>6383.42</v>
      </c>
    </row>
    <row r="101" spans="1:9">
      <c r="A101" s="620" t="str">
        <f>IF('Jun''26'!B101="","",'Jun''26'!B101)</f>
        <v>Comission Paid-Scinet Inc</v>
      </c>
      <c r="B101" s="623">
        <f ca="1">IFERROR(IF(INDEX(Jan!$E:$E,MATCH(TRIM($A101),Jan!$B:$B,0))="","",INDEX(Jan!$E:$E,MATCH(TRIM($A101),Jan!$B:$B,0))),"")</f>
        <v>0</v>
      </c>
      <c r="C101" s="623" t="str">
        <f>IFERROR(IF(INDEX('March-Feb'!$I:$I,MATCH($A101,'March-Feb'!$B:$B,0))="","",INDEX('March-Feb'!$I:$I,MATCH($A101,'March-Feb'!$B:$B,0))),"")</f>
        <v/>
      </c>
      <c r="D101" s="623" t="str">
        <f>IFERROR(IF(INDEX('March-Feb'!$E:$E,MATCH($A101,'March-Feb'!$B:$B,0))="","",INDEX('March-Feb'!$E:$E,MATCH($A101,'March-Feb'!$B:$B,0))),"")</f>
        <v/>
      </c>
      <c r="E101" s="623" t="str">
        <f>IFERROR(IF(INDEX('April-March'!$F:$F,MATCH($A101,'April-March'!$B:$B,0))="","",INDEX('April-March'!$F:$F,MATCH($A101,'April-March'!$B:$B,0))),"")</f>
        <v/>
      </c>
      <c r="F101" s="623" t="str">
        <f>IFERROR(IF(INDEX('May-April'!$F:$F,MATCH($A101,'May-April'!$B:$B,0))="","",INDEX('May-April'!$F:$F,MATCH($A101,'May-April'!$B:$B,0))),"")</f>
        <v/>
      </c>
      <c r="G101" s="636" t="str">
        <f>IF('Jun''26'!F101="","",'Jun''26'!F101)</f>
        <v/>
      </c>
      <c r="H101" s="623">
        <f>IFERROR(IF(INDEX('Jul''26'!$F:$F,MATCH($A101,'Jul''26'!$B:$B,0))="","",INDEX('Jul''26'!$F:$F,MATCH($A101,'Jul''26'!$B:$B,0))),"")</f>
        <v>0</v>
      </c>
      <c r="I101" s="625">
        <f t="shared" ca="1" si="3"/>
        <v>0</v>
      </c>
    </row>
    <row r="102" spans="1:9">
      <c r="A102" s="620" t="str">
        <f>IF('Jun''26'!B102="","",'Jun''26'!B102)</f>
        <v>Leadership engagemnet</v>
      </c>
      <c r="B102" s="623">
        <f ca="1">IFERROR(IF(INDEX(Jan!$E:$E,MATCH(TRIM($A102),Jan!$B:$B,0))="","",INDEX(Jan!$E:$E,MATCH(TRIM($A102),Jan!$B:$B,0))),"")</f>
        <v>0</v>
      </c>
      <c r="C102" s="623" t="str">
        <f>IFERROR(IF(INDEX('March-Feb'!$I:$I,MATCH($A102,'March-Feb'!$B:$B,0))="","",INDEX('March-Feb'!$I:$I,MATCH($A102,'March-Feb'!$B:$B,0))),"")</f>
        <v/>
      </c>
      <c r="D102" s="623" t="str">
        <f>IFERROR(IF(INDEX('March-Feb'!$E:$E,MATCH($A102,'March-Feb'!$B:$B,0))="","",INDEX('March-Feb'!$E:$E,MATCH($A102,'March-Feb'!$B:$B,0))),"")</f>
        <v/>
      </c>
      <c r="E102" s="623" t="str">
        <f>IFERROR(IF(INDEX('April-March'!$F:$F,MATCH($A102,'April-March'!$B:$B,0))="","",INDEX('April-March'!$F:$F,MATCH($A102,'April-March'!$B:$B,0))),"")</f>
        <v/>
      </c>
      <c r="F102" s="623" t="str">
        <f>IFERROR(IF(INDEX('May-April'!$F:$F,MATCH($A102,'May-April'!$B:$B,0))="","",INDEX('May-April'!$F:$F,MATCH($A102,'May-April'!$B:$B,0))),"")</f>
        <v/>
      </c>
      <c r="G102" s="636" t="str">
        <f>IF('Jun''26'!F102="","",'Jun''26'!F102)</f>
        <v/>
      </c>
      <c r="H102" s="623">
        <f>IFERROR(IF(INDEX('Jul''26'!$F:$F,MATCH($A102,'Jul''26'!$B:$B,0))="","",INDEX('Jul''26'!$F:$F,MATCH($A102,'Jul''26'!$B:$B,0))),"")</f>
        <v>0</v>
      </c>
      <c r="I102" s="625">
        <f t="shared" ca="1" si="3"/>
        <v>0</v>
      </c>
    </row>
    <row r="103" spans="1:9">
      <c r="A103" s="620" t="str">
        <f>IF('Jun''26'!B103="","",'Jun''26'!B103)</f>
        <v>Charitable Donations</v>
      </c>
      <c r="B103" s="623">
        <f ca="1">IFERROR(IF(INDEX(Jan!$E:$E,MATCH(TRIM($A103),Jan!$B:$B,0))="","",INDEX(Jan!$E:$E,MATCH(TRIM($A103),Jan!$B:$B,0))),"")</f>
        <v>0</v>
      </c>
      <c r="C103" s="623" t="str">
        <f>IFERROR(IF(INDEX('March-Feb'!$I:$I,MATCH($A103,'March-Feb'!$B:$B,0))="","",INDEX('March-Feb'!$I:$I,MATCH($A103,'March-Feb'!$B:$B,0))),"")</f>
        <v/>
      </c>
      <c r="D103" s="623" t="str">
        <f>IFERROR(IF(INDEX('March-Feb'!$E:$E,MATCH($A103,'March-Feb'!$B:$B,0))="","",INDEX('March-Feb'!$E:$E,MATCH($A103,'March-Feb'!$B:$B,0))),"")</f>
        <v/>
      </c>
      <c r="E103" s="623" t="str">
        <f>IFERROR(IF(INDEX('April-March'!$F:$F,MATCH($A103,'April-March'!$B:$B,0))="","",INDEX('April-March'!$F:$F,MATCH($A103,'April-March'!$B:$B,0))),"")</f>
        <v/>
      </c>
      <c r="F103" s="623" t="str">
        <f>IFERROR(IF(INDEX('May-April'!$F:$F,MATCH($A103,'May-April'!$B:$B,0))="","",INDEX('May-April'!$F:$F,MATCH($A103,'May-April'!$B:$B,0))),"")</f>
        <v/>
      </c>
      <c r="G103" s="636" t="str">
        <f>IF('Jun''26'!F103="","",'Jun''26'!F103)</f>
        <v/>
      </c>
      <c r="H103" s="623">
        <f>IFERROR(IF(INDEX('Jul''26'!$F:$F,MATCH($A103,'Jul''26'!$B:$B,0))="","",INDEX('Jul''26'!$F:$F,MATCH($A103,'Jul''26'!$B:$B,0))),"")</f>
        <v>0</v>
      </c>
      <c r="I103" s="625">
        <f t="shared" ca="1" si="3"/>
        <v>0</v>
      </c>
    </row>
    <row r="104" spans="1:9">
      <c r="A104" s="620" t="str">
        <f>IF('Jun''26'!B104="","",'Jun''26'!B104)</f>
        <v>Fuel/Mileage Expenses</v>
      </c>
      <c r="B104" s="623">
        <f ca="1">IFERROR(IF(INDEX(Jan!$E:$E,MATCH(TRIM($A104),Jan!$B:$B,0))="","",INDEX(Jan!$E:$E,MATCH(TRIM($A104),Jan!$B:$B,0))),"")</f>
        <v>132.06</v>
      </c>
      <c r="C104" s="623">
        <f>IFERROR(IF(INDEX('March-Feb'!$I:$I,MATCH($A104,'March-Feb'!$B:$B,0))="","",INDEX('March-Feb'!$I:$I,MATCH($A104,'March-Feb'!$B:$B,0))),"")</f>
        <v>125</v>
      </c>
      <c r="D104" s="623">
        <f>IFERROR(IF(INDEX('March-Feb'!$E:$E,MATCH($A104,'March-Feb'!$B:$B,0))="","",INDEX('March-Feb'!$E:$E,MATCH($A104,'March-Feb'!$B:$B,0))),"")</f>
        <v>97</v>
      </c>
      <c r="E104" s="623">
        <f>IFERROR(IF(INDEX('April-March'!$F:$F,MATCH($A104,'April-March'!$B:$B,0))="","",INDEX('April-March'!$F:$F,MATCH($A104,'April-March'!$B:$B,0))),"")</f>
        <v>89</v>
      </c>
      <c r="F104" s="623">
        <f>IFERROR(IF(INDEX('May-April'!$F:$F,MATCH($A104,'May-April'!$B:$B,0))="","",INDEX('May-April'!$F:$F,MATCH($A104,'May-April'!$B:$B,0))),"")</f>
        <v>0</v>
      </c>
      <c r="G104" s="636">
        <f>IF('Jun''26'!F104="","",'Jun''26'!F104)</f>
        <v>0</v>
      </c>
      <c r="H104" s="623">
        <f>IFERROR(IF(INDEX('Jul''26'!$F:$F,MATCH($A104,'Jul''26'!$B:$B,0))="","",INDEX('Jul''26'!$F:$F,MATCH($A104,'Jul''26'!$B:$B,0))),"")</f>
        <v>157</v>
      </c>
      <c r="I104" s="625">
        <f t="shared" ca="1" si="3"/>
        <v>600.05999999999995</v>
      </c>
    </row>
    <row r="105" spans="1:9">
      <c r="A105" s="620" t="str">
        <f>IF('Jun''26'!B105="","",'Jun''26'!B105)</f>
        <v>Payroll Processing Fees</v>
      </c>
      <c r="B105" s="623">
        <f ca="1">IFERROR(IF(INDEX(Jan!$E:$E,MATCH(TRIM($A105),Jan!$B:$B,0))="","",INDEX(Jan!$E:$E,MATCH(TRIM($A105),Jan!$B:$B,0))),"")</f>
        <v>962.65</v>
      </c>
      <c r="C105" s="623">
        <f>IFERROR(IF(INDEX('March-Feb'!$I:$I,MATCH($A105,'March-Feb'!$B:$B,0))="","",INDEX('March-Feb'!$I:$I,MATCH($A105,'March-Feb'!$B:$B,0))),"")</f>
        <v>468</v>
      </c>
      <c r="D105" s="623">
        <f>IFERROR(IF(INDEX('March-Feb'!$E:$E,MATCH($A105,'March-Feb'!$B:$B,0))="","",INDEX('March-Feb'!$E:$E,MATCH($A105,'March-Feb'!$B:$B,0))),"")</f>
        <v>608</v>
      </c>
      <c r="E105" s="623">
        <f>IFERROR(IF(INDEX('April-March'!$F:$F,MATCH($A105,'April-March'!$B:$B,0))="","",INDEX('April-March'!$F:$F,MATCH($A105,'April-March'!$B:$B,0))),"")</f>
        <v>523</v>
      </c>
      <c r="F105" s="623">
        <f>IFERROR(IF(INDEX('May-April'!$F:$F,MATCH($A105,'May-April'!$B:$B,0))="","",INDEX('May-April'!$F:$F,MATCH($A105,'May-April'!$B:$B,0))),"")</f>
        <v>537</v>
      </c>
      <c r="G105" s="636">
        <f>IF('Jun''26'!F105="","",'Jun''26'!F105)</f>
        <v>528</v>
      </c>
      <c r="H105" s="623">
        <f>IFERROR(IF(INDEX('Jul''26'!$F:$F,MATCH($A105,'Jul''26'!$B:$B,0))="","",INDEX('Jul''26'!$F:$F,MATCH($A105,'Jul''26'!$B:$B,0))),"")</f>
        <v>933</v>
      </c>
      <c r="I105" s="625">
        <f t="shared" ca="1" si="3"/>
        <v>4559.6499999999996</v>
      </c>
    </row>
    <row r="106" spans="1:9">
      <c r="A106" s="620" t="str">
        <f>IF('Jun''26'!B106="","",'Jun''26'!B106)</f>
        <v>Parking</v>
      </c>
      <c r="B106" s="623">
        <f ca="1">IFERROR(IF(INDEX(Jan!$E:$E,MATCH(TRIM($A106),Jan!$B:$B,0))="","",INDEX(Jan!$E:$E,MATCH(TRIM($A106),Jan!$B:$B,0))),"")</f>
        <v>0</v>
      </c>
      <c r="C106" s="623" t="str">
        <f>IFERROR(IF(INDEX('March-Feb'!$I:$I,MATCH($A106,'March-Feb'!$B:$B,0))="","",INDEX('March-Feb'!$I:$I,MATCH($A106,'March-Feb'!$B:$B,0))),"")</f>
        <v/>
      </c>
      <c r="D106" s="623" t="str">
        <f>IFERROR(IF(INDEX('March-Feb'!$E:$E,MATCH($A106,'March-Feb'!$B:$B,0))="","",INDEX('March-Feb'!$E:$E,MATCH($A106,'March-Feb'!$B:$B,0))),"")</f>
        <v/>
      </c>
      <c r="E106" s="623" t="str">
        <f>IFERROR(IF(INDEX('April-March'!$F:$F,MATCH($A106,'April-March'!$B:$B,0))="","",INDEX('April-March'!$F:$F,MATCH($A106,'April-March'!$B:$B,0))),"")</f>
        <v/>
      </c>
      <c r="F106" s="623" t="str">
        <f>IFERROR(IF(INDEX('May-April'!$F:$F,MATCH($A106,'May-April'!$B:$B,0))="","",INDEX('May-April'!$F:$F,MATCH($A106,'May-April'!$B:$B,0))),"")</f>
        <v/>
      </c>
      <c r="G106" s="636" t="str">
        <f>IF('Jun''26'!F106="","",'Jun''26'!F106)</f>
        <v/>
      </c>
      <c r="H106" s="623">
        <f>IFERROR(IF(INDEX('Jul''26'!$F:$F,MATCH($A106,'Jul''26'!$B:$B,0))="","",INDEX('Jul''26'!$F:$F,MATCH($A106,'Jul''26'!$B:$B,0))),"")</f>
        <v>58</v>
      </c>
      <c r="I106" s="625">
        <f t="shared" ca="1" si="3"/>
        <v>58</v>
      </c>
    </row>
    <row r="107" spans="1:9">
      <c r="A107" s="620" t="str">
        <f>IF('Jun''26'!B107="","",'Jun''26'!B107)</f>
        <v>Toll Fee</v>
      </c>
      <c r="B107" s="623">
        <f ca="1">IFERROR(IF(INDEX(Jan!$E:$E,MATCH(TRIM($A107),Jan!$B:$B,0))="","",INDEX(Jan!$E:$E,MATCH(TRIM($A107),Jan!$B:$B,0))),"")</f>
        <v>25</v>
      </c>
      <c r="C107" s="623">
        <f>IFERROR(IF(INDEX('March-Feb'!$I:$I,MATCH($A107,'March-Feb'!$B:$B,0))="","",INDEX('March-Feb'!$I:$I,MATCH($A107,'March-Feb'!$B:$B,0))),"")</f>
        <v>25</v>
      </c>
      <c r="D107" s="623">
        <f>IFERROR(IF(INDEX('March-Feb'!$E:$E,MATCH($A107,'March-Feb'!$B:$B,0))="","",INDEX('March-Feb'!$E:$E,MATCH($A107,'March-Feb'!$B:$B,0))),"")</f>
        <v>0</v>
      </c>
      <c r="E107" s="623">
        <f>IFERROR(IF(INDEX('April-March'!$F:$F,MATCH($A107,'April-March'!$B:$B,0))="","",INDEX('April-March'!$F:$F,MATCH($A107,'April-March'!$B:$B,0))),"")</f>
        <v>25</v>
      </c>
      <c r="F107" s="623">
        <f>IFERROR(IF(INDEX('May-April'!$F:$F,MATCH($A107,'May-April'!$B:$B,0))="","",INDEX('May-April'!$F:$F,MATCH($A107,'May-April'!$B:$B,0))),"")</f>
        <v>0</v>
      </c>
      <c r="G107" s="636">
        <f>IF('Jun''26'!F107="","",'Jun''26'!F107)</f>
        <v>0</v>
      </c>
      <c r="H107" s="623">
        <f>IFERROR(IF(INDEX('Jul''26'!$F:$F,MATCH($A107,'Jul''26'!$B:$B,0))="","",INDEX('Jul''26'!$F:$F,MATCH($A107,'Jul''26'!$B:$B,0))),"")</f>
        <v>75</v>
      </c>
      <c r="I107" s="625">
        <f t="shared" ca="1" si="3"/>
        <v>150</v>
      </c>
    </row>
    <row r="108" spans="1:9">
      <c r="A108" s="620" t="str">
        <f>IF('Jun''26'!B108="","",'Jun''26'!B108)</f>
        <v>Travelling Expenses</v>
      </c>
      <c r="B108" s="623">
        <f ca="1">IFERROR(IF(INDEX(Jan!$E:$E,MATCH(TRIM($A108),Jan!$B:$B,0))="","",INDEX(Jan!$E:$E,MATCH(TRIM($A108),Jan!$B:$B,0))),"")</f>
        <v>266.30554347826097</v>
      </c>
      <c r="C108" s="623">
        <f>IFERROR(IF(INDEX('March-Feb'!$I:$I,MATCH($A108,'March-Feb'!$B:$B,0))="","",INDEX('March-Feb'!$I:$I,MATCH($A108,'March-Feb'!$B:$B,0))),"")</f>
        <v>2658</v>
      </c>
      <c r="D108" s="623">
        <f>IFERROR(IF(INDEX('March-Feb'!$E:$E,MATCH($A108,'March-Feb'!$B:$B,0))="","",INDEX('March-Feb'!$E:$E,MATCH($A108,'March-Feb'!$B:$B,0))),"")</f>
        <v>2571</v>
      </c>
      <c r="E108" s="623">
        <f>IFERROR(IF(INDEX('April-March'!$F:$F,MATCH($A108,'April-March'!$B:$B,0))="","",INDEX('April-March'!$F:$F,MATCH($A108,'April-March'!$B:$B,0))),"")</f>
        <v>447</v>
      </c>
      <c r="F108" s="623">
        <f>IFERROR(IF(INDEX('May-April'!$F:$F,MATCH($A108,'May-April'!$B:$B,0))="","",INDEX('May-April'!$F:$F,MATCH($A108,'May-April'!$B:$B,0))),"")</f>
        <v>162</v>
      </c>
      <c r="G108" s="636">
        <f>IF('Jun''26'!F108="","",'Jun''26'!F108)</f>
        <v>428</v>
      </c>
      <c r="H108" s="623">
        <f>IFERROR(IF(INDEX('Jul''26'!$F:$F,MATCH($A108,'Jul''26'!$B:$B,0))="","",INDEX('Jul''26'!$F:$F,MATCH($A108,'Jul''26'!$B:$B,0))),"")</f>
        <v>7427</v>
      </c>
      <c r="I108" s="625">
        <f t="shared" ca="1" si="3"/>
        <v>13959.305543478262</v>
      </c>
    </row>
    <row r="109" spans="1:9">
      <c r="A109" s="620" t="str">
        <f>IF('Jun''26'!B109="","",'Jun''26'!B109)</f>
        <v>Insurance Expense</v>
      </c>
      <c r="B109" s="623">
        <f ca="1">IFERROR(IF(INDEX(Jan!$E:$E,MATCH(TRIM($A109),Jan!$B:$B,0))="","",INDEX(Jan!$E:$E,MATCH(TRIM($A109),Jan!$B:$B,0))),"")</f>
        <v>6727.8</v>
      </c>
      <c r="C109" s="623">
        <f>IFERROR(IF(INDEX('March-Feb'!$I:$I,MATCH($A109,'March-Feb'!$B:$B,0))="","",INDEX('March-Feb'!$I:$I,MATCH($A109,'March-Feb'!$B:$B,0))),"")</f>
        <v>4338</v>
      </c>
      <c r="D109" s="623">
        <f>IFERROR(IF(INDEX('March-Feb'!$E:$E,MATCH($A109,'March-Feb'!$B:$B,0))="","",INDEX('March-Feb'!$E:$E,MATCH($A109,'March-Feb'!$B:$B,0))),"")</f>
        <v>10409</v>
      </c>
      <c r="E109" s="623">
        <f>IFERROR(IF(INDEX('April-March'!$F:$F,MATCH($A109,'April-March'!$B:$B,0))="","",INDEX('April-March'!$F:$F,MATCH($A109,'April-March'!$B:$B,0))),"")</f>
        <v>3781</v>
      </c>
      <c r="F109" s="623">
        <f>IFERROR(IF(INDEX('May-April'!$F:$F,MATCH($A109,'May-April'!$B:$B,0))="","",INDEX('May-April'!$F:$F,MATCH($A109,'May-April'!$B:$B,0))),"")</f>
        <v>6181</v>
      </c>
      <c r="G109" s="636">
        <f>IF('Jun''26'!F109="","",'Jun''26'!F109)</f>
        <v>6154</v>
      </c>
      <c r="H109" s="623">
        <f>IFERROR(IF(INDEX('Jul''26'!$F:$F,MATCH($A109,'Jul''26'!$B:$B,0))="","",INDEX('Jul''26'!$F:$F,MATCH($A109,'Jul''26'!$B:$B,0))),"")</f>
        <v>5846</v>
      </c>
      <c r="I109" s="625">
        <f t="shared" ca="1" si="3"/>
        <v>43436.800000000003</v>
      </c>
    </row>
    <row r="110" spans="1:9">
      <c r="A110" s="620" t="str">
        <f>IF('Jun''26'!B110="","",'Jun''26'!B110)</f>
        <v>Postage</v>
      </c>
      <c r="B110" s="623">
        <f ca="1">IFERROR(IF(INDEX(Jan!$E:$E,MATCH(TRIM($A110),Jan!$B:$B,0))="","",INDEX(Jan!$E:$E,MATCH(TRIM($A110),Jan!$B:$B,0))),"")</f>
        <v>14.99</v>
      </c>
      <c r="C110" s="623">
        <f>IFERROR(IF(INDEX('March-Feb'!$I:$I,MATCH($A110,'March-Feb'!$B:$B,0))="","",INDEX('March-Feb'!$I:$I,MATCH($A110,'March-Feb'!$B:$B,0))),"")</f>
        <v>15</v>
      </c>
      <c r="D110" s="623">
        <f>IFERROR(IF(INDEX('March-Feb'!$E:$E,MATCH($A110,'March-Feb'!$B:$B,0))="","",INDEX('March-Feb'!$E:$E,MATCH($A110,'March-Feb'!$B:$B,0))),"")</f>
        <v>15</v>
      </c>
      <c r="E110" s="623">
        <f>IFERROR(IF(INDEX('April-March'!$F:$F,MATCH($A110,'April-March'!$B:$B,0))="","",INDEX('April-March'!$F:$F,MATCH($A110,'April-March'!$B:$B,0))),"")</f>
        <v>0</v>
      </c>
      <c r="F110" s="623">
        <f>IFERROR(IF(INDEX('May-April'!$F:$F,MATCH($A110,'May-April'!$B:$B,0))="","",INDEX('May-April'!$F:$F,MATCH($A110,'May-April'!$B:$B,0))),"")</f>
        <v>0</v>
      </c>
      <c r="G110" s="636">
        <f>IF('Jun''26'!F110="","",'Jun''26'!F110)</f>
        <v>0</v>
      </c>
      <c r="H110" s="623">
        <f>IFERROR(IF(INDEX('Jul''26'!$F:$F,MATCH($A110,'Jul''26'!$B:$B,0))="","",INDEX('Jul''26'!$F:$F,MATCH($A110,'Jul''26'!$B:$B,0))),"")</f>
        <v>0</v>
      </c>
      <c r="I110" s="625">
        <f t="shared" ca="1" si="3"/>
        <v>44.99</v>
      </c>
    </row>
    <row r="111" spans="1:9">
      <c r="A111" s="620" t="str">
        <f>IF('Jun''26'!B111="","",'Jun''26'!B111)</f>
        <v>Printing and stationery</v>
      </c>
      <c r="B111" s="623">
        <f ca="1">IFERROR(IF(INDEX(Jan!$E:$E,MATCH(TRIM($A111),Jan!$B:$B,0))="","",INDEX(Jan!$E:$E,MATCH(TRIM($A111),Jan!$B:$B,0))),"")</f>
        <v>0</v>
      </c>
      <c r="C111" s="623">
        <f>IFERROR(IF(INDEX('March-Feb'!$I:$I,MATCH($A111,'March-Feb'!$B:$B,0))="","",INDEX('March-Feb'!$I:$I,MATCH($A111,'March-Feb'!$B:$B,0))),"")</f>
        <v>12</v>
      </c>
      <c r="D111" s="623">
        <f>IFERROR(IF(INDEX('March-Feb'!$E:$E,MATCH($A111,'March-Feb'!$B:$B,0))="","",INDEX('March-Feb'!$E:$E,MATCH($A111,'March-Feb'!$B:$B,0))),"")</f>
        <v>0</v>
      </c>
      <c r="E111" s="623">
        <f>IFERROR(IF(INDEX('April-March'!$F:$F,MATCH($A111,'April-March'!$B:$B,0))="","",INDEX('April-March'!$F:$F,MATCH($A111,'April-March'!$B:$B,0))),"")</f>
        <v>0</v>
      </c>
      <c r="F111" s="623">
        <f>IFERROR(IF(INDEX('May-April'!$F:$F,MATCH($A111,'May-April'!$B:$B,0))="","",INDEX('May-April'!$F:$F,MATCH($A111,'May-April'!$B:$B,0))),"")</f>
        <v>0</v>
      </c>
      <c r="G111" s="636">
        <f>IF('Jun''26'!F111="","",'Jun''26'!F111)</f>
        <v>0</v>
      </c>
      <c r="H111" s="623">
        <f>IFERROR(IF(INDEX('Jul''26'!$F:$F,MATCH($A111,'Jul''26'!$B:$B,0))="","",INDEX('Jul''26'!$F:$F,MATCH($A111,'Jul''26'!$B:$B,0))),"")</f>
        <v>0</v>
      </c>
      <c r="I111" s="625">
        <f t="shared" ca="1" si="3"/>
        <v>12</v>
      </c>
    </row>
    <row r="112" spans="1:9">
      <c r="A112" s="620" t="str">
        <f>IF('Jun''26'!B112="","",'Jun''26'!B112)</f>
        <v>Finance charges</v>
      </c>
      <c r="B112" s="623">
        <f ca="1">IFERROR(IF(INDEX(Jan!$E:$E,MATCH(TRIM($A112),Jan!$B:$B,0))="","",INDEX(Jan!$E:$E,MATCH(TRIM($A112),Jan!$B:$B,0))),"")</f>
        <v>0</v>
      </c>
      <c r="C112" s="623" t="str">
        <f>IFERROR(IF(INDEX('March-Feb'!$I:$I,MATCH($A112,'March-Feb'!$B:$B,0))="","",INDEX('March-Feb'!$I:$I,MATCH($A112,'March-Feb'!$B:$B,0))),"")</f>
        <v/>
      </c>
      <c r="D112" s="623" t="str">
        <f>IFERROR(IF(INDEX('March-Feb'!$E:$E,MATCH($A112,'March-Feb'!$B:$B,0))="","",INDEX('March-Feb'!$E:$E,MATCH($A112,'March-Feb'!$B:$B,0))),"")</f>
        <v/>
      </c>
      <c r="E112" s="623" t="str">
        <f>IFERROR(IF(INDEX('April-March'!$F:$F,MATCH($A112,'April-March'!$B:$B,0))="","",INDEX('April-March'!$F:$F,MATCH($A112,'April-March'!$B:$B,0))),"")</f>
        <v/>
      </c>
      <c r="F112" s="623" t="str">
        <f>IFERROR(IF(INDEX('May-April'!$F:$F,MATCH($A112,'May-April'!$B:$B,0))="","",INDEX('May-April'!$F:$F,MATCH($A112,'May-April'!$B:$B,0))),"")</f>
        <v/>
      </c>
      <c r="G112" s="636" t="str">
        <f>IF('Jun''26'!F112="","",'Jun''26'!F112)</f>
        <v/>
      </c>
      <c r="H112" s="623">
        <f>IFERROR(IF(INDEX('Jul''26'!$F:$F,MATCH($A112,'Jul''26'!$B:$B,0))="","",INDEX('Jul''26'!$F:$F,MATCH($A112,'Jul''26'!$B:$B,0))),"")</f>
        <v>0</v>
      </c>
      <c r="I112" s="625">
        <f t="shared" ca="1" si="3"/>
        <v>0</v>
      </c>
    </row>
    <row r="113" spans="1:9">
      <c r="A113" s="620" t="str">
        <f>IF('Jun''26'!B113="","",'Jun''26'!B113)</f>
        <v>Accommodation Charges</v>
      </c>
      <c r="B113" s="623">
        <f ca="1">IFERROR(IF(INDEX(Jan!$E:$E,MATCH(TRIM($A113),Jan!$B:$B,0))="","",INDEX(Jan!$E:$E,MATCH(TRIM($A113),Jan!$B:$B,0))),"")</f>
        <v>0</v>
      </c>
      <c r="C113" s="623">
        <f>IFERROR(IF(INDEX('March-Feb'!$I:$I,MATCH($A113,'March-Feb'!$B:$B,0))="","",INDEX('March-Feb'!$I:$I,MATCH($A113,'March-Feb'!$B:$B,0))),"")</f>
        <v>370</v>
      </c>
      <c r="D113" s="623">
        <f>IFERROR(IF(INDEX('March-Feb'!$E:$E,MATCH($A113,'March-Feb'!$B:$B,0))="","",INDEX('March-Feb'!$E:$E,MATCH($A113,'March-Feb'!$B:$B,0))),"")</f>
        <v>0</v>
      </c>
      <c r="E113" s="623">
        <f>IFERROR(IF(INDEX('April-March'!$F:$F,MATCH($A113,'April-March'!$B:$B,0))="","",INDEX('April-March'!$F:$F,MATCH($A113,'April-March'!$B:$B,0))),"")</f>
        <v>0</v>
      </c>
      <c r="F113" s="623">
        <f>IFERROR(IF(INDEX('May-April'!$F:$F,MATCH($A113,'May-April'!$B:$B,0))="","",INDEX('May-April'!$F:$F,MATCH($A113,'May-April'!$B:$B,0))),"")</f>
        <v>-2</v>
      </c>
      <c r="G113" s="636">
        <f>IF('Jun''26'!F113="","",'Jun''26'!F113)</f>
        <v>-1</v>
      </c>
      <c r="H113" s="623">
        <f>IFERROR(IF(INDEX('Jul''26'!$F:$F,MATCH($A113,'Jul''26'!$B:$B,0))="","",INDEX('Jul''26'!$F:$F,MATCH($A113,'Jul''26'!$B:$B,0))),"")</f>
        <v>-1</v>
      </c>
      <c r="I113" s="625">
        <f t="shared" ca="1" si="3"/>
        <v>366</v>
      </c>
    </row>
    <row r="114" spans="1:9">
      <c r="A114" s="620" t="str">
        <f>IF('Jun''26'!B114="","",'Jun''26'!B114)</f>
        <v>Other Expenses</v>
      </c>
      <c r="B114" s="623">
        <f ca="1">IFERROR(IF(INDEX(Jan!$E:$E,MATCH(TRIM($A114),Jan!$B:$B,0))="","",INDEX(Jan!$E:$E,MATCH(TRIM($A114),Jan!$B:$B,0))),"")</f>
        <v>3.05913043478261</v>
      </c>
      <c r="C114" s="623">
        <f>IFERROR(IF(INDEX('March-Feb'!$I:$I,MATCH($A114,'March-Feb'!$B:$B,0))="","",INDEX('March-Feb'!$I:$I,MATCH($A114,'March-Feb'!$B:$B,0))),"")</f>
        <v>306</v>
      </c>
      <c r="D114" s="623">
        <f>IFERROR(IF(INDEX('March-Feb'!$E:$E,MATCH($A114,'March-Feb'!$B:$B,0))="","",INDEX('March-Feb'!$E:$E,MATCH($A114,'March-Feb'!$B:$B,0))),"")</f>
        <v>295</v>
      </c>
      <c r="E114" s="623">
        <f>IFERROR(IF(INDEX('April-March'!$F:$F,MATCH($A114,'April-March'!$B:$B,0))="","",INDEX('April-March'!$F:$F,MATCH($A114,'April-March'!$B:$B,0))),"")</f>
        <v>294</v>
      </c>
      <c r="F114" s="623">
        <f>IFERROR(IF(INDEX('May-April'!$F:$F,MATCH($A114,'May-April'!$B:$B,0))="","",INDEX('May-April'!$F:$F,MATCH($A114,'May-April'!$B:$B,0))),"")</f>
        <v>281</v>
      </c>
      <c r="G114" s="636">
        <f>IF('Jun''26'!F114="","",'Jun''26'!F114)</f>
        <v>293</v>
      </c>
      <c r="H114" s="623">
        <f>IFERROR(IF(INDEX('Jul''26'!$F:$F,MATCH($A114,'Jul''26'!$B:$B,0))="","",INDEX('Jul''26'!$F:$F,MATCH($A114,'Jul''26'!$B:$B,0))),"")</f>
        <v>304</v>
      </c>
      <c r="I114" s="625">
        <f t="shared" ca="1" si="3"/>
        <v>1776.0591304347827</v>
      </c>
    </row>
    <row r="115" spans="1:9">
      <c r="A115" s="620" t="str">
        <f>IF('Jun''26'!B115="","",'Jun''26'!B115)</f>
        <v>Delivery charges</v>
      </c>
      <c r="B115" s="623">
        <f ca="1">IFERROR(IF(INDEX(Jan!$E:$E,MATCH(TRIM($A115),Jan!$B:$B,0))="","",INDEX(Jan!$E:$E,MATCH(TRIM($A115),Jan!$B:$B,0))),"")</f>
        <v>0</v>
      </c>
      <c r="C115" s="623" t="str">
        <f>IFERROR(IF(INDEX('March-Feb'!$I:$I,MATCH($A115,'March-Feb'!$B:$B,0))="","",INDEX('March-Feb'!$I:$I,MATCH($A115,'March-Feb'!$B:$B,0))),"")</f>
        <v/>
      </c>
      <c r="D115" s="623" t="str">
        <f>IFERROR(IF(INDEX('March-Feb'!$E:$E,MATCH($A115,'March-Feb'!$B:$B,0))="","",INDEX('March-Feb'!$E:$E,MATCH($A115,'March-Feb'!$B:$B,0))),"")</f>
        <v/>
      </c>
      <c r="E115" s="623" t="str">
        <f>IFERROR(IF(INDEX('April-March'!$F:$F,MATCH($A115,'April-March'!$B:$B,0))="","",INDEX('April-March'!$F:$F,MATCH($A115,'April-March'!$B:$B,0))),"")</f>
        <v/>
      </c>
      <c r="F115" s="623" t="str">
        <f>IFERROR(IF(INDEX('May-April'!$F:$F,MATCH($A115,'May-April'!$B:$B,0))="","",INDEX('May-April'!$F:$F,MATCH($A115,'May-April'!$B:$B,0))),"")</f>
        <v/>
      </c>
      <c r="G115" s="636" t="str">
        <f>IF('Jun''26'!F115="","",'Jun''26'!F115)</f>
        <v/>
      </c>
      <c r="H115" s="623">
        <f>IFERROR(IF(INDEX('Jul''26'!$F:$F,MATCH($A115,'Jul''26'!$B:$B,0))="","",INDEX('Jul''26'!$F:$F,MATCH($A115,'Jul''26'!$B:$B,0))),"")</f>
        <v>0</v>
      </c>
      <c r="I115" s="625">
        <f t="shared" ca="1" si="3"/>
        <v>0</v>
      </c>
    </row>
    <row r="116" spans="1:9">
      <c r="A116" s="620" t="str">
        <f>IF('Jun''26'!B116="","",'Jun''26'!B116)</f>
        <v>Maintenance Charges</v>
      </c>
      <c r="B116" s="623">
        <f ca="1">IFERROR(IF(INDEX(Jan!$E:$E,MATCH(TRIM($A116),Jan!$B:$B,0))="","",INDEX(Jan!$E:$E,MATCH(TRIM($A116),Jan!$B:$B,0))),"")</f>
        <v>0</v>
      </c>
      <c r="C116" s="623" t="str">
        <f>IFERROR(IF(INDEX('March-Feb'!$I:$I,MATCH($A116,'March-Feb'!$B:$B,0))="","",INDEX('March-Feb'!$I:$I,MATCH($A116,'March-Feb'!$B:$B,0))),"")</f>
        <v/>
      </c>
      <c r="D116" s="623" t="str">
        <f>IFERROR(IF(INDEX('March-Feb'!$E:$E,MATCH($A116,'March-Feb'!$B:$B,0))="","",INDEX('March-Feb'!$E:$E,MATCH($A116,'March-Feb'!$B:$B,0))),"")</f>
        <v/>
      </c>
      <c r="E116" s="623" t="str">
        <f>IFERROR(IF(INDEX('April-March'!$F:$F,MATCH($A116,'April-March'!$B:$B,0))="","",INDEX('April-March'!$F:$F,MATCH($A116,'April-March'!$B:$B,0))),"")</f>
        <v/>
      </c>
      <c r="F116" s="623" t="str">
        <f>IFERROR(IF(INDEX('May-April'!$F:$F,MATCH($A116,'May-April'!$B:$B,0))="","",INDEX('May-April'!$F:$F,MATCH($A116,'May-April'!$B:$B,0))),"")</f>
        <v/>
      </c>
      <c r="G116" s="636" t="str">
        <f>IF('Jun''26'!F116="","",'Jun''26'!F116)</f>
        <v/>
      </c>
      <c r="H116" s="623">
        <f>IFERROR(IF(INDEX('Jul''26'!$F:$F,MATCH($A116,'Jul''26'!$B:$B,0))="","",INDEX('Jul''26'!$F:$F,MATCH($A116,'Jul''26'!$B:$B,0))),"")</f>
        <v>0</v>
      </c>
      <c r="I116" s="625">
        <f t="shared" ca="1" si="3"/>
        <v>0</v>
      </c>
    </row>
    <row r="117" spans="1:9">
      <c r="A117" s="620" t="str">
        <f>IF('Jun''26'!B117="","",'Jun''26'!B117)</f>
        <v>Blocked Credit</v>
      </c>
      <c r="B117" s="623">
        <f ca="1">IFERROR(IF(INDEX(Jan!$E:$E,MATCH(TRIM($A117),Jan!$B:$B,0))="","",INDEX(Jan!$E:$E,MATCH(TRIM($A117),Jan!$B:$B,0))),"")</f>
        <v>255.88804347826101</v>
      </c>
      <c r="C117" s="623">
        <f>IFERROR(IF(INDEX('March-Feb'!$I:$I,MATCH($A117,'March-Feb'!$B:$B,0))="","",INDEX('March-Feb'!$I:$I,MATCH($A117,'March-Feb'!$B:$B,0))),"")</f>
        <v>244</v>
      </c>
      <c r="D117" s="623">
        <f>IFERROR(IF(INDEX('March-Feb'!$E:$E,MATCH($A117,'March-Feb'!$B:$B,0))="","",INDEX('March-Feb'!$E:$E,MATCH($A117,'March-Feb'!$B:$B,0))),"")</f>
        <v>313</v>
      </c>
      <c r="E117" s="623">
        <f>IFERROR(IF(INDEX('April-March'!$F:$F,MATCH($A117,'April-March'!$B:$B,0))="","",INDEX('April-March'!$F:$F,MATCH($A117,'April-March'!$B:$B,0))),"")</f>
        <v>236</v>
      </c>
      <c r="F117" s="623">
        <f>IFERROR(IF(INDEX('May-April'!$F:$F,MATCH($A117,'May-April'!$B:$B,0))="","",INDEX('May-April'!$F:$F,MATCH($A117,'May-April'!$B:$B,0))),"")</f>
        <v>250</v>
      </c>
      <c r="G117" s="636">
        <f>IF('Jun''26'!F117="","",'Jun''26'!F117)</f>
        <v>926</v>
      </c>
      <c r="H117" s="623">
        <f>IFERROR(IF(INDEX('Jul''26'!$F:$F,MATCH($A117,'Jul''26'!$B:$B,0))="","",INDEX('Jul''26'!$F:$F,MATCH($A117,'Jul''26'!$B:$B,0))),"")</f>
        <v>375</v>
      </c>
      <c r="I117" s="625">
        <f t="shared" ca="1" si="3"/>
        <v>2599.8880434782609</v>
      </c>
    </row>
    <row r="118" spans="1:9">
      <c r="A118" s="620" t="str">
        <f>IF('Jun''26'!B118="","",'Jun''26'!B118)</f>
        <v>Housekeeping Charges</v>
      </c>
      <c r="B118" s="623">
        <f ca="1">IFERROR(IF(INDEX(Jan!$E:$E,MATCH(TRIM($A118),Jan!$B:$B,0))="","",INDEX(Jan!$E:$E,MATCH(TRIM($A118),Jan!$B:$B,0))),"")</f>
        <v>500</v>
      </c>
      <c r="C118" s="623">
        <f>IFERROR(IF(INDEX('March-Feb'!$I:$I,MATCH($A118,'March-Feb'!$B:$B,0))="","",INDEX('March-Feb'!$I:$I,MATCH($A118,'March-Feb'!$B:$B,0))),"")</f>
        <v>500</v>
      </c>
      <c r="D118" s="623">
        <f>IFERROR(IF(INDEX('March-Feb'!$E:$E,MATCH($A118,'March-Feb'!$B:$B,0))="","",INDEX('March-Feb'!$E:$E,MATCH($A118,'March-Feb'!$B:$B,0))),"")</f>
        <v>500</v>
      </c>
      <c r="E118" s="623">
        <f>IFERROR(IF(INDEX('April-March'!$F:$F,MATCH($A118,'April-March'!$B:$B,0))="","",INDEX('April-March'!$F:$F,MATCH($A118,'April-March'!$B:$B,0))),"")</f>
        <v>495</v>
      </c>
      <c r="F118" s="623">
        <f>IFERROR(IF(INDEX('May-April'!$F:$F,MATCH($A118,'May-April'!$B:$B,0))="","",INDEX('May-April'!$F:$F,MATCH($A118,'May-April'!$B:$B,0))),"")</f>
        <v>484</v>
      </c>
      <c r="G118" s="636">
        <f>IF('Jun''26'!F118="","",'Jun''26'!F118)</f>
        <v>489</v>
      </c>
      <c r="H118" s="623">
        <f>IFERROR(IF(INDEX('Jul''26'!$F:$F,MATCH($A118,'Jul''26'!$B:$B,0))="","",INDEX('Jul''26'!$F:$F,MATCH($A118,'Jul''26'!$B:$B,0))),"")</f>
        <v>548</v>
      </c>
      <c r="I118" s="625">
        <f t="shared" ca="1" si="3"/>
        <v>3516</v>
      </c>
    </row>
    <row r="119" spans="1:9">
      <c r="A119" s="620" t="str">
        <f>IF('Jun''26'!B119="","",'Jun''26'!B119)</f>
        <v>Lodging</v>
      </c>
      <c r="B119" s="623">
        <f ca="1">IFERROR(IF(INDEX(Jan!$E:$E,MATCH(TRIM($A119),Jan!$B:$B,0))="","",INDEX(Jan!$E:$E,MATCH(TRIM($A119),Jan!$B:$B,0))),"")</f>
        <v>0</v>
      </c>
      <c r="C119" s="623" t="str">
        <f>IFERROR(IF(INDEX('March-Feb'!$I:$I,MATCH($A119,'March-Feb'!$B:$B,0))="","",INDEX('March-Feb'!$I:$I,MATCH($A119,'March-Feb'!$B:$B,0))),"")</f>
        <v/>
      </c>
      <c r="D119" s="623" t="str">
        <f>IFERROR(IF(INDEX('March-Feb'!$E:$E,MATCH($A119,'March-Feb'!$B:$B,0))="","",INDEX('March-Feb'!$E:$E,MATCH($A119,'March-Feb'!$B:$B,0))),"")</f>
        <v/>
      </c>
      <c r="E119" s="623" t="str">
        <f>IFERROR(IF(INDEX('April-March'!$F:$F,MATCH($A119,'April-March'!$B:$B,0))="","",INDEX('April-March'!$F:$F,MATCH($A119,'April-March'!$B:$B,0))),"")</f>
        <v/>
      </c>
      <c r="F119" s="623" t="str">
        <f>IFERROR(IF(INDEX('May-April'!$F:$F,MATCH($A119,'May-April'!$B:$B,0))="","",INDEX('May-April'!$F:$F,MATCH($A119,'May-April'!$B:$B,0))),"")</f>
        <v/>
      </c>
      <c r="G119" s="636" t="str">
        <f>IF('Jun''26'!F119="","",'Jun''26'!F119)</f>
        <v/>
      </c>
      <c r="H119" s="623">
        <f>IFERROR(IF(INDEX('Jul''26'!$F:$F,MATCH($A119,'Jul''26'!$B:$B,0))="","",INDEX('Jul''26'!$F:$F,MATCH($A119,'Jul''26'!$B:$B,0))),"")</f>
        <v>0</v>
      </c>
      <c r="I119" s="625">
        <f t="shared" ca="1" si="3"/>
        <v>0</v>
      </c>
    </row>
    <row r="120" spans="1:9">
      <c r="A120" s="620" t="str">
        <f>IF('Jun''26'!B120="","",'Jun''26'!B120)</f>
        <v>Legal charges</v>
      </c>
      <c r="B120" s="623">
        <f ca="1">IFERROR(IF(INDEX(Jan!$E:$E,MATCH(TRIM($A120),Jan!$B:$B,0))="","",INDEX(Jan!$E:$E,MATCH(TRIM($A120),Jan!$B:$B,0))),"")</f>
        <v>0</v>
      </c>
      <c r="C120" s="623" t="str">
        <f>IFERROR(IF(INDEX('March-Feb'!$I:$I,MATCH($A120,'March-Feb'!$B:$B,0))="","",INDEX('March-Feb'!$I:$I,MATCH($A120,'March-Feb'!$B:$B,0))),"")</f>
        <v/>
      </c>
      <c r="D120" s="623" t="str">
        <f>IFERROR(IF(INDEX('March-Feb'!$E:$E,MATCH($A120,'March-Feb'!$B:$B,0))="","",INDEX('March-Feb'!$E:$E,MATCH($A120,'March-Feb'!$B:$B,0))),"")</f>
        <v/>
      </c>
      <c r="E120" s="623" t="str">
        <f>IFERROR(IF(INDEX('April-March'!$F:$F,MATCH($A120,'April-March'!$B:$B,0))="","",INDEX('April-March'!$F:$F,MATCH($A120,'April-March'!$B:$B,0))),"")</f>
        <v/>
      </c>
      <c r="F120" s="623" t="str">
        <f>IFERROR(IF(INDEX('May-April'!$F:$F,MATCH($A120,'May-April'!$B:$B,0))="","",INDEX('May-April'!$F:$F,MATCH($A120,'May-April'!$B:$B,0))),"")</f>
        <v/>
      </c>
      <c r="G120" s="636" t="str">
        <f>IF('Jun''26'!F120="","",'Jun''26'!F120)</f>
        <v/>
      </c>
      <c r="H120" s="623">
        <f>IFERROR(IF(INDEX('Jul''26'!$F:$F,MATCH($A120,'Jul''26'!$B:$B,0))="","",INDEX('Jul''26'!$F:$F,MATCH($A120,'Jul''26'!$B:$B,0))),"")</f>
        <v>0</v>
      </c>
      <c r="I120" s="625">
        <f t="shared" ca="1" si="3"/>
        <v>0</v>
      </c>
    </row>
    <row r="121" spans="1:9">
      <c r="A121" s="620" t="str">
        <f>IF('Jun''26'!B121="","",'Jun''26'!B121)</f>
        <v>Consultant expense</v>
      </c>
      <c r="B121" s="623">
        <f ca="1">IFERROR(IF(INDEX(Jan!$E:$E,MATCH(TRIM($A121),Jan!$B:$B,0))="","",INDEX(Jan!$E:$E,MATCH(TRIM($A121),Jan!$B:$B,0))),"")</f>
        <v>0</v>
      </c>
      <c r="C121" s="623" t="str">
        <f>IFERROR(IF(INDEX('March-Feb'!$I:$I,MATCH($A121,'March-Feb'!$B:$B,0))="","",INDEX('March-Feb'!$I:$I,MATCH($A121,'March-Feb'!$B:$B,0))),"")</f>
        <v/>
      </c>
      <c r="D121" s="623" t="str">
        <f>IFERROR(IF(INDEX('March-Feb'!$E:$E,MATCH($A121,'March-Feb'!$B:$B,0))="","",INDEX('March-Feb'!$E:$E,MATCH($A121,'March-Feb'!$B:$B,0))),"")</f>
        <v/>
      </c>
      <c r="E121" s="623">
        <f>IFERROR(IF(INDEX('April-March'!$F:$F,MATCH($A121,'April-March'!$B:$B,0))="","",INDEX('April-March'!$F:$F,MATCH($A121,'April-March'!$B:$B,0))),"")</f>
        <v>0</v>
      </c>
      <c r="F121" s="623">
        <f>IFERROR(IF(INDEX('May-April'!$F:$F,MATCH($A121,'May-April'!$B:$B,0))="","",INDEX('May-April'!$F:$F,MATCH($A121,'May-April'!$B:$B,0))),"")</f>
        <v>-16</v>
      </c>
      <c r="G121" s="636">
        <f>IF('Jun''26'!F121="","",'Jun''26'!F121)</f>
        <v>533</v>
      </c>
      <c r="H121" s="623">
        <f>IFERROR(IF(INDEX('Jul''26'!$F:$F,MATCH($A121,'Jul''26'!$B:$B,0))="","",INDEX('Jul''26'!$F:$F,MATCH($A121,'Jul''26'!$B:$B,0))),"")</f>
        <v>-10</v>
      </c>
      <c r="I121" s="625">
        <f t="shared" ca="1" si="3"/>
        <v>507</v>
      </c>
    </row>
    <row r="122" spans="1:9">
      <c r="A122" s="620" t="str">
        <f>IF('Jun''26'!B122="","",'Jun''26'!B122)</f>
        <v>Conference Fees</v>
      </c>
      <c r="B122" s="623">
        <f ca="1">IFERROR(IF(INDEX(Jan!$E:$E,MATCH(TRIM($A122),Jan!$B:$B,0))="","",INDEX(Jan!$E:$E,MATCH(TRIM($A122),Jan!$B:$B,0))),"")</f>
        <v>0</v>
      </c>
      <c r="C122" s="623" t="str">
        <f>IFERROR(IF(INDEX('March-Feb'!$I:$I,MATCH($A122,'March-Feb'!$B:$B,0))="","",INDEX('March-Feb'!$I:$I,MATCH($A122,'March-Feb'!$B:$B,0))),"")</f>
        <v/>
      </c>
      <c r="D122" s="623" t="str">
        <f>IFERROR(IF(INDEX('March-Feb'!$E:$E,MATCH($A122,'March-Feb'!$B:$B,0))="","",INDEX('March-Feb'!$E:$E,MATCH($A122,'March-Feb'!$B:$B,0))),"")</f>
        <v/>
      </c>
      <c r="E122" s="623" t="str">
        <f>IFERROR(IF(INDEX('April-March'!$F:$F,MATCH($A122,'April-March'!$B:$B,0))="","",INDEX('April-March'!$F:$F,MATCH($A122,'April-March'!$B:$B,0))),"")</f>
        <v/>
      </c>
      <c r="F122" s="623" t="str">
        <f>IFERROR(IF(INDEX('May-April'!$F:$F,MATCH($A122,'May-April'!$B:$B,0))="","",INDEX('May-April'!$F:$F,MATCH($A122,'May-April'!$B:$B,0))),"")</f>
        <v/>
      </c>
      <c r="G122" s="636" t="str">
        <f>IF('Jun''26'!F122="","",'Jun''26'!F122)</f>
        <v/>
      </c>
      <c r="H122" s="623">
        <f>IFERROR(IF(INDEX('Jul''26'!$F:$F,MATCH($A122,'Jul''26'!$B:$B,0))="","",INDEX('Jul''26'!$F:$F,MATCH($A122,'Jul''26'!$B:$B,0))),"")</f>
        <v>0</v>
      </c>
      <c r="I122" s="625">
        <f t="shared" ca="1" si="3"/>
        <v>0</v>
      </c>
    </row>
    <row r="123" spans="1:9">
      <c r="A123" s="620" t="str">
        <f>IF('Jun''26'!B123="","",'Jun''26'!B123)</f>
        <v>Registration charges</v>
      </c>
      <c r="B123" s="623">
        <f ca="1">IFERROR(IF(INDEX(Jan!$E:$E,MATCH(TRIM($A123),Jan!$B:$B,0))="","",INDEX(Jan!$E:$E,MATCH(TRIM($A123),Jan!$B:$B,0))),"")</f>
        <v>0</v>
      </c>
      <c r="C123" s="623" t="str">
        <f>IFERROR(IF(INDEX('March-Feb'!$I:$I,MATCH($A123,'March-Feb'!$B:$B,0))="","",INDEX('March-Feb'!$I:$I,MATCH($A123,'March-Feb'!$B:$B,0))),"")</f>
        <v/>
      </c>
      <c r="D123" s="623">
        <f>IFERROR(IF(INDEX('March-Feb'!$E:$E,MATCH($A123,'March-Feb'!$B:$B,0))="","",INDEX('March-Feb'!$E:$E,MATCH($A123,'March-Feb'!$B:$B,0))),"")</f>
        <v>272</v>
      </c>
      <c r="E123" s="623">
        <f>IFERROR(IF(INDEX('April-March'!$F:$F,MATCH($A123,'April-March'!$B:$B,0))="","",INDEX('April-March'!$F:$F,MATCH($A123,'April-March'!$B:$B,0))),"")</f>
        <v>0</v>
      </c>
      <c r="F123" s="623">
        <f>IFERROR(IF(INDEX('May-April'!$F:$F,MATCH($A123,'May-April'!$B:$B,0))="","",INDEX('May-April'!$F:$F,MATCH($A123,'May-April'!$B:$B,0))),"")</f>
        <v>-2</v>
      </c>
      <c r="G123" s="636">
        <f>IF('Jun''26'!F123="","",'Jun''26'!F123)</f>
        <v>-1</v>
      </c>
      <c r="H123" s="623">
        <f>IFERROR(IF(INDEX('Jul''26'!$F:$F,MATCH($A123,'Jul''26'!$B:$B,0))="","",INDEX('Jul''26'!$F:$F,MATCH($A123,'Jul''26'!$B:$B,0))),"")</f>
        <v>-1</v>
      </c>
      <c r="I123" s="625">
        <f t="shared" ca="1" si="3"/>
        <v>268</v>
      </c>
    </row>
    <row r="124" spans="1:9">
      <c r="A124" s="620" t="str">
        <f>IF('Jun''26'!B124="","",'Jun''26'!B124)</f>
        <v>MCA filing Fee</v>
      </c>
      <c r="B124" s="623">
        <f ca="1">IFERROR(IF(INDEX(Jan!$E:$E,MATCH(TRIM($A124),Jan!$B:$B,0))="","",INDEX(Jan!$E:$E,MATCH(TRIM($A124),Jan!$B:$B,0))),"")</f>
        <v>0</v>
      </c>
      <c r="C124" s="623" t="str">
        <f>IFERROR(IF(INDEX('March-Feb'!$I:$I,MATCH($A124,'March-Feb'!$B:$B,0))="","",INDEX('March-Feb'!$I:$I,MATCH($A124,'March-Feb'!$B:$B,0))),"")</f>
        <v/>
      </c>
      <c r="D124" s="623" t="str">
        <f>IFERROR(IF(INDEX('March-Feb'!$E:$E,MATCH($A124,'March-Feb'!$B:$B,0))="","",INDEX('March-Feb'!$E:$E,MATCH($A124,'March-Feb'!$B:$B,0))),"")</f>
        <v/>
      </c>
      <c r="E124" s="623" t="str">
        <f>IFERROR(IF(INDEX('April-March'!$F:$F,MATCH($A124,'April-March'!$B:$B,0))="","",INDEX('April-March'!$F:$F,MATCH($A124,'April-March'!$B:$B,0))),"")</f>
        <v/>
      </c>
      <c r="F124" s="623" t="str">
        <f>IFERROR(IF(INDEX('May-April'!$F:$F,MATCH($A124,'May-April'!$B:$B,0))="","",INDEX('May-April'!$F:$F,MATCH($A124,'May-April'!$B:$B,0))),"")</f>
        <v/>
      </c>
      <c r="G124" s="636" t="str">
        <f>IF('Jun''26'!F124="","",'Jun''26'!F124)</f>
        <v/>
      </c>
      <c r="H124" s="623">
        <f>IFERROR(IF(INDEX('Jul''26'!$F:$F,MATCH($A124,'Jul''26'!$B:$B,0))="","",INDEX('Jul''26'!$F:$F,MATCH($A124,'Jul''26'!$B:$B,0))),"")</f>
        <v>0</v>
      </c>
      <c r="I124" s="625">
        <f t="shared" ca="1" si="3"/>
        <v>0</v>
      </c>
    </row>
    <row r="125" spans="1:9">
      <c r="A125" s="620" t="str">
        <f>IF('Jun''26'!B125="","",'Jun''26'!B125)</f>
        <v>Office Supplies</v>
      </c>
      <c r="B125" s="623">
        <f ca="1">IFERROR(IF(INDEX(Jan!$E:$E,MATCH(TRIM($A125),Jan!$B:$B,0))="","",INDEX(Jan!$E:$E,MATCH(TRIM($A125),Jan!$B:$B,0))),"")</f>
        <v>1277.6003260869559</v>
      </c>
      <c r="C125" s="623">
        <f>IFERROR(IF(INDEX('March-Feb'!$I:$I,MATCH($A125,'March-Feb'!$B:$B,0))="","",INDEX('March-Feb'!$I:$I,MATCH($A125,'March-Feb'!$B:$B,0))),"")</f>
        <v>374</v>
      </c>
      <c r="D125" s="623">
        <f>IFERROR(IF(INDEX('March-Feb'!$E:$E,MATCH($A125,'March-Feb'!$B:$B,0))="","",INDEX('March-Feb'!$E:$E,MATCH($A125,'March-Feb'!$B:$B,0))),"")</f>
        <v>857</v>
      </c>
      <c r="E125" s="623">
        <f>IFERROR(IF(INDEX('April-March'!$F:$F,MATCH($A125,'April-March'!$B:$B,0))="","",INDEX('April-March'!$F:$F,MATCH($A125,'April-March'!$B:$B,0))),"")</f>
        <v>742</v>
      </c>
      <c r="F125" s="623">
        <f>IFERROR(IF(INDEX('May-April'!$F:$F,MATCH($A125,'May-April'!$B:$B,0))="","",INDEX('May-April'!$F:$F,MATCH($A125,'May-April'!$B:$B,0))),"")</f>
        <v>298</v>
      </c>
      <c r="G125" s="636">
        <f>IF('Jun''26'!F125="","",'Jun''26'!F125)</f>
        <v>793</v>
      </c>
      <c r="H125" s="623">
        <f>IFERROR(IF(INDEX('Jul''26'!$F:$F,MATCH($A125,'Jul''26'!$B:$B,0))="","",INDEX('Jul''26'!$F:$F,MATCH($A125,'Jul''26'!$B:$B,0))),"")</f>
        <v>958</v>
      </c>
      <c r="I125" s="625">
        <f t="shared" ca="1" si="3"/>
        <v>5299.6003260869556</v>
      </c>
    </row>
    <row r="126" spans="1:9">
      <c r="A126" s="620" t="str">
        <f>IF('Jun''26'!B126="","",'Jun''26'!B126)</f>
        <v>Purchase Discounts</v>
      </c>
      <c r="B126" s="623" t="str">
        <f ca="1">IFERROR(IF(INDEX(Jan!$E:$E,MATCH(TRIM($A126),Jan!$B:$B,0))="","",INDEX(Jan!$E:$E,MATCH(TRIM($A126),Jan!$B:$B,0))),"")</f>
        <v/>
      </c>
      <c r="C126" s="623" t="str">
        <f>IFERROR(IF(INDEX('March-Feb'!$I:$I,MATCH($A126,'March-Feb'!$B:$B,0))="","",INDEX('March-Feb'!$I:$I,MATCH($A126,'March-Feb'!$B:$B,0))),"")</f>
        <v/>
      </c>
      <c r="D126" s="623" t="str">
        <f>IFERROR(IF(INDEX('March-Feb'!$E:$E,MATCH($A126,'March-Feb'!$B:$B,0))="","",INDEX('March-Feb'!$E:$E,MATCH($A126,'March-Feb'!$B:$B,0))),"")</f>
        <v/>
      </c>
      <c r="E126" s="623" t="str">
        <f>IFERROR(IF(INDEX('April-March'!$F:$F,MATCH($A126,'April-March'!$B:$B,0))="","",INDEX('April-March'!$F:$F,MATCH($A126,'April-March'!$B:$B,0))),"")</f>
        <v/>
      </c>
      <c r="F126" s="623" t="str">
        <f>IFERROR(IF(INDEX('May-April'!$F:$F,MATCH($A126,'May-April'!$B:$B,0))="","",INDEX('May-April'!$F:$F,MATCH($A126,'May-April'!$B:$B,0))),"")</f>
        <v/>
      </c>
      <c r="G126" s="636" t="str">
        <f>IF('Jun''26'!F126="","",'Jun''26'!F126)</f>
        <v/>
      </c>
      <c r="H126" s="623">
        <f>IFERROR(IF(INDEX('Jul''26'!$F:$F,MATCH($A126,'Jul''26'!$B:$B,0))="","",INDEX('Jul''26'!$F:$F,MATCH($A126,'Jul''26'!$B:$B,0))),"")</f>
        <v>0</v>
      </c>
      <c r="I126" s="625">
        <f t="shared" ca="1" si="3"/>
        <v>0</v>
      </c>
    </row>
    <row r="127" spans="1:9">
      <c r="A127" s="620" t="str">
        <f>IF('Jun''26'!B127="","",'Jun''26'!B127)</f>
        <v>Razorpay Charges</v>
      </c>
      <c r="B127" s="623">
        <f ca="1">IFERROR(IF(INDEX(Jan!$E:$E,MATCH(TRIM($A127),Jan!$B:$B,0))="","",INDEX(Jan!$E:$E,MATCH(TRIM($A127),Jan!$B:$B,0))),"")</f>
        <v>0</v>
      </c>
      <c r="C127" s="623" t="str">
        <f>IFERROR(IF(INDEX('March-Feb'!$I:$I,MATCH($A127,'March-Feb'!$B:$B,0))="","",INDEX('March-Feb'!$I:$I,MATCH($A127,'March-Feb'!$B:$B,0))),"")</f>
        <v/>
      </c>
      <c r="D127" s="623" t="str">
        <f>IFERROR(IF(INDEX('March-Feb'!$E:$E,MATCH($A127,'March-Feb'!$B:$B,0))="","",INDEX('March-Feb'!$E:$E,MATCH($A127,'March-Feb'!$B:$B,0))),"")</f>
        <v/>
      </c>
      <c r="E127" s="623" t="str">
        <f>IFERROR(IF(INDEX('April-March'!$F:$F,MATCH($A127,'April-March'!$B:$B,0))="","",INDEX('April-March'!$F:$F,MATCH($A127,'April-March'!$B:$B,0))),"")</f>
        <v/>
      </c>
      <c r="F127" s="623" t="str">
        <f>IFERROR(IF(INDEX('May-April'!$F:$F,MATCH($A127,'May-April'!$B:$B,0))="","",INDEX('May-April'!$F:$F,MATCH($A127,'May-April'!$B:$B,0))),"")</f>
        <v/>
      </c>
      <c r="G127" s="636" t="str">
        <f>IF('Jun''26'!F127="","",'Jun''26'!F127)</f>
        <v/>
      </c>
      <c r="H127" s="623">
        <f>IFERROR(IF(INDEX('Jul''26'!$F:$F,MATCH($A127,'Jul''26'!$B:$B,0))="","",INDEX('Jul''26'!$F:$F,MATCH($A127,'Jul''26'!$B:$B,0))),"")</f>
        <v>0</v>
      </c>
      <c r="I127" s="625">
        <f t="shared" ca="1" si="3"/>
        <v>0</v>
      </c>
    </row>
    <row r="128" spans="1:9">
      <c r="A128" s="620" t="str">
        <f>IF('Jun''26'!B128="","",'Jun''26'!B128)</f>
        <v>Referral bonus</v>
      </c>
      <c r="B128" s="623">
        <f ca="1">IFERROR(IF(INDEX(Jan!$E:$E,MATCH(TRIM($A128),Jan!$B:$B,0))="","",INDEX(Jan!$E:$E,MATCH(TRIM($A128),Jan!$B:$B,0))),"")</f>
        <v>0</v>
      </c>
      <c r="C128" s="623" t="str">
        <f>IFERROR(IF(INDEX('March-Feb'!$I:$I,MATCH($A128,'March-Feb'!$B:$B,0))="","",INDEX('March-Feb'!$I:$I,MATCH($A128,'March-Feb'!$B:$B,0))),"")</f>
        <v/>
      </c>
      <c r="D128" s="623">
        <f>IFERROR(IF(INDEX('March-Feb'!$E:$E,MATCH($A128,'March-Feb'!$B:$B,0))="","",INDEX('March-Feb'!$E:$E,MATCH($A128,'March-Feb'!$B:$B,0))),"")</f>
        <v>54</v>
      </c>
      <c r="E128" s="623">
        <f>IFERROR(IF(INDEX('April-March'!$F:$F,MATCH($A128,'April-March'!$B:$B,0))="","",INDEX('April-March'!$F:$F,MATCH($A128,'April-March'!$B:$B,0))),"")</f>
        <v>0</v>
      </c>
      <c r="F128" s="623">
        <f>IFERROR(IF(INDEX('May-April'!$F:$F,MATCH($A128,'May-April'!$B:$B,0))="","",INDEX('May-April'!$F:$F,MATCH($A128,'May-April'!$B:$B,0))),"")</f>
        <v>0</v>
      </c>
      <c r="G128" s="636">
        <f>IF('Jun''26'!F128="","",'Jun''26'!F128)</f>
        <v>54</v>
      </c>
      <c r="H128" s="623">
        <f>IFERROR(IF(INDEX('Jul''26'!$F:$F,MATCH($A128,'Jul''26'!$B:$B,0))="","",INDEX('Jul''26'!$F:$F,MATCH($A128,'Jul''26'!$B:$B,0))),"")</f>
        <v>0</v>
      </c>
      <c r="I128" s="625">
        <f t="shared" ca="1" si="3"/>
        <v>108</v>
      </c>
    </row>
    <row r="129" spans="1:9">
      <c r="A129" s="620" t="str">
        <f>IF('Jun''26'!B129="","",'Jun''26'!B129)</f>
        <v>Audit Fee</v>
      </c>
      <c r="B129" s="623" t="str">
        <f ca="1">IFERROR(IF(INDEX(Jan!$E:$E,MATCH(TRIM($A129),Jan!$B:$B,0))="","",INDEX(Jan!$E:$E,MATCH(TRIM($A129),Jan!$B:$B,0))),"")</f>
        <v/>
      </c>
      <c r="C129" s="623" t="str">
        <f>IFERROR(IF(INDEX('March-Feb'!$I:$I,MATCH($A129,'March-Feb'!$B:$B,0))="","",INDEX('March-Feb'!$I:$I,MATCH($A129,'March-Feb'!$B:$B,0))),"")</f>
        <v/>
      </c>
      <c r="D129" s="623" t="str">
        <f>IFERROR(IF(INDEX('March-Feb'!$E:$E,MATCH($A129,'March-Feb'!$B:$B,0))="","",INDEX('March-Feb'!$E:$E,MATCH($A129,'March-Feb'!$B:$B,0))),"")</f>
        <v/>
      </c>
      <c r="E129" s="623" t="str">
        <f>IFERROR(IF(INDEX('April-March'!$F:$F,MATCH($A129,'April-March'!$B:$B,0))="","",INDEX('April-March'!$F:$F,MATCH($A129,'April-March'!$B:$B,0))),"")</f>
        <v/>
      </c>
      <c r="F129" s="623">
        <f>IFERROR(IF(INDEX('May-April'!$F:$F,MATCH($A129,'May-April'!$B:$B,0))="","",INDEX('May-April'!$F:$F,MATCH($A129,'May-April'!$B:$B,0))),"")</f>
        <v>-11</v>
      </c>
      <c r="G129" s="636">
        <f>IF('Jun''26'!F129="","",'Jun''26'!F129)</f>
        <v>-4</v>
      </c>
      <c r="H129" s="623">
        <f>IFERROR(IF(INDEX('Jul''26'!$F:$F,MATCH($A129,'Jul''26'!$B:$B,0))="","",INDEX('Jul''26'!$F:$F,MATCH($A129,'Jul''26'!$B:$B,0))),"")</f>
        <v>-5</v>
      </c>
      <c r="I129" s="625">
        <f t="shared" ca="1" si="3"/>
        <v>-20</v>
      </c>
    </row>
    <row r="130" spans="1:9">
      <c r="A130" s="620" t="str">
        <f>IF('Jun''26'!B130="","",'Jun''26'!B130)</f>
        <v>Interest on PT</v>
      </c>
      <c r="B130" s="623" t="str">
        <f ca="1">IFERROR(IF(INDEX(Jan!$E:$E,MATCH(TRIM($A130),Jan!$B:$B,0))="","",INDEX(Jan!$E:$E,MATCH(TRIM($A130),Jan!$B:$B,0))),"")</f>
        <v/>
      </c>
      <c r="C130" s="623" t="str">
        <f>IFERROR(IF(INDEX('March-Feb'!$I:$I,MATCH($A130,'March-Feb'!$B:$B,0))="","",INDEX('March-Feb'!$I:$I,MATCH($A130,'March-Feb'!$B:$B,0))),"")</f>
        <v/>
      </c>
      <c r="D130" s="623" t="str">
        <f>IFERROR(IF(INDEX('March-Feb'!$E:$E,MATCH($A130,'March-Feb'!$B:$B,0))="","",INDEX('March-Feb'!$E:$E,MATCH($A130,'March-Feb'!$B:$B,0))),"")</f>
        <v/>
      </c>
      <c r="E130" s="623">
        <f>IFERROR(IF(INDEX('April-March'!$F:$F,MATCH($A130,'April-March'!$B:$B,0))="","",INDEX('April-March'!$F:$F,MATCH($A130,'April-March'!$B:$B,0))),"")</f>
        <v>44</v>
      </c>
      <c r="F130" s="623">
        <f>IFERROR(IF(INDEX('May-April'!$F:$F,MATCH($A130,'May-April'!$B:$B,0))="","",INDEX('May-April'!$F:$F,MATCH($A130,'May-April'!$B:$B,0))),"")</f>
        <v>0</v>
      </c>
      <c r="G130" s="636">
        <f>IF('Jun''26'!F130="","",'Jun''26'!F130)</f>
        <v>0</v>
      </c>
      <c r="H130" s="623">
        <f>IFERROR(IF(INDEX('Jul''26'!$F:$F,MATCH($A130,'Jul''26'!$B:$B,0))="","",INDEX('Jul''26'!$F:$F,MATCH($A130,'Jul''26'!$B:$B,0))),"")</f>
        <v>0</v>
      </c>
      <c r="I130" s="625">
        <f t="shared" ca="1" si="3"/>
        <v>44</v>
      </c>
    </row>
    <row r="131" spans="1:9">
      <c r="A131" s="620" t="str">
        <f>IF('Jun''26'!B131="","",'Jun''26'!B131)</f>
        <v>Consultancy Fees - G&amp;A</v>
      </c>
      <c r="B131" s="623" t="str">
        <f ca="1">IFERROR(IF(INDEX(Jan!$E:$E,MATCH(TRIM($A131),Jan!$B:$B,0))="","",INDEX(Jan!$E:$E,MATCH(TRIM($A131),Jan!$B:$B,0))),"")</f>
        <v/>
      </c>
      <c r="C131" s="623" t="str">
        <f>IFERROR(IF(INDEX('March-Feb'!$I:$I,MATCH($A131,'March-Feb'!$B:$B,0))="","",INDEX('March-Feb'!$I:$I,MATCH($A131,'March-Feb'!$B:$B,0))),"")</f>
        <v/>
      </c>
      <c r="D131" s="623" t="str">
        <f>IFERROR(IF(INDEX('March-Feb'!$E:$E,MATCH($A131,'March-Feb'!$B:$B,0))="","",INDEX('March-Feb'!$E:$E,MATCH($A131,'March-Feb'!$B:$B,0))),"")</f>
        <v/>
      </c>
      <c r="E131" s="623">
        <f>IFERROR(IF(INDEX('April-March'!$F:$F,MATCH($A131,'April-March'!$B:$B,0))="","",INDEX('April-March'!$F:$F,MATCH($A131,'April-March'!$B:$B,0))),"")</f>
        <v>2500</v>
      </c>
      <c r="F131" s="623">
        <f>IFERROR(IF(INDEX('May-April'!$F:$F,MATCH($A131,'May-April'!$B:$B,0))="","",INDEX('May-April'!$F:$F,MATCH($A131,'May-April'!$B:$B,0))),"")</f>
        <v>1877</v>
      </c>
      <c r="G131" s="636">
        <f>IF('Jun''26'!F131="","",'Jun''26'!F131)</f>
        <v>2950</v>
      </c>
      <c r="H131" s="623">
        <f>IFERROR(IF(INDEX('Jul''26'!$F:$F,MATCH($A131,'Jul''26'!$B:$B,0))="","",INDEX('Jul''26'!$F:$F,MATCH($A131,'Jul''26'!$B:$B,0))),"")</f>
        <v>3240</v>
      </c>
      <c r="I131" s="625">
        <f t="shared" ca="1" si="3"/>
        <v>10567</v>
      </c>
    </row>
    <row r="132" spans="1:9">
      <c r="A132" s="619" t="str">
        <f>IF('Jun''26'!B132="","",'Jun''26'!B132)</f>
        <v>Total</v>
      </c>
      <c r="B132" s="626">
        <f ca="1">IFERROR(IF(INDEX(Jan!$E:$E,MATCH(TRIM($A132),Jan!$B:$B,0))="","",INDEX(Jan!$E:$E,MATCH(TRIM($A132),Jan!$B:$B,0))),"")</f>
        <v>87391.972173913033</v>
      </c>
      <c r="C132" s="626">
        <f>IFERROR(IF(INDEX('March-Feb'!$I:$I,MATCH($A132,'March-Feb'!$B:$B,0))="","",INDEX('March-Feb'!$I:$I,MATCH($A132,'March-Feb'!$B:$B,0))),"")</f>
        <v>62896</v>
      </c>
      <c r="D132" s="626">
        <f>IFERROR(IF(INDEX('March-Feb'!$E:$E,MATCH($A132,'March-Feb'!$B:$B,0))="","",INDEX('March-Feb'!$E:$E,MATCH($A132,'March-Feb'!$B:$B,0))),"")</f>
        <v>55661</v>
      </c>
      <c r="E132" s="626">
        <f>IFERROR(IF(INDEX('April-March'!$F:$F,MATCH($A132,'April-March'!$B:$B,0))="","",INDEX('April-March'!$F:$F,MATCH($A132,'April-March'!$B:$B,0))),"")</f>
        <v>51583</v>
      </c>
      <c r="F132" s="626">
        <f>IFERROR(IF(INDEX('May-April'!$F:$F,MATCH($A132,'May-April'!$B:$B,0))="","",INDEX('May-April'!$F:$F,MATCH($A132,'May-April'!$B:$B,0))),"")</f>
        <v>45538</v>
      </c>
      <c r="G132" s="637">
        <f>IF('Jun''26'!F132="","",'Jun''26'!F132)</f>
        <v>52452</v>
      </c>
      <c r="H132" s="626">
        <f>IFERROR(IF(INDEX('Jul''26'!$F:$F,MATCH($A132,'Jul''26'!$B:$B,0))="","",INDEX('Jul''26'!$F:$F,MATCH($A132,'Jul''26'!$B:$B,0))),"")</f>
        <v>57661</v>
      </c>
      <c r="I132" s="625">
        <f t="shared" ca="1" si="3"/>
        <v>413182.97217391303</v>
      </c>
    </row>
    <row r="133" spans="1:9">
      <c r="A133" s="631" t="str">
        <f>IF('Jun''26'!B133="","",'Jun''26'!B133)</f>
        <v>Overall SG&amp;A</v>
      </c>
      <c r="B133" s="632">
        <f ca="1">IFERROR(IF(INDEX(Jan!$E:$E,MATCH(TRIM($A133),Jan!$B:$B,0))="","",INDEX(Jan!$E:$E,MATCH(TRIM($A133),Jan!$B:$B,0))),"")</f>
        <v>92592.450217391292</v>
      </c>
      <c r="C133" s="632">
        <f>IFERROR(IF(INDEX('March-Feb'!$I:$I,MATCH($A133,'March-Feb'!$B:$B,0))="","",INDEX('March-Feb'!$I:$I,MATCH($A133,'March-Feb'!$B:$B,0))),"")</f>
        <v>66170</v>
      </c>
      <c r="D133" s="632">
        <f>IFERROR(IF(INDEX('March-Feb'!$E:$E,MATCH($A133,'March-Feb'!$B:$B,0))="","",INDEX('March-Feb'!$E:$E,MATCH($A133,'March-Feb'!$B:$B,0))),"")</f>
        <v>58499</v>
      </c>
      <c r="E133" s="632">
        <f>IFERROR(IF(INDEX('April-March'!$F:$F,MATCH($A133,'April-March'!$B:$B,0))="","",INDEX('April-March'!$F:$F,MATCH($A133,'April-March'!$B:$B,0))),"")</f>
        <v>53692</v>
      </c>
      <c r="F133" s="632">
        <f>IFERROR(IF(INDEX('May-April'!$F:$F,MATCH($A133,'May-April'!$B:$B,0))="","",INDEX('May-April'!$F:$F,MATCH($A133,'May-April'!$B:$B,0))),"")</f>
        <v>46945</v>
      </c>
      <c r="G133" s="639">
        <f>IF('Jun''26'!F133="","",'Jun''26'!F133)</f>
        <v>59132</v>
      </c>
      <c r="H133" s="632">
        <f>IFERROR(IF(INDEX('Jul''26'!$F:$F,MATCH($A133,'Jul''26'!$B:$B,0))="","",INDEX('Jul''26'!$F:$F,MATCH($A133,'Jul''26'!$B:$B,0))),"")</f>
        <v>61003</v>
      </c>
      <c r="I133" s="625">
        <f t="shared" ca="1" si="3"/>
        <v>438033.45021739131</v>
      </c>
    </row>
    <row r="134" spans="1:9">
      <c r="A134" s="642" t="str">
        <f>IF('Jun''26'!B134="","",'Jun''26'!B134)</f>
        <v>EBITDA</v>
      </c>
      <c r="B134" s="643">
        <f ca="1">IFERROR(IF(INDEX(Jan!$E:$E,MATCH(TRIM($A134),Jan!$B:$B,0))="","",INDEX(Jan!$E:$E,MATCH(TRIM($A134),Jan!$B:$B,0))),"")</f>
        <v>-26213.630108695579</v>
      </c>
      <c r="C134" s="643">
        <f>IFERROR(IF(INDEX('March-Feb'!$I:$I,MATCH($A134,'March-Feb'!$B:$B,0))="","",INDEX('March-Feb'!$I:$I,MATCH($A134,'March-Feb'!$B:$B,0))),"")</f>
        <v>-4632</v>
      </c>
      <c r="D134" s="643">
        <f>IFERROR(IF(INDEX('March-Feb'!$E:$E,MATCH($A134,'March-Feb'!$B:$B,0))="","",INDEX('March-Feb'!$E:$E,MATCH($A134,'March-Feb'!$B:$B,0))),"")</f>
        <v>-26714</v>
      </c>
      <c r="E134" s="643">
        <f>IFERROR(IF(INDEX('April-March'!$F:$F,MATCH($A134,'April-March'!$B:$B,0))="","",INDEX('April-March'!$F:$F,MATCH($A134,'April-March'!$B:$B,0))),"")</f>
        <v>-13135</v>
      </c>
      <c r="F134" s="643">
        <f>IFERROR(IF(INDEX('May-April'!$F:$F,MATCH($A134,'May-April'!$B:$B,0))="","",INDEX('May-April'!$F:$F,MATCH($A134,'May-April'!$B:$B,0))),"")</f>
        <v>18423</v>
      </c>
      <c r="G134" s="644">
        <f>IF('Jun''26'!F134="","",'Jun''26'!F134)</f>
        <v>24852</v>
      </c>
      <c r="H134" s="643">
        <f>IFERROR(IF(INDEX('Jul''26'!$F:$F,MATCH($A134,'Jul''26'!$B:$B,0))="","",INDEX('Jul''26'!$F:$F,MATCH($A134,'Jul''26'!$B:$B,0))),"")</f>
        <v>31686</v>
      </c>
      <c r="I134" s="625">
        <f t="shared" ca="1" si="3"/>
        <v>4266.3698913044209</v>
      </c>
    </row>
    <row r="135" spans="1:9">
      <c r="A135" s="645" t="str">
        <f>IF('Jun''26'!B135="","",'Jun''26'!B135)</f>
        <v>EBITDA%</v>
      </c>
      <c r="B135" s="646">
        <f ca="1">IFERROR(B$134/B$15,"")</f>
        <v>-0.11557324551701209</v>
      </c>
      <c r="C135" s="646">
        <f t="shared" ref="C135:G135" si="4">IFERROR(C$134/C$15,"")</f>
        <v>-2.0336214882491627E-2</v>
      </c>
      <c r="D135" s="646">
        <f t="shared" si="4"/>
        <v>-0.12076034626946636</v>
      </c>
      <c r="E135" s="646">
        <f t="shared" si="4"/>
        <v>-6.7287546040869436E-2</v>
      </c>
      <c r="F135" s="646">
        <f t="shared" si="4"/>
        <v>8.7762840728284372E-2</v>
      </c>
      <c r="G135" s="647">
        <f t="shared" si="4"/>
        <v>0.106977284760515</v>
      </c>
      <c r="H135" s="646">
        <f>IFERROR(H$134/H$15,"")</f>
        <v>0.12640422544201188</v>
      </c>
      <c r="I135" s="625">
        <f t="shared" ca="1" si="3"/>
        <v>-2.8130017790282957E-3</v>
      </c>
    </row>
    <row r="136" spans="1:9">
      <c r="A136" s="620" t="str">
        <f>IF('Jun''26'!B136="","",'Jun''26'!B136)</f>
        <v/>
      </c>
      <c r="B136" s="623" t="str">
        <f ca="1">IFERROR(IF(INDEX(Jan!$E:$E,MATCH(TRIM($A136),Jan!$B:$B,0))="","",INDEX(Jan!$E:$E,MATCH(TRIM($A136),Jan!$B:$B,0))),"")</f>
        <v/>
      </c>
      <c r="C136" s="623" t="str">
        <f>IFERROR(IF(INDEX('March-Feb'!$I:$I,MATCH($A136,'March-Feb'!$B:$B,0))="","",INDEX('March-Feb'!$I:$I,MATCH($A136,'March-Feb'!$B:$B,0))),"")</f>
        <v/>
      </c>
      <c r="D136" s="623" t="str">
        <f>IFERROR(IF(INDEX('March-Feb'!$E:$E,MATCH($A136,'March-Feb'!$B:$B,0))="","",INDEX('March-Feb'!$E:$E,MATCH($A136,'March-Feb'!$B:$B,0))),"")</f>
        <v/>
      </c>
      <c r="E136" s="623" t="str">
        <f>IFERROR(IF(INDEX('April-March'!$F:$F,MATCH($A136,'April-March'!$B:$B,0))="","",INDEX('April-March'!$F:$F,MATCH($A136,'April-March'!$B:$B,0))),"")</f>
        <v/>
      </c>
      <c r="F136" s="623" t="str">
        <f>IFERROR(IF(INDEX('May-April'!$F:$F,MATCH($A136,'May-April'!$B:$B,0))="","",INDEX('May-April'!$F:$F,MATCH($A136,'May-April'!$B:$B,0))),"")</f>
        <v/>
      </c>
      <c r="G136" s="636" t="str">
        <f>IF('Jun''26'!F136="","",'Jun''26'!F136)</f>
        <v/>
      </c>
      <c r="H136" s="623" t="str">
        <f>IFERROR(IF(INDEX('Jul''26'!$F:$F,MATCH($A136,'Jul''26'!$B:$B,0))="","",INDEX('Jul''26'!$F:$F,MATCH($A136,'Jul''26'!$B:$B,0))),"")</f>
        <v/>
      </c>
      <c r="I136" s="625">
        <f t="shared" ca="1" si="3"/>
        <v>0</v>
      </c>
    </row>
    <row r="137" spans="1:9">
      <c r="A137" s="619" t="str">
        <f>IF('Jun''26'!B137="","",'Jun''26'!B137)</f>
        <v xml:space="preserve">        Finance Cost</v>
      </c>
      <c r="B137" s="626">
        <f ca="1">IFERROR(IF(INDEX(Jan!$E:$E,MATCH(TRIM($A137),Jan!$B:$B,0))="","",INDEX(Jan!$E:$E,MATCH(TRIM($A137),Jan!$B:$B,0))),"")</f>
        <v>-1342.3095652173924</v>
      </c>
      <c r="C137" s="626">
        <f>IFERROR(IF(INDEX('March-Feb'!$I:$I,MATCH($A137,'March-Feb'!$B:$B,0))="","",INDEX('March-Feb'!$I:$I,MATCH($A137,'March-Feb'!$B:$B,0))),"")</f>
        <v>-1027</v>
      </c>
      <c r="D137" s="626">
        <f>IFERROR(IF(INDEX('March-Feb'!$E:$E,MATCH($A137,'March-Feb'!$B:$B,0))="","",INDEX('March-Feb'!$E:$E,MATCH($A137,'March-Feb'!$B:$B,0))),"")</f>
        <v>-5973</v>
      </c>
      <c r="E137" s="626">
        <f>IFERROR(IF(INDEX('April-March'!$F:$F,MATCH($A137,'April-March'!$B:$B,0))="","",INDEX('April-March'!$F:$F,MATCH($A137,'April-March'!$B:$B,0))),"")</f>
        <v>-622</v>
      </c>
      <c r="F137" s="626">
        <f>IFERROR(IF(INDEX('May-April'!$F:$F,MATCH($A137,'May-April'!$B:$B,0))="","",INDEX('May-April'!$F:$F,MATCH($A137,'May-April'!$B:$B,0))),"")</f>
        <v>-3671</v>
      </c>
      <c r="G137" s="637">
        <f>IF('Jun''26'!F137="","",'Jun''26'!F137)</f>
        <v>-1067</v>
      </c>
      <c r="H137" s="626">
        <f>IFERROR(IF(INDEX('Jul''26'!$F:$F,MATCH($A137,'Jul''26'!$B:$B,0))="","",INDEX('Jul''26'!$F:$F,MATCH($A137,'Jul''26'!$B:$B,0))),"")</f>
        <v>-1328</v>
      </c>
      <c r="I137" s="625">
        <f t="shared" ref="I137:I153" ca="1" si="5">SUM(B137:H137)</f>
        <v>-15030.309565217392</v>
      </c>
    </row>
    <row r="138" spans="1:9">
      <c r="A138" s="620" t="str">
        <f>IF('Jun''26'!B138="","",'Jun''26'!B138)</f>
        <v>Bank Fees and Charges</v>
      </c>
      <c r="B138" s="623">
        <f ca="1">IFERROR(IF(INDEX(Jan!$E:$E,MATCH(TRIM($A138),Jan!$B:$B,0))="","",INDEX(Jan!$E:$E,MATCH(TRIM($A138),Jan!$B:$B,0))),"")</f>
        <v>6</v>
      </c>
      <c r="C138" s="623" t="str">
        <f>IFERROR(IF(INDEX('March-Feb'!$I:$I,MATCH($A138,'March-Feb'!$B:$B,0))="","",INDEX('March-Feb'!$I:$I,MATCH($A138,'March-Feb'!$B:$B,0))),"")</f>
        <v/>
      </c>
      <c r="D138" s="623" t="str">
        <f>IFERROR(IF(INDEX('March-Feb'!$E:$E,MATCH($A138,'March-Feb'!$B:$B,0))="","",INDEX('March-Feb'!$E:$E,MATCH($A138,'March-Feb'!$B:$B,0))),"")</f>
        <v/>
      </c>
      <c r="E138" s="623" t="str">
        <f>IFERROR(IF(INDEX('April-March'!$F:$F,MATCH($A138,'April-March'!$B:$B,0))="","",INDEX('April-March'!$F:$F,MATCH($A138,'April-March'!$B:$B,0))),"")</f>
        <v/>
      </c>
      <c r="F138" s="623" t="str">
        <f>IFERROR(IF(INDEX('May-April'!$F:$F,MATCH($A138,'May-April'!$B:$B,0))="","",INDEX('May-April'!$F:$F,MATCH($A138,'May-April'!$B:$B,0))),"")</f>
        <v/>
      </c>
      <c r="G138" s="636" t="str">
        <f>IF('Jun''26'!F138="","",'Jun''26'!F138)</f>
        <v/>
      </c>
      <c r="H138" s="623">
        <f>IFERROR(IF(INDEX('Jul''26'!$F:$F,MATCH($A138,'Jul''26'!$B:$B,0))="","",INDEX('Jul''26'!$F:$F,MATCH($A138,'Jul''26'!$B:$B,0))),"")</f>
        <v>0</v>
      </c>
      <c r="I138" s="625">
        <f t="shared" ca="1" si="5"/>
        <v>6</v>
      </c>
    </row>
    <row r="139" spans="1:9">
      <c r="A139" s="620" t="str">
        <f>IF('Jun''26'!B139="","",'Jun''26'!B139)</f>
        <v>Bank Charges</v>
      </c>
      <c r="B139" s="623">
        <f ca="1">IFERROR(IF(INDEX(Jan!$E:$E,MATCH(TRIM($A139),Jan!$B:$B,0))="","",INDEX(Jan!$E:$E,MATCH(TRIM($A139),Jan!$B:$B,0))),"")</f>
        <v>14.350869565217399</v>
      </c>
      <c r="C139" s="623">
        <f>IFERROR(IF(INDEX('March-Feb'!$I:$I,MATCH($A139,'March-Feb'!$B:$B,0))="","",INDEX('March-Feb'!$I:$I,MATCH($A139,'March-Feb'!$B:$B,0))),"")</f>
        <v>1096</v>
      </c>
      <c r="D139" s="623">
        <f>IFERROR(IF(INDEX('March-Feb'!$E:$E,MATCH($A139,'March-Feb'!$B:$B,0))="","",INDEX('March-Feb'!$E:$E,MATCH($A139,'March-Feb'!$B:$B,0))),"")</f>
        <v>8</v>
      </c>
      <c r="E139" s="623">
        <f>IFERROR(IF(INDEX('April-March'!$F:$F,MATCH($A139,'April-March'!$B:$B,0))="","",INDEX('April-March'!$F:$F,MATCH($A139,'April-March'!$B:$B,0))),"")</f>
        <v>107</v>
      </c>
      <c r="F139" s="623">
        <f>IFERROR(IF(INDEX('May-April'!$F:$F,MATCH($A139,'May-April'!$B:$B,0))="","",INDEX('May-April'!$F:$F,MATCH($A139,'May-April'!$B:$B,0))),"")</f>
        <v>23</v>
      </c>
      <c r="G139" s="636">
        <f>IF('Jun''26'!F139="","",'Jun''26'!F139)</f>
        <v>116</v>
      </c>
      <c r="H139" s="623">
        <f>IFERROR(IF(INDEX('Jul''26'!$F:$F,MATCH($A139,'Jul''26'!$B:$B,0))="","",INDEX('Jul''26'!$F:$F,MATCH($A139,'Jul''26'!$B:$B,0))),"")</f>
        <v>626</v>
      </c>
      <c r="I139" s="625">
        <f t="shared" ca="1" si="5"/>
        <v>1990.3508695652174</v>
      </c>
    </row>
    <row r="140" spans="1:9">
      <c r="A140" s="620" t="str">
        <f>IF('Jun''26'!B140="","",'Jun''26'!B140)</f>
        <v>Exchange Gain or Loss</v>
      </c>
      <c r="B140" s="623">
        <f ca="1">IFERROR(IF(INDEX(Jan!$E:$E,MATCH(TRIM($A140),Jan!$B:$B,0))="","",INDEX(Jan!$E:$E,MATCH(TRIM($A140),Jan!$B:$B,0))),"")</f>
        <v>-6246.1804347826101</v>
      </c>
      <c r="C140" s="623">
        <f>IFERROR(IF(INDEX('March-Feb'!$I:$I,MATCH($A140,'March-Feb'!$B:$B,0))="","",INDEX('March-Feb'!$I:$I,MATCH($A140,'March-Feb'!$B:$B,0))),"")</f>
        <v>-4642</v>
      </c>
      <c r="D140" s="623">
        <f>IFERROR(IF(INDEX('March-Feb'!$E:$E,MATCH($A140,'March-Feb'!$B:$B,0))="","",INDEX('March-Feb'!$E:$E,MATCH($A140,'March-Feb'!$B:$B,0))),"")</f>
        <v>-8482</v>
      </c>
      <c r="E140" s="623">
        <f>IFERROR(IF(INDEX('April-March'!$F:$F,MATCH($A140,'April-March'!$B:$B,0))="","",INDEX('April-March'!$F:$F,MATCH($A140,'April-March'!$B:$B,0))),"")</f>
        <v>-4176</v>
      </c>
      <c r="F140" s="623">
        <f>IFERROR(IF(INDEX('May-April'!$F:$F,MATCH($A140,'May-April'!$B:$B,0))="","",INDEX('May-April'!$F:$F,MATCH($A140,'May-April'!$B:$B,0))),"")</f>
        <v>-7054</v>
      </c>
      <c r="G140" s="636">
        <f>IF('Jun''26'!F140="","",'Jun''26'!F140)</f>
        <v>-4493</v>
      </c>
      <c r="H140" s="623">
        <f>IFERROR(IF(INDEX('Jul''26'!$F:$F,MATCH($A140,'Jul''26'!$B:$B,0))="","",INDEX('Jul''26'!$F:$F,MATCH($A140,'Jul''26'!$B:$B,0))),"")</f>
        <v>-5282</v>
      </c>
      <c r="I140" s="625">
        <f t="shared" ca="1" si="5"/>
        <v>-40375.180434782611</v>
      </c>
    </row>
    <row r="141" spans="1:9">
      <c r="A141" s="620" t="str">
        <f>IF('Jun''26'!B141="","",'Jun''26'!B141)</f>
        <v>Amex card charges</v>
      </c>
      <c r="B141" s="623">
        <f ca="1">IFERROR(IF(INDEX(Jan!$E:$E,MATCH(TRIM($A141),Jan!$B:$B,0))="","",INDEX(Jan!$E:$E,MATCH(TRIM($A141),Jan!$B:$B,0))),"")</f>
        <v>0</v>
      </c>
      <c r="C141" s="623" t="str">
        <f>IFERROR(IF(INDEX('March-Feb'!$I:$I,MATCH($A141,'March-Feb'!$B:$B,0))="","",INDEX('March-Feb'!$I:$I,MATCH($A141,'March-Feb'!$B:$B,0))),"")</f>
        <v/>
      </c>
      <c r="D141" s="623" t="str">
        <f>IFERROR(IF(INDEX('March-Feb'!$E:$E,MATCH($A141,'March-Feb'!$B:$B,0))="","",INDEX('March-Feb'!$E:$E,MATCH($A141,'March-Feb'!$B:$B,0))),"")</f>
        <v/>
      </c>
      <c r="E141" s="623" t="str">
        <f>IFERROR(IF(INDEX('April-March'!$F:$F,MATCH($A141,'April-March'!$B:$B,0))="","",INDEX('April-March'!$F:$F,MATCH($A141,'April-March'!$B:$B,0))),"")</f>
        <v/>
      </c>
      <c r="F141" s="623" t="str">
        <f>IFERROR(IF(INDEX('May-April'!$F:$F,MATCH($A141,'May-April'!$B:$B,0))="","",INDEX('May-April'!$F:$F,MATCH($A141,'May-April'!$B:$B,0))),"")</f>
        <v/>
      </c>
      <c r="G141" s="636" t="str">
        <f>IF('Jun''26'!F141="","",'Jun''26'!F141)</f>
        <v/>
      </c>
      <c r="H141" s="623">
        <f>IFERROR(IF(INDEX('Jul''26'!$F:$F,MATCH($A141,'Jul''26'!$B:$B,0))="","",INDEX('Jul''26'!$F:$F,MATCH($A141,'Jul''26'!$B:$B,0))),"")</f>
        <v>0</v>
      </c>
      <c r="I141" s="625">
        <f t="shared" ca="1" si="5"/>
        <v>0</v>
      </c>
    </row>
    <row r="142" spans="1:9">
      <c r="A142" s="620" t="str">
        <f>IF('Jun''26'!B142="","",'Jun''26'!B142)</f>
        <v>Interest on Car loan</v>
      </c>
      <c r="B142" s="623">
        <f ca="1">IFERROR(IF(INDEX(Jan!$E:$E,MATCH(TRIM($A142),Jan!$B:$B,0))="","",INDEX(Jan!$E:$E,MATCH(TRIM($A142),Jan!$B:$B,0))),"")</f>
        <v>162.72</v>
      </c>
      <c r="C142" s="623">
        <f>IFERROR(IF(INDEX('March-Feb'!$I:$I,MATCH($A142,'March-Feb'!$B:$B,0))="","",INDEX('March-Feb'!$I:$I,MATCH($A142,'March-Feb'!$B:$B,0))),"")</f>
        <v>159</v>
      </c>
      <c r="D142" s="623">
        <f>IFERROR(IF(INDEX('March-Feb'!$E:$E,MATCH($A142,'March-Feb'!$B:$B,0))="","",INDEX('March-Feb'!$E:$E,MATCH($A142,'March-Feb'!$B:$B,0))),"")</f>
        <v>140</v>
      </c>
      <c r="E142" s="623">
        <f>IFERROR(IF(INDEX('April-March'!$F:$F,MATCH($A142,'April-March'!$B:$B,0))="","",INDEX('April-March'!$F:$F,MATCH($A142,'April-March'!$B:$B,0))),"")</f>
        <v>139</v>
      </c>
      <c r="F142" s="623">
        <f>IFERROR(IF(INDEX('May-April'!$F:$F,MATCH($A142,'May-April'!$B:$B,0))="","",INDEX('May-April'!$F:$F,MATCH($A142,'May-April'!$B:$B,0))),"")</f>
        <v>147</v>
      </c>
      <c r="G142" s="636">
        <f>IF('Jun''26'!F142="","",'Jun''26'!F142)</f>
        <v>139</v>
      </c>
      <c r="H142" s="623">
        <f>IFERROR(IF(INDEX('Jul''26'!$F:$F,MATCH($A142,'Jul''26'!$B:$B,0))="","",INDEX('Jul''26'!$F:$F,MATCH($A142,'Jul''26'!$B:$B,0))),"")</f>
        <v>122</v>
      </c>
      <c r="I142" s="625">
        <f t="shared" ca="1" si="5"/>
        <v>1008.72</v>
      </c>
    </row>
    <row r="143" spans="1:9">
      <c r="A143" s="620" t="str">
        <f>IF('Jun''26'!B143="","",'Jun''26'!B143)</f>
        <v>Forex gain/loss</v>
      </c>
      <c r="B143" s="623" t="str">
        <f ca="1">IFERROR(IF(INDEX(Jan!$E:$E,MATCH(TRIM($A143),Jan!$B:$B,0))="","",INDEX(Jan!$E:$E,MATCH(TRIM($A143),Jan!$B:$B,0))),"")</f>
        <v/>
      </c>
      <c r="C143" s="623" t="str">
        <f>IFERROR(IF(INDEX('March-Feb'!$I:$I,MATCH($A143,'March-Feb'!$B:$B,0))="","",INDEX('March-Feb'!$I:$I,MATCH($A143,'March-Feb'!$B:$B,0))),"")</f>
        <v/>
      </c>
      <c r="D143" s="623" t="str">
        <f>IFERROR(IF(INDEX('March-Feb'!$E:$E,MATCH($A143,'March-Feb'!$B:$B,0))="","",INDEX('March-Feb'!$E:$E,MATCH($A143,'March-Feb'!$B:$B,0))),"")</f>
        <v/>
      </c>
      <c r="E143" s="623" t="str">
        <f>IFERROR(IF(INDEX('April-March'!$F:$F,MATCH($A143,'April-March'!$B:$B,0))="","",INDEX('April-March'!$F:$F,MATCH($A143,'April-March'!$B:$B,0))),"")</f>
        <v/>
      </c>
      <c r="F143" s="623" t="str">
        <f>IFERROR(IF(INDEX('May-April'!$F:$F,MATCH($A143,'May-April'!$B:$B,0))="","",INDEX('May-April'!$F:$F,MATCH($A143,'May-April'!$B:$B,0))),"")</f>
        <v/>
      </c>
      <c r="G143" s="636" t="str">
        <f>IF('Jun''26'!F143="","",'Jun''26'!F143)</f>
        <v/>
      </c>
      <c r="H143" s="623">
        <f>IFERROR(IF(INDEX('Jul''26'!$F:$F,MATCH($A143,'Jul''26'!$B:$B,0))="","",INDEX('Jul''26'!$F:$F,MATCH($A143,'Jul''26'!$B:$B,0))),"")</f>
        <v>0</v>
      </c>
      <c r="I143" s="625">
        <f t="shared" ca="1" si="5"/>
        <v>0</v>
      </c>
    </row>
    <row r="144" spans="1:9">
      <c r="A144" s="620" t="str">
        <f>IF('Jun''26'!B144="","",'Jun''26'!B144)</f>
        <v>Interest Paid</v>
      </c>
      <c r="B144" s="623">
        <f ca="1">IFERROR(IF(INDEX(Jan!$E:$E,MATCH(TRIM($A144),Jan!$B:$B,0))="","",INDEX(Jan!$E:$E,MATCH(TRIM($A144),Jan!$B:$B,0))),"")</f>
        <v>4720.8</v>
      </c>
      <c r="C144" s="623">
        <f>IFERROR(IF(INDEX('March-Feb'!$I:$I,MATCH($A144,'March-Feb'!$B:$B,0))="","",INDEX('March-Feb'!$I:$I,MATCH($A144,'March-Feb'!$B:$B,0))),"")</f>
        <v>2360</v>
      </c>
      <c r="D144" s="623">
        <f>IFERROR(IF(INDEX('March-Feb'!$E:$E,MATCH($A144,'March-Feb'!$B:$B,0))="","",INDEX('March-Feb'!$E:$E,MATCH($A144,'March-Feb'!$B:$B,0))),"")</f>
        <v>2360</v>
      </c>
      <c r="E144" s="623">
        <f>IFERROR(IF(INDEX('April-March'!$F:$F,MATCH($A144,'April-March'!$B:$B,0))="","",INDEX('April-March'!$F:$F,MATCH($A144,'April-March'!$B:$B,0))),"")</f>
        <v>2360</v>
      </c>
      <c r="F144" s="623">
        <f>IFERROR(IF(INDEX('May-April'!$F:$F,MATCH($A144,'May-April'!$B:$B,0))="","",INDEX('May-April'!$F:$F,MATCH($A144,'May-April'!$B:$B,0))),"")</f>
        <v>2360</v>
      </c>
      <c r="G144" s="636">
        <f>IF('Jun''26'!F144="","",'Jun''26'!F144)</f>
        <v>2360</v>
      </c>
      <c r="H144" s="623">
        <f>IFERROR(IF(INDEX('Jul''26'!$F:$F,MATCH($A144,'Jul''26'!$B:$B,0))="","",INDEX('Jul''26'!$F:$F,MATCH($A144,'Jul''26'!$B:$B,0))),"")</f>
        <v>2360</v>
      </c>
      <c r="I144" s="625">
        <f t="shared" ca="1" si="5"/>
        <v>18880.8</v>
      </c>
    </row>
    <row r="145" spans="1:9">
      <c r="A145" s="620" t="str">
        <f>IF('Jun''26'!B145="","",'Jun''26'!B145)</f>
        <v>Interest on OD</v>
      </c>
      <c r="B145" s="623">
        <f ca="1">IFERROR(IF(INDEX(Jan!$E:$E,MATCH(TRIM($A145),Jan!$B:$B,0))="","",INDEX(Jan!$E:$E,MATCH(TRIM($A145),Jan!$B:$B,0))),"")</f>
        <v>638.68478260869597</v>
      </c>
      <c r="C145" s="623">
        <f>IFERROR(IF(INDEX('March-Feb'!$I:$I,MATCH($A145,'March-Feb'!$B:$B,0))="","",INDEX('March-Feb'!$I:$I,MATCH($A145,'March-Feb'!$B:$B,0))),"")</f>
        <v>746</v>
      </c>
      <c r="D145" s="623">
        <f>IFERROR(IF(INDEX('March-Feb'!$E:$E,MATCH($A145,'March-Feb'!$B:$B,0))="","",INDEX('March-Feb'!$E:$E,MATCH($A145,'March-Feb'!$B:$B,0))),"")</f>
        <v>1417</v>
      </c>
      <c r="E145" s="623">
        <f>IFERROR(IF(INDEX('April-March'!$F:$F,MATCH($A145,'April-March'!$B:$B,0))="","",INDEX('April-March'!$F:$F,MATCH($A145,'April-March'!$B:$B,0))),"")</f>
        <v>949</v>
      </c>
      <c r="F145" s="623">
        <f>IFERROR(IF(INDEX('May-April'!$F:$F,MATCH($A145,'May-April'!$B:$B,0))="","",INDEX('May-April'!$F:$F,MATCH($A145,'May-April'!$B:$B,0))),"")</f>
        <v>853</v>
      </c>
      <c r="G145" s="636">
        <f>IF('Jun''26'!F145="","",'Jun''26'!F145)</f>
        <v>811</v>
      </c>
      <c r="H145" s="623">
        <f>IFERROR(IF(INDEX('Jul''26'!$F:$F,MATCH($A145,'Jul''26'!$B:$B,0))="","",INDEX('Jul''26'!$F:$F,MATCH($A145,'Jul''26'!$B:$B,0))),"")</f>
        <v>846</v>
      </c>
      <c r="I145" s="625">
        <f t="shared" ca="1" si="5"/>
        <v>6260.684782608696</v>
      </c>
    </row>
    <row r="146" spans="1:9">
      <c r="A146" s="619" t="str">
        <f>IF('Jun''26'!B146="","",'Jun''26'!B146)</f>
        <v xml:space="preserve">        Rates &amp; Taxes</v>
      </c>
      <c r="B146" s="626">
        <f ca="1">IFERROR(IF(INDEX(Jan!$E:$E,MATCH(TRIM($A146),Jan!$B:$B,0))="","",INDEX(Jan!$E:$E,MATCH(TRIM($A146),Jan!$B:$B,0))),"")</f>
        <v>0</v>
      </c>
      <c r="C146" s="626">
        <f>IFERROR(IF(INDEX('March-Feb'!$I:$I,MATCH($A146,'March-Feb'!$B:$B,0))="","",INDEX('March-Feb'!$I:$I,MATCH($A146,'March-Feb'!$B:$B,0))),"")</f>
        <v>0</v>
      </c>
      <c r="D146" s="626">
        <f>IFERROR(IF(INDEX('March-Feb'!$E:$E,MATCH($A146,'March-Feb'!$B:$B,0))="","",INDEX('March-Feb'!$E:$E,MATCH($A146,'March-Feb'!$B:$B,0))),"")</f>
        <v>517</v>
      </c>
      <c r="E146" s="626">
        <f>IFERROR(IF(INDEX('April-March'!$F:$F,MATCH($A146,'April-March'!$B:$B,0))="","",INDEX('April-March'!$F:$F,MATCH($A146,'April-March'!$B:$B,0))),"")</f>
        <v>709</v>
      </c>
      <c r="F146" s="626">
        <f>IFERROR(IF(INDEX('May-April'!$F:$F,MATCH($A146,'May-April'!$B:$B,0))="","",INDEX('May-April'!$F:$F,MATCH($A146,'May-April'!$B:$B,0))),"")</f>
        <v>0</v>
      </c>
      <c r="G146" s="637">
        <f>IF('Jun''26'!F146="","",'Jun''26'!F146)</f>
        <v>1</v>
      </c>
      <c r="H146" s="626">
        <f>IFERROR(IF(INDEX('Jul''26'!$F:$F,MATCH($A146,'Jul''26'!$B:$B,0))="","",INDEX('Jul''26'!$F:$F,MATCH($A146,'Jul''26'!$B:$B,0))),"")</f>
        <v>2</v>
      </c>
      <c r="I146" s="625">
        <f t="shared" ca="1" si="5"/>
        <v>1229</v>
      </c>
    </row>
    <row r="147" spans="1:9">
      <c r="A147" s="620" t="str">
        <f>IF('Jun''26'!B147="","",'Jun''26'!B147)</f>
        <v>Rates &amp; Taxes</v>
      </c>
      <c r="B147" s="623">
        <f ca="1">IFERROR(IF(INDEX(Jan!$E:$E,MATCH(TRIM($A147),Jan!$B:$B,0))="","",INDEX(Jan!$E:$E,MATCH(TRIM($A147),Jan!$B:$B,0))),"")</f>
        <v>0</v>
      </c>
      <c r="C147" s="623" t="str">
        <f>IFERROR(IF(INDEX('March-Feb'!$I:$I,MATCH($A147,'March-Feb'!$B:$B,0))="","",INDEX('March-Feb'!$I:$I,MATCH($A147,'March-Feb'!$B:$B,0))),"")</f>
        <v/>
      </c>
      <c r="D147" s="623">
        <f>IFERROR(IF(INDEX('March-Feb'!$E:$E,MATCH($A147,'March-Feb'!$B:$B,0))="","",INDEX('March-Feb'!$E:$E,MATCH($A147,'March-Feb'!$B:$B,0))),"")</f>
        <v>517</v>
      </c>
      <c r="E147" s="623">
        <f>IFERROR(IF(INDEX('April-March'!$F:$F,MATCH($A147,'April-March'!$B:$B,0))="","",INDEX('April-March'!$F:$F,MATCH($A147,'April-March'!$B:$B,0))),"")</f>
        <v>709</v>
      </c>
      <c r="F147" s="623">
        <f>IFERROR(IF(INDEX('May-April'!$F:$F,MATCH($A147,'May-April'!$B:$B,0))="","",INDEX('May-April'!$F:$F,MATCH($A147,'May-April'!$B:$B,0))),"")</f>
        <v>0</v>
      </c>
      <c r="G147" s="636">
        <f>IF('Jun''26'!F147="","",'Jun''26'!F147)</f>
        <v>1</v>
      </c>
      <c r="H147" s="623">
        <f>IFERROR(IF(INDEX('Jul''26'!$F:$F,MATCH($A147,'Jul''26'!$B:$B,0))="","",INDEX('Jul''26'!$F:$F,MATCH($A147,'Jul''26'!$B:$B,0))),"")</f>
        <v>2</v>
      </c>
      <c r="I147" s="625">
        <f t="shared" ca="1" si="5"/>
        <v>1229</v>
      </c>
    </row>
    <row r="148" spans="1:9">
      <c r="A148" s="620" t="str">
        <f>IF('Jun''26'!B148="","",'Jun''26'!B148)</f>
        <v>Current Tax Expenses</v>
      </c>
      <c r="B148" s="623" t="str">
        <f ca="1">IFERROR(IF(INDEX(Jan!$E:$E,MATCH(TRIM($A148),Jan!$B:$B,0))="","",INDEX(Jan!$E:$E,MATCH(TRIM($A148),Jan!$B:$B,0))),"")</f>
        <v/>
      </c>
      <c r="C148" s="623" t="str">
        <f>IFERROR(IF(INDEX('March-Feb'!$I:$I,MATCH($A148,'March-Feb'!$B:$B,0))="","",INDEX('March-Feb'!$I:$I,MATCH($A148,'March-Feb'!$B:$B,0))),"")</f>
        <v/>
      </c>
      <c r="D148" s="623" t="str">
        <f>IFERROR(IF(INDEX('March-Feb'!$E:$E,MATCH($A148,'March-Feb'!$B:$B,0))="","",INDEX('March-Feb'!$E:$E,MATCH($A148,'March-Feb'!$B:$B,0))),"")</f>
        <v/>
      </c>
      <c r="E148" s="623" t="str">
        <f>IFERROR(IF(INDEX('April-March'!$F:$F,MATCH($A148,'April-March'!$B:$B,0))="","",INDEX('April-March'!$F:$F,MATCH($A148,'April-March'!$B:$B,0))),"")</f>
        <v/>
      </c>
      <c r="F148" s="623" t="str">
        <f>IFERROR(IF(INDEX('May-April'!$F:$F,MATCH($A148,'May-April'!$B:$B,0))="","",INDEX('May-April'!$F:$F,MATCH($A148,'May-April'!$B:$B,0))),"")</f>
        <v/>
      </c>
      <c r="G148" s="636" t="str">
        <f>IF('Jun''26'!F148="","",'Jun''26'!F148)</f>
        <v/>
      </c>
      <c r="H148" s="623">
        <f>IFERROR(IF(INDEX('Jul''26'!$F:$F,MATCH($A148,'Jul''26'!$B:$B,0))="","",INDEX('Jul''26'!$F:$F,MATCH($A148,'Jul''26'!$B:$B,0))),"")</f>
        <v>0</v>
      </c>
      <c r="I148" s="625">
        <f t="shared" ca="1" si="5"/>
        <v>0</v>
      </c>
    </row>
    <row r="149" spans="1:9">
      <c r="A149" s="620" t="str">
        <f>IF('Jun''26'!B149="","",'Jun''26'!B149)</f>
        <v>Deferred Tax Expenses</v>
      </c>
      <c r="B149" s="623" t="str">
        <f ca="1">IFERROR(IF(INDEX(Jan!$E:$E,MATCH(TRIM($A149),Jan!$B:$B,0))="","",INDEX(Jan!$E:$E,MATCH(TRIM($A149),Jan!$B:$B,0))),"")</f>
        <v/>
      </c>
      <c r="C149" s="623" t="str">
        <f>IFERROR(IF(INDEX('March-Feb'!$I:$I,MATCH($A149,'March-Feb'!$B:$B,0))="","",INDEX('March-Feb'!$I:$I,MATCH($A149,'March-Feb'!$B:$B,0))),"")</f>
        <v/>
      </c>
      <c r="D149" s="623" t="str">
        <f>IFERROR(IF(INDEX('March-Feb'!$E:$E,MATCH($A149,'March-Feb'!$B:$B,0))="","",INDEX('March-Feb'!$E:$E,MATCH($A149,'March-Feb'!$B:$B,0))),"")</f>
        <v/>
      </c>
      <c r="E149" s="623" t="str">
        <f>IFERROR(IF(INDEX('April-March'!$F:$F,MATCH($A149,'April-March'!$B:$B,0))="","",INDEX('April-March'!$F:$F,MATCH($A149,'April-March'!$B:$B,0))),"")</f>
        <v/>
      </c>
      <c r="F149" s="623" t="str">
        <f>IFERROR(IF(INDEX('May-April'!$F:$F,MATCH($A149,'May-April'!$B:$B,0))="","",INDEX('May-April'!$F:$F,MATCH($A149,'May-April'!$B:$B,0))),"")</f>
        <v/>
      </c>
      <c r="G149" s="636" t="str">
        <f>IF('Jun''26'!F149="","",'Jun''26'!F149)</f>
        <v/>
      </c>
      <c r="H149" s="623">
        <f>IFERROR(IF(INDEX('Jul''26'!$F:$F,MATCH($A149,'Jul''26'!$B:$B,0))="","",INDEX('Jul''26'!$F:$F,MATCH($A149,'Jul''26'!$B:$B,0))),"")</f>
        <v>0</v>
      </c>
      <c r="I149" s="625">
        <f t="shared" ca="1" si="5"/>
        <v>0</v>
      </c>
    </row>
    <row r="150" spans="1:9">
      <c r="A150" s="619" t="str">
        <f>IF('Jun''26'!B150="","",'Jun''26'!B150)</f>
        <v xml:space="preserve">        Depreciation</v>
      </c>
      <c r="B150" s="626">
        <f ca="1">IFERROR(IF(INDEX(Jan!$E:$E,MATCH(TRIM($A150),Jan!$B:$B,0))="","",INDEX(Jan!$E:$E,MATCH(TRIM($A150),Jan!$B:$B,0))),"")</f>
        <v>0</v>
      </c>
      <c r="C150" s="626">
        <f>IFERROR(IF(INDEX('March-Feb'!$I:$I,MATCH($A150,'March-Feb'!$B:$B,0))="","",INDEX('March-Feb'!$I:$I,MATCH($A150,'March-Feb'!$B:$B,0))),"")</f>
        <v>0</v>
      </c>
      <c r="D150" s="626">
        <f>IFERROR(IF(INDEX('March-Feb'!$E:$E,MATCH($A150,'March-Feb'!$B:$B,0))="","",INDEX('March-Feb'!$E:$E,MATCH($A150,'March-Feb'!$B:$B,0))),"")</f>
        <v>0</v>
      </c>
      <c r="E150" s="626">
        <f>IFERROR(IF(INDEX('April-March'!$F:$F,MATCH($A150,'April-March'!$B:$B,0))="","",INDEX('April-March'!$F:$F,MATCH($A150,'April-March'!$B:$B,0))),"")</f>
        <v>0</v>
      </c>
      <c r="F150" s="626">
        <f>IFERROR(IF(INDEX('May-April'!$F:$F,MATCH($A150,'May-April'!$B:$B,0))="","",INDEX('May-April'!$F:$F,MATCH($A150,'May-April'!$B:$B,0))),"")</f>
        <v>-61</v>
      </c>
      <c r="G150" s="637">
        <f>IF('Jun''26'!F150="","",'Jun''26'!F150)</f>
        <v>-24</v>
      </c>
      <c r="H150" s="626">
        <f>IFERROR(IF(INDEX('Jul''26'!$F:$F,MATCH($A150,'Jul''26'!$B:$B,0))="","",INDEX('Jul''26'!$F:$F,MATCH($A150,'Jul''26'!$B:$B,0))),"")</f>
        <v>-31</v>
      </c>
      <c r="I150" s="625">
        <f t="shared" ca="1" si="5"/>
        <v>-116</v>
      </c>
    </row>
    <row r="151" spans="1:9">
      <c r="A151" s="620" t="str">
        <f>IF('Jun''26'!B151="","",'Jun''26'!B151)</f>
        <v>Depreciation</v>
      </c>
      <c r="B151" s="623">
        <f ca="1">IFERROR(IF(INDEX(Jan!$E:$E,MATCH(TRIM($A151),Jan!$B:$B,0))="","",INDEX(Jan!$E:$E,MATCH(TRIM($A151),Jan!$B:$B,0))),"")</f>
        <v>0</v>
      </c>
      <c r="C151" s="623" t="str">
        <f>IFERROR(IF(INDEX('March-Feb'!$I:$I,MATCH($A151,'March-Feb'!$B:$B,0))="","",INDEX('March-Feb'!$I:$I,MATCH($A151,'March-Feb'!$B:$B,0))),"")</f>
        <v/>
      </c>
      <c r="D151" s="623" t="str">
        <f>IFERROR(IF(INDEX('March-Feb'!$E:$E,MATCH($A151,'March-Feb'!$B:$B,0))="","",INDEX('March-Feb'!$E:$E,MATCH($A151,'March-Feb'!$B:$B,0))),"")</f>
        <v/>
      </c>
      <c r="E151" s="623" t="str">
        <f>IFERROR(IF(INDEX('April-March'!$F:$F,MATCH($A151,'April-March'!$B:$B,0))="","",INDEX('April-March'!$F:$F,MATCH($A151,'April-March'!$B:$B,0))),"")</f>
        <v/>
      </c>
      <c r="F151" s="623">
        <f>IFERROR(IF(INDEX('May-April'!$F:$F,MATCH($A151,'May-April'!$B:$B,0))="","",INDEX('May-April'!$F:$F,MATCH($A151,'May-April'!$B:$B,0))),"")</f>
        <v>-61</v>
      </c>
      <c r="G151" s="636">
        <f>IF('Jun''26'!F151="","",'Jun''26'!F151)</f>
        <v>-24</v>
      </c>
      <c r="H151" s="623">
        <f>IFERROR(IF(INDEX('Jul''26'!$F:$F,MATCH($A151,'Jul''26'!$B:$B,0))="","",INDEX('Jul''26'!$F:$F,MATCH($A151,'Jul''26'!$B:$B,0))),"")</f>
        <v>-31</v>
      </c>
      <c r="I151" s="625">
        <f t="shared" ca="1" si="5"/>
        <v>-116</v>
      </c>
    </row>
    <row r="152" spans="1:9">
      <c r="A152" s="631" t="str">
        <f>IF('Jun''26'!B152="","",'Jun''26'!B152)</f>
        <v>Total Cost</v>
      </c>
      <c r="B152" s="632">
        <f>Jan!E37</f>
        <v>-1342.3095652173924</v>
      </c>
      <c r="C152" s="632">
        <f>IFERROR(IF(INDEX('March-Feb'!$I:$I,MATCH($A152,'March-Feb'!$B:$B,0))="","",INDEX('March-Feb'!$I:$I,MATCH($A152,'March-Feb'!$B:$B,0))),"")</f>
        <v>-1027</v>
      </c>
      <c r="D152" s="632">
        <f>IFERROR(IF(INDEX('March-Feb'!$E:$E,MATCH($A152,'March-Feb'!$B:$B,0))="","",INDEX('March-Feb'!$E:$E,MATCH($A152,'March-Feb'!$B:$B,0))),"")</f>
        <v>-5457</v>
      </c>
      <c r="E152" s="632">
        <f>IFERROR(IF(INDEX('April-March'!$F:$F,MATCH($A152,'April-March'!$B:$B,0))="","",INDEX('April-March'!$F:$F,MATCH($A152,'April-March'!$B:$B,0))),"")</f>
        <v>87</v>
      </c>
      <c r="F152" s="632">
        <f>IFERROR(IF(INDEX('May-April'!$F:$F,MATCH($A152,'May-April'!$B:$B,0))="","",INDEX('May-April'!$F:$F,MATCH($A152,'May-April'!$B:$B,0))),"")</f>
        <v>-3732</v>
      </c>
      <c r="G152" s="639">
        <f>IF('Jun''26'!F152="","",'Jun''26'!F152)</f>
        <v>-1090</v>
      </c>
      <c r="H152" s="632">
        <f>IFERROR(IF(INDEX('Jul''26'!$F:$F,MATCH($A152,'Jul''26'!$B:$B,0))="","",INDEX('Jul''26'!$F:$F,MATCH($A152,'Jul''26'!$B:$B,0))),"")</f>
        <v>-1357</v>
      </c>
      <c r="I152" s="625">
        <f t="shared" si="5"/>
        <v>-13918.309565217392</v>
      </c>
    </row>
    <row r="153" spans="1:9" ht="14.5" thickBot="1">
      <c r="A153" s="633" t="str">
        <f>IF('Jun''26'!B153="","",'Jun''26'!B153)</f>
        <v>PBT</v>
      </c>
      <c r="B153" s="634">
        <f ca="1">IFERROR(IF(INDEX(Jan!$E:$E,MATCH(TRIM($A153),Jan!$B:$B,0))="","",INDEX(Jan!$E:$E,MATCH(TRIM($A153),Jan!$B:$B,0))),"")</f>
        <v>-24871.320543478185</v>
      </c>
      <c r="C153" s="634">
        <f>IFERROR(IF(INDEX('March-Feb'!$I:$I,MATCH($A153,'March-Feb'!$B:$B,0))="","",INDEX('March-Feb'!$I:$I,MATCH($A153,'March-Feb'!$B:$B,0))),"")</f>
        <v>-3604</v>
      </c>
      <c r="D153" s="634">
        <f>IFERROR(IF(INDEX('March-Feb'!$E:$E,MATCH($A153,'March-Feb'!$B:$B,0))="","",INDEX('March-Feb'!$E:$E,MATCH($A153,'March-Feb'!$B:$B,0))),"")</f>
        <v>-21258</v>
      </c>
      <c r="E153" s="634">
        <f>IFERROR(IF(INDEX('April-March'!$F:$F,MATCH($A153,'April-March'!$B:$B,0))="","",INDEX('April-March'!$F:$F,MATCH($A153,'April-March'!$B:$B,0))),"")</f>
        <v>-13222</v>
      </c>
      <c r="F153" s="634">
        <f>IFERROR(IF(INDEX('May-April'!$F:$F,MATCH($A153,'May-April'!$B:$B,0))="","",INDEX('May-April'!$F:$F,MATCH($A153,'May-April'!$B:$B,0))),"")</f>
        <v>22155</v>
      </c>
      <c r="G153" s="641">
        <f>IF('Jun''26'!F153="","",'Jun''26'!F153)</f>
        <v>25942</v>
      </c>
      <c r="H153" s="634">
        <f>IFERROR(IF(INDEX('Jul''26'!$F:$F,MATCH($A153,'Jul''26'!$B:$B,0))="","",INDEX('Jul''26'!$F:$F,MATCH($A153,'Jul''26'!$B:$B,0))),"")</f>
        <v>38043</v>
      </c>
      <c r="I153" s="625">
        <f t="shared" ca="1" si="5"/>
        <v>23184.679456521815</v>
      </c>
    </row>
    <row r="154" spans="1:9" ht="14.5" thickTop="1">
      <c r="A154" s="620"/>
      <c r="B154" s="622"/>
      <c r="C154" s="622"/>
      <c r="D154" s="622"/>
      <c r="E154" s="622"/>
      <c r="F154" s="622"/>
      <c r="G154" s="622"/>
      <c r="H154" s="622"/>
      <c r="I154" s="622"/>
    </row>
    <row r="155" spans="1:9">
      <c r="A155" s="620"/>
      <c r="B155" s="622"/>
      <c r="C155" s="622"/>
      <c r="D155" s="622"/>
      <c r="E155" s="622"/>
      <c r="F155" s="622"/>
      <c r="G155" s="622"/>
      <c r="H155" s="622"/>
      <c r="I155" s="622"/>
    </row>
    <row r="156" spans="1:9">
      <c r="A156" s="624" t="s">
        <v>1051</v>
      </c>
      <c r="B156" s="622"/>
      <c r="C156" s="622"/>
      <c r="D156" s="622"/>
      <c r="E156" s="622"/>
      <c r="F156" s="622"/>
      <c r="G156" s="622"/>
      <c r="H156" s="622"/>
      <c r="I156" s="622"/>
    </row>
    <row r="157" spans="1:9">
      <c r="A157" s="621" t="s">
        <v>1052</v>
      </c>
      <c r="B157" s="622"/>
      <c r="C157" s="622"/>
      <c r="D157" s="622"/>
      <c r="E157" s="622"/>
      <c r="F157" s="622"/>
      <c r="G157" s="622"/>
      <c r="H157" s="622"/>
      <c r="I157" s="622"/>
    </row>
    <row r="158" spans="1:9">
      <c r="A158" s="620"/>
      <c r="B158" s="622"/>
      <c r="C158" s="622"/>
      <c r="D158" s="650">
        <f>D$6</f>
        <v>46082</v>
      </c>
      <c r="E158" s="650">
        <f>E$6</f>
        <v>46113</v>
      </c>
      <c r="F158" s="650">
        <f>F$6</f>
        <v>46143</v>
      </c>
      <c r="G158" s="622"/>
      <c r="H158" s="622"/>
      <c r="I158" s="622"/>
    </row>
    <row r="159" spans="1:9">
      <c r="A159" s="620" t="s">
        <v>1053</v>
      </c>
      <c r="B159" s="622"/>
      <c r="C159" s="622"/>
      <c r="D159" s="622">
        <f>D15</f>
        <v>221215</v>
      </c>
      <c r="E159" s="622">
        <f>E15</f>
        <v>195207</v>
      </c>
      <c r="F159" s="622">
        <f>F15</f>
        <v>209918</v>
      </c>
      <c r="G159" s="622"/>
      <c r="H159" s="622"/>
      <c r="I159" s="622"/>
    </row>
    <row r="160" spans="1:9">
      <c r="A160" s="620" t="s">
        <v>1054</v>
      </c>
      <c r="B160" s="622"/>
      <c r="C160" s="622"/>
      <c r="D160" s="622">
        <f>INDEX('April-March'!$J:$J,MATCH("Total Revenue",'April-March'!$B:$B,0))</f>
        <v>237839</v>
      </c>
      <c r="E160" s="622">
        <f>INDEX('May-April'!$J:$J,MATCH("Total Revenue",'May-April'!$B:$B,0))</f>
        <v>195207</v>
      </c>
      <c r="F160" s="622">
        <f>INDEX('Jun''26'!$J:$J,MATCH("Total Revenue",'Jun''26'!$B:$B,0))</f>
        <v>209918</v>
      </c>
      <c r="G160" s="622"/>
      <c r="H160" s="622"/>
      <c r="I160" s="622"/>
    </row>
    <row r="161" spans="1:9">
      <c r="A161" s="619" t="s">
        <v>1055</v>
      </c>
      <c r="B161" s="622"/>
      <c r="C161" s="622"/>
      <c r="D161" s="622">
        <f>D160-D159</f>
        <v>16624</v>
      </c>
      <c r="E161" s="622">
        <f>E160-E159</f>
        <v>0</v>
      </c>
      <c r="F161" s="622">
        <f>F160-F159</f>
        <v>0</v>
      </c>
      <c r="G161" s="622"/>
      <c r="H161" s="622"/>
      <c r="I161" s="622"/>
    </row>
    <row r="162" spans="1:9">
      <c r="A162" s="620"/>
      <c r="B162" s="622"/>
      <c r="C162" s="622"/>
      <c r="D162" s="622"/>
      <c r="E162" s="622"/>
      <c r="F162" s="622"/>
      <c r="G162" s="622"/>
      <c r="H162" s="622"/>
      <c r="I162" s="622"/>
    </row>
    <row r="163" spans="1:9">
      <c r="A163" s="620" t="s">
        <v>1056</v>
      </c>
      <c r="B163" s="622"/>
      <c r="C163" s="622"/>
      <c r="D163" s="622">
        <f>D134</f>
        <v>-26714</v>
      </c>
      <c r="E163" s="622">
        <f>E134</f>
        <v>-13135</v>
      </c>
      <c r="F163" s="622">
        <f>F134</f>
        <v>18423</v>
      </c>
      <c r="G163" s="622"/>
      <c r="H163" s="622"/>
      <c r="I163" s="622"/>
    </row>
    <row r="164" spans="1:9">
      <c r="A164" s="620" t="s">
        <v>1057</v>
      </c>
      <c r="B164" s="622"/>
      <c r="C164" s="622"/>
      <c r="D164" s="622">
        <f>INDEX('April-March'!$J:$J,MATCH("EBITDA",'April-March'!$B:$B,0))</f>
        <v>-4254</v>
      </c>
      <c r="E164" s="622">
        <f>INDEX('May-April'!$J:$J,MATCH("EBITDA",'May-April'!$B:$B,0))</f>
        <v>-15696</v>
      </c>
      <c r="F164" s="622">
        <f>INDEX('Jun''26'!$J:$J,MATCH("EBITDA",'Jun''26'!$B:$B,0))</f>
        <v>11957</v>
      </c>
      <c r="G164" s="622"/>
      <c r="H164" s="622"/>
      <c r="I164" s="622"/>
    </row>
    <row r="165" spans="1:9">
      <c r="A165" s="619" t="s">
        <v>1055</v>
      </c>
      <c r="B165" s="622"/>
      <c r="C165" s="622"/>
      <c r="D165" s="622">
        <f>D164-D163</f>
        <v>22460</v>
      </c>
      <c r="E165" s="622">
        <f>E164-E163</f>
        <v>-2561</v>
      </c>
      <c r="F165" s="622">
        <f>F164-F163</f>
        <v>-6466</v>
      </c>
      <c r="G165" s="622"/>
      <c r="H165" s="622"/>
      <c r="I165" s="6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CCDAA-4689-4E60-BE06-35E996313AB5}">
  <dimension ref="A1:J155"/>
  <sheetViews>
    <sheetView showGridLines="0" topLeftCell="A70" zoomScale="80" zoomScaleNormal="80" workbookViewId="0">
      <selection activeCell="F137" sqref="F137"/>
    </sheetView>
  </sheetViews>
  <sheetFormatPr defaultColWidth="8.4140625" defaultRowHeight="14.5" outlineLevelRow="1"/>
  <cols>
    <col min="1" max="1" width="4.58203125" style="653" customWidth="1"/>
    <col min="2" max="2" width="29.6640625" style="653" bestFit="1" customWidth="1"/>
    <col min="3" max="3" width="13.6640625" style="654" bestFit="1" customWidth="1"/>
    <col min="4" max="4" width="11.6640625" style="654" bestFit="1" customWidth="1"/>
    <col min="5" max="5" width="26.6640625" style="654" bestFit="1" customWidth="1"/>
    <col min="6" max="6" width="6.1640625" style="654" bestFit="1" customWidth="1"/>
    <col min="7" max="7" width="13.6640625" style="653" bestFit="1" customWidth="1"/>
    <col min="8" max="8" width="11.6640625" style="653" bestFit="1" customWidth="1"/>
    <col min="9" max="9" width="26.6640625" style="653" bestFit="1" customWidth="1"/>
    <col min="10" max="10" width="20.9140625" style="653" bestFit="1" customWidth="1"/>
    <col min="11" max="16384" width="8.4140625" style="653"/>
  </cols>
  <sheetData>
    <row r="1" spans="1:10" hidden="1"/>
    <row r="2" spans="1:10" ht="18.5">
      <c r="B2" s="655" t="s">
        <v>564</v>
      </c>
      <c r="C2" s="667" t="s">
        <v>1069</v>
      </c>
      <c r="D2" s="667"/>
      <c r="E2" s="656"/>
      <c r="F2" s="655"/>
      <c r="G2" s="657"/>
      <c r="H2" s="668" t="s">
        <v>641</v>
      </c>
      <c r="I2" s="668"/>
      <c r="J2" s="654"/>
    </row>
    <row r="3" spans="1:10" ht="18.5">
      <c r="B3" s="656" t="s">
        <v>567</v>
      </c>
      <c r="C3" s="667"/>
      <c r="D3" s="667"/>
      <c r="E3" s="656" t="s">
        <v>568</v>
      </c>
      <c r="F3" s="656"/>
      <c r="G3" s="654"/>
      <c r="H3" s="668"/>
      <c r="I3" s="668"/>
      <c r="J3" s="654" t="s">
        <v>568</v>
      </c>
    </row>
    <row r="4" spans="1:10" hidden="1">
      <c r="B4" s="658"/>
      <c r="C4" s="656"/>
      <c r="D4" s="656"/>
      <c r="E4" s="656"/>
      <c r="F4" s="656"/>
    </row>
    <row r="5" spans="1:10" hidden="1">
      <c r="B5" s="658" t="s">
        <v>569</v>
      </c>
      <c r="C5" s="656"/>
      <c r="D5" s="656"/>
      <c r="E5" s="656"/>
      <c r="F5" s="656"/>
    </row>
    <row r="6" spans="1:10" ht="25" customHeight="1">
      <c r="A6" s="653" t="s">
        <v>569</v>
      </c>
      <c r="B6" s="659" t="s">
        <v>570</v>
      </c>
      <c r="C6" s="660" t="s">
        <v>571</v>
      </c>
      <c r="D6" s="660" t="s">
        <v>564</v>
      </c>
      <c r="E6" s="660" t="s">
        <v>572</v>
      </c>
      <c r="F6" s="660" t="s">
        <v>19</v>
      </c>
      <c r="G6" s="660" t="s">
        <v>571</v>
      </c>
      <c r="H6" s="660" t="s">
        <v>564</v>
      </c>
      <c r="I6" s="660" t="s">
        <v>572</v>
      </c>
      <c r="J6" s="660" t="s">
        <v>19</v>
      </c>
    </row>
    <row r="7" spans="1:10">
      <c r="A7" s="661" t="s">
        <v>569</v>
      </c>
      <c r="B7" s="662" t="s">
        <v>1</v>
      </c>
      <c r="C7" s="663" t="s">
        <v>569</v>
      </c>
      <c r="D7" s="663" t="s">
        <v>569</v>
      </c>
      <c r="E7" s="663" t="s">
        <v>569</v>
      </c>
      <c r="F7" s="663" t="s">
        <v>569</v>
      </c>
      <c r="G7" s="663" t="s">
        <v>569</v>
      </c>
      <c r="H7" s="663" t="s">
        <v>569</v>
      </c>
      <c r="I7" s="663" t="s">
        <v>569</v>
      </c>
      <c r="J7" s="663" t="s">
        <v>569</v>
      </c>
    </row>
    <row r="8" spans="1:10">
      <c r="A8" s="653" t="s">
        <v>569</v>
      </c>
      <c r="B8" s="664" t="s">
        <v>574</v>
      </c>
      <c r="C8" s="665">
        <v>169130</v>
      </c>
      <c r="D8" s="665">
        <v>250110</v>
      </c>
      <c r="E8" s="665">
        <v>-168568</v>
      </c>
      <c r="F8" s="665">
        <v>250672</v>
      </c>
      <c r="G8" s="665">
        <v>163489</v>
      </c>
      <c r="H8" s="665">
        <v>226261</v>
      </c>
      <c r="I8" s="665">
        <v>-157139</v>
      </c>
      <c r="J8" s="663">
        <v>232611</v>
      </c>
    </row>
    <row r="9" spans="1:10">
      <c r="A9" s="653" t="s">
        <v>569</v>
      </c>
      <c r="B9" s="664" t="s">
        <v>2</v>
      </c>
      <c r="C9" s="665">
        <v>168858</v>
      </c>
      <c r="D9" s="665">
        <v>250110</v>
      </c>
      <c r="E9" s="665">
        <v>-168568</v>
      </c>
      <c r="F9" s="665">
        <v>250400</v>
      </c>
      <c r="G9" s="665">
        <v>157186</v>
      </c>
      <c r="H9" s="665">
        <v>225967</v>
      </c>
      <c r="I9" s="665">
        <v>-157139</v>
      </c>
      <c r="J9" s="663">
        <v>226014</v>
      </c>
    </row>
    <row r="10" spans="1:10" hidden="1" outlineLevel="1">
      <c r="A10" s="653" t="s">
        <v>569</v>
      </c>
      <c r="B10" s="664" t="s">
        <v>44</v>
      </c>
      <c r="C10" s="665">
        <v>0</v>
      </c>
      <c r="D10" s="665">
        <v>0</v>
      </c>
      <c r="E10" s="665">
        <v>0</v>
      </c>
      <c r="F10" s="665">
        <v>0</v>
      </c>
      <c r="G10" s="665">
        <v>0</v>
      </c>
      <c r="H10" s="665">
        <v>0</v>
      </c>
      <c r="I10" s="665">
        <v>0</v>
      </c>
      <c r="J10" s="663">
        <v>0</v>
      </c>
    </row>
    <row r="11" spans="1:10" hidden="1" outlineLevel="1">
      <c r="A11" s="653" t="s">
        <v>569</v>
      </c>
      <c r="B11" s="664" t="s">
        <v>45</v>
      </c>
      <c r="C11" s="665">
        <v>224</v>
      </c>
      <c r="D11" s="665" t="s">
        <v>569</v>
      </c>
      <c r="E11" s="665">
        <v>0</v>
      </c>
      <c r="F11" s="665">
        <v>224</v>
      </c>
      <c r="G11" s="665" t="s">
        <v>569</v>
      </c>
      <c r="H11" s="665" t="s">
        <v>569</v>
      </c>
      <c r="I11" s="665">
        <v>0</v>
      </c>
      <c r="J11" s="663">
        <v>0</v>
      </c>
    </row>
    <row r="12" spans="1:10" hidden="1" outlineLevel="1">
      <c r="A12" s="653" t="s">
        <v>569</v>
      </c>
      <c r="B12" s="664" t="s">
        <v>47</v>
      </c>
      <c r="C12" s="665">
        <v>16</v>
      </c>
      <c r="D12" s="665">
        <v>0</v>
      </c>
      <c r="E12" s="665">
        <v>0</v>
      </c>
      <c r="F12" s="665">
        <v>16</v>
      </c>
      <c r="G12" s="665">
        <v>0</v>
      </c>
      <c r="H12" s="665">
        <v>294</v>
      </c>
      <c r="I12" s="665">
        <v>0</v>
      </c>
      <c r="J12" s="663">
        <v>294</v>
      </c>
    </row>
    <row r="13" spans="1:10" hidden="1" outlineLevel="1">
      <c r="A13" s="653" t="s">
        <v>569</v>
      </c>
      <c r="B13" s="664" t="s">
        <v>46</v>
      </c>
      <c r="C13" s="665">
        <v>54</v>
      </c>
      <c r="D13" s="665" t="s">
        <v>569</v>
      </c>
      <c r="E13" s="665">
        <v>0</v>
      </c>
      <c r="F13" s="665">
        <v>54</v>
      </c>
      <c r="G13" s="665">
        <v>-1</v>
      </c>
      <c r="H13" s="665" t="s">
        <v>569</v>
      </c>
      <c r="I13" s="665">
        <v>0</v>
      </c>
      <c r="J13" s="663">
        <v>-1</v>
      </c>
    </row>
    <row r="14" spans="1:10" hidden="1" outlineLevel="1">
      <c r="A14" s="653" t="s">
        <v>569</v>
      </c>
      <c r="B14" s="664" t="s">
        <v>643</v>
      </c>
      <c r="C14" s="665">
        <v>-21</v>
      </c>
      <c r="D14" s="665" t="s">
        <v>569</v>
      </c>
      <c r="E14" s="665">
        <v>0</v>
      </c>
      <c r="F14" s="665">
        <v>-21</v>
      </c>
      <c r="G14" s="665">
        <v>6304</v>
      </c>
      <c r="H14" s="665" t="s">
        <v>569</v>
      </c>
      <c r="I14" s="665">
        <v>0</v>
      </c>
      <c r="J14" s="663">
        <v>6304</v>
      </c>
    </row>
    <row r="15" spans="1:10" hidden="1" outlineLevel="1">
      <c r="A15" s="653" t="s">
        <v>569</v>
      </c>
      <c r="B15" s="664" t="s">
        <v>3</v>
      </c>
      <c r="C15" s="665">
        <v>169130</v>
      </c>
      <c r="D15" s="665">
        <v>250110</v>
      </c>
      <c r="E15" s="665">
        <v>-168568</v>
      </c>
      <c r="F15" s="665">
        <v>250672</v>
      </c>
      <c r="G15" s="665">
        <v>163489</v>
      </c>
      <c r="H15" s="665">
        <v>226261</v>
      </c>
      <c r="I15" s="665">
        <v>-157139</v>
      </c>
      <c r="J15" s="663">
        <v>232611</v>
      </c>
    </row>
    <row r="16" spans="1:10" collapsed="1">
      <c r="A16" s="661" t="s">
        <v>569</v>
      </c>
      <c r="B16" s="662" t="s">
        <v>4</v>
      </c>
      <c r="C16" s="663" t="s">
        <v>569</v>
      </c>
      <c r="D16" s="663" t="s">
        <v>569</v>
      </c>
      <c r="E16" s="663" t="s">
        <v>569</v>
      </c>
      <c r="F16" s="663" t="s">
        <v>569</v>
      </c>
      <c r="G16" s="663" t="s">
        <v>569</v>
      </c>
      <c r="H16" s="663" t="s">
        <v>569</v>
      </c>
      <c r="I16" s="663" t="s">
        <v>569</v>
      </c>
      <c r="J16" s="663" t="s">
        <v>569</v>
      </c>
    </row>
    <row r="17" spans="1:10" hidden="1" outlineLevel="1">
      <c r="A17" s="653" t="s">
        <v>569</v>
      </c>
      <c r="B17" s="664" t="s">
        <v>575</v>
      </c>
      <c r="C17" s="665">
        <v>100703</v>
      </c>
      <c r="D17" s="665">
        <v>168568</v>
      </c>
      <c r="E17" s="665">
        <v>-168568</v>
      </c>
      <c r="F17" s="665">
        <v>100703</v>
      </c>
      <c r="G17" s="665">
        <v>94790</v>
      </c>
      <c r="H17" s="665">
        <v>157139</v>
      </c>
      <c r="I17" s="665">
        <v>-157139</v>
      </c>
      <c r="J17" s="663">
        <v>94790</v>
      </c>
    </row>
    <row r="18" spans="1:10" hidden="1" outlineLevel="1">
      <c r="A18" s="653" t="s">
        <v>569</v>
      </c>
      <c r="B18" s="664" t="s">
        <v>160</v>
      </c>
      <c r="C18" s="665" t="s">
        <v>569</v>
      </c>
      <c r="D18" s="665" t="s">
        <v>569</v>
      </c>
      <c r="E18" s="665">
        <v>0</v>
      </c>
      <c r="F18" s="665">
        <v>0</v>
      </c>
      <c r="G18" s="665" t="s">
        <v>569</v>
      </c>
      <c r="H18" s="665" t="s">
        <v>569</v>
      </c>
      <c r="I18" s="665">
        <v>0</v>
      </c>
      <c r="J18" s="663">
        <v>0</v>
      </c>
    </row>
    <row r="19" spans="1:10" hidden="1" outlineLevel="1">
      <c r="A19" s="653" t="s">
        <v>569</v>
      </c>
      <c r="B19" s="664" t="s">
        <v>49</v>
      </c>
      <c r="C19" s="665" t="s">
        <v>569</v>
      </c>
      <c r="D19" s="665">
        <v>0</v>
      </c>
      <c r="E19" s="665">
        <v>0</v>
      </c>
      <c r="F19" s="665">
        <v>0</v>
      </c>
      <c r="G19" s="665" t="s">
        <v>569</v>
      </c>
      <c r="H19" s="665">
        <v>0</v>
      </c>
      <c r="I19" s="665">
        <v>0</v>
      </c>
      <c r="J19" s="663">
        <v>0</v>
      </c>
    </row>
    <row r="20" spans="1:10" hidden="1" outlineLevel="1">
      <c r="A20" s="653" t="s">
        <v>569</v>
      </c>
      <c r="B20" s="664" t="s">
        <v>50</v>
      </c>
      <c r="C20" s="665">
        <v>64832</v>
      </c>
      <c r="D20" s="665" t="s">
        <v>569</v>
      </c>
      <c r="E20" s="665">
        <v>0</v>
      </c>
      <c r="F20" s="665">
        <v>64832</v>
      </c>
      <c r="G20" s="665">
        <v>60587</v>
      </c>
      <c r="H20" s="665" t="s">
        <v>569</v>
      </c>
      <c r="I20" s="665">
        <v>0</v>
      </c>
      <c r="J20" s="663">
        <v>60587</v>
      </c>
    </row>
    <row r="21" spans="1:10" hidden="1" outlineLevel="1">
      <c r="A21" s="653" t="s">
        <v>569</v>
      </c>
      <c r="B21" s="664" t="s">
        <v>51</v>
      </c>
      <c r="C21" s="665">
        <v>33513</v>
      </c>
      <c r="D21" s="665" t="s">
        <v>569</v>
      </c>
      <c r="E21" s="665">
        <v>0</v>
      </c>
      <c r="F21" s="665">
        <v>33513</v>
      </c>
      <c r="G21" s="665">
        <v>33990</v>
      </c>
      <c r="H21" s="665" t="s">
        <v>569</v>
      </c>
      <c r="I21" s="665">
        <v>0</v>
      </c>
      <c r="J21" s="663">
        <v>33990</v>
      </c>
    </row>
    <row r="22" spans="1:10" hidden="1" outlineLevel="1">
      <c r="A22" s="653" t="s">
        <v>569</v>
      </c>
      <c r="B22" s="664" t="s">
        <v>52</v>
      </c>
      <c r="C22" s="665">
        <v>211</v>
      </c>
      <c r="D22" s="665">
        <v>168568</v>
      </c>
      <c r="E22" s="665">
        <v>-168568</v>
      </c>
      <c r="F22" s="665">
        <v>211</v>
      </c>
      <c r="G22" s="665">
        <v>213</v>
      </c>
      <c r="H22" s="665">
        <v>157139</v>
      </c>
      <c r="I22" s="665">
        <v>-157139</v>
      </c>
      <c r="J22" s="663">
        <v>213</v>
      </c>
    </row>
    <row r="23" spans="1:10" hidden="1" outlineLevel="1">
      <c r="A23" s="653" t="s">
        <v>569</v>
      </c>
      <c r="B23" s="664" t="s">
        <v>53</v>
      </c>
      <c r="C23" s="665">
        <v>2147</v>
      </c>
      <c r="D23" s="665" t="s">
        <v>569</v>
      </c>
      <c r="E23" s="665">
        <v>0</v>
      </c>
      <c r="F23" s="665">
        <v>2147</v>
      </c>
      <c r="G23" s="665">
        <v>0</v>
      </c>
      <c r="H23" s="665" t="s">
        <v>569</v>
      </c>
      <c r="I23" s="665">
        <v>0</v>
      </c>
      <c r="J23" s="663">
        <v>0</v>
      </c>
    </row>
    <row r="24" spans="1:10" collapsed="1">
      <c r="A24" s="653" t="s">
        <v>569</v>
      </c>
      <c r="B24" s="664" t="s">
        <v>576</v>
      </c>
      <c r="C24" s="665">
        <v>11693</v>
      </c>
      <c r="D24" s="665" t="s">
        <v>569</v>
      </c>
      <c r="E24" s="665">
        <v>0</v>
      </c>
      <c r="F24" s="665">
        <v>11693</v>
      </c>
      <c r="G24" s="665">
        <v>11260</v>
      </c>
      <c r="H24" s="665" t="s">
        <v>569</v>
      </c>
      <c r="I24" s="665">
        <v>0</v>
      </c>
      <c r="J24" s="663">
        <v>11260</v>
      </c>
    </row>
    <row r="25" spans="1:10" hidden="1" outlineLevel="1">
      <c r="A25" s="653" t="s">
        <v>569</v>
      </c>
      <c r="B25" s="664" t="s">
        <v>55</v>
      </c>
      <c r="C25" s="665" t="s">
        <v>569</v>
      </c>
      <c r="D25" s="665" t="s">
        <v>569</v>
      </c>
      <c r="E25" s="665">
        <v>0</v>
      </c>
      <c r="F25" s="665">
        <v>0</v>
      </c>
      <c r="G25" s="665" t="s">
        <v>569</v>
      </c>
      <c r="H25" s="665" t="s">
        <v>569</v>
      </c>
      <c r="I25" s="665">
        <v>0</v>
      </c>
      <c r="J25" s="663">
        <v>0</v>
      </c>
    </row>
    <row r="26" spans="1:10" hidden="1" outlineLevel="1">
      <c r="A26" s="653" t="s">
        <v>569</v>
      </c>
      <c r="B26" s="664" t="s">
        <v>56</v>
      </c>
      <c r="C26" s="665">
        <v>413</v>
      </c>
      <c r="D26" s="665" t="s">
        <v>569</v>
      </c>
      <c r="E26" s="665">
        <v>0</v>
      </c>
      <c r="F26" s="665">
        <v>413</v>
      </c>
      <c r="G26" s="665">
        <v>396</v>
      </c>
      <c r="H26" s="665" t="s">
        <v>569</v>
      </c>
      <c r="I26" s="665">
        <v>0</v>
      </c>
      <c r="J26" s="663">
        <v>396</v>
      </c>
    </row>
    <row r="27" spans="1:10" hidden="1" outlineLevel="1">
      <c r="A27" s="653" t="s">
        <v>569</v>
      </c>
      <c r="B27" s="664" t="s">
        <v>57</v>
      </c>
      <c r="C27" s="665">
        <v>10249</v>
      </c>
      <c r="D27" s="665" t="s">
        <v>569</v>
      </c>
      <c r="E27" s="665">
        <v>0</v>
      </c>
      <c r="F27" s="665">
        <v>10249</v>
      </c>
      <c r="G27" s="665">
        <v>9833</v>
      </c>
      <c r="H27" s="665" t="s">
        <v>569</v>
      </c>
      <c r="I27" s="665">
        <v>0</v>
      </c>
      <c r="J27" s="663">
        <v>9833</v>
      </c>
    </row>
    <row r="28" spans="1:10" hidden="1" outlineLevel="1">
      <c r="A28" s="653" t="s">
        <v>569</v>
      </c>
      <c r="B28" s="664" t="s">
        <v>58</v>
      </c>
      <c r="C28" s="665">
        <v>341</v>
      </c>
      <c r="D28" s="665" t="s">
        <v>569</v>
      </c>
      <c r="E28" s="665">
        <v>0</v>
      </c>
      <c r="F28" s="665">
        <v>341</v>
      </c>
      <c r="G28" s="665">
        <v>381</v>
      </c>
      <c r="H28" s="665" t="s">
        <v>569</v>
      </c>
      <c r="I28" s="665">
        <v>0</v>
      </c>
      <c r="J28" s="663">
        <v>381</v>
      </c>
    </row>
    <row r="29" spans="1:10" hidden="1" outlineLevel="1">
      <c r="A29" s="653" t="s">
        <v>569</v>
      </c>
      <c r="B29" s="664" t="s">
        <v>59</v>
      </c>
      <c r="C29" s="665" t="s">
        <v>569</v>
      </c>
      <c r="D29" s="665" t="s">
        <v>569</v>
      </c>
      <c r="E29" s="665">
        <v>0</v>
      </c>
      <c r="F29" s="665">
        <v>0</v>
      </c>
      <c r="G29" s="665" t="s">
        <v>569</v>
      </c>
      <c r="H29" s="665" t="s">
        <v>569</v>
      </c>
      <c r="I29" s="665">
        <v>0</v>
      </c>
      <c r="J29" s="663">
        <v>0</v>
      </c>
    </row>
    <row r="30" spans="1:10" hidden="1" outlineLevel="1">
      <c r="A30" s="653" t="s">
        <v>569</v>
      </c>
      <c r="B30" s="664" t="s">
        <v>60</v>
      </c>
      <c r="C30" s="665">
        <v>690</v>
      </c>
      <c r="D30" s="665" t="s">
        <v>569</v>
      </c>
      <c r="E30" s="665">
        <v>0</v>
      </c>
      <c r="F30" s="665">
        <v>690</v>
      </c>
      <c r="G30" s="665">
        <v>651</v>
      </c>
      <c r="H30" s="665" t="s">
        <v>569</v>
      </c>
      <c r="I30" s="665">
        <v>0</v>
      </c>
      <c r="J30" s="663">
        <v>651</v>
      </c>
    </row>
    <row r="31" spans="1:10" hidden="1" outlineLevel="1">
      <c r="A31" s="653" t="s">
        <v>569</v>
      </c>
      <c r="B31" s="664" t="s">
        <v>61</v>
      </c>
      <c r="C31" s="665">
        <v>0</v>
      </c>
      <c r="D31" s="665" t="s">
        <v>569</v>
      </c>
      <c r="E31" s="665">
        <v>0</v>
      </c>
      <c r="F31" s="665">
        <v>0</v>
      </c>
      <c r="G31" s="665">
        <v>0</v>
      </c>
      <c r="H31" s="665" t="s">
        <v>569</v>
      </c>
      <c r="I31" s="665">
        <v>0</v>
      </c>
      <c r="J31" s="663">
        <v>0</v>
      </c>
    </row>
    <row r="32" spans="1:10" hidden="1" outlineLevel="1">
      <c r="A32" s="653" t="s">
        <v>569</v>
      </c>
      <c r="B32" s="664" t="s">
        <v>62</v>
      </c>
      <c r="C32" s="665" t="s">
        <v>569</v>
      </c>
      <c r="D32" s="665" t="s">
        <v>569</v>
      </c>
      <c r="E32" s="665">
        <v>0</v>
      </c>
      <c r="F32" s="665">
        <v>0</v>
      </c>
      <c r="G32" s="665" t="s">
        <v>569</v>
      </c>
      <c r="H32" s="665" t="s">
        <v>569</v>
      </c>
      <c r="I32" s="665">
        <v>0</v>
      </c>
      <c r="J32" s="663">
        <v>0</v>
      </c>
    </row>
    <row r="33" spans="1:10" hidden="1" outlineLevel="1">
      <c r="A33" s="653" t="s">
        <v>569</v>
      </c>
      <c r="B33" s="664" t="s">
        <v>557</v>
      </c>
      <c r="C33" s="665">
        <v>0</v>
      </c>
      <c r="D33" s="665" t="s">
        <v>569</v>
      </c>
      <c r="E33" s="665">
        <v>0</v>
      </c>
      <c r="F33" s="665">
        <v>0</v>
      </c>
      <c r="G33" s="665">
        <v>0</v>
      </c>
      <c r="H33" s="665" t="s">
        <v>569</v>
      </c>
      <c r="I33" s="665">
        <v>0</v>
      </c>
      <c r="J33" s="663">
        <v>0</v>
      </c>
    </row>
    <row r="34" spans="1:10" collapsed="1">
      <c r="A34" s="653" t="s">
        <v>569</v>
      </c>
      <c r="B34" s="664" t="s">
        <v>577</v>
      </c>
      <c r="C34" s="665">
        <v>15220</v>
      </c>
      <c r="D34" s="665">
        <v>3125</v>
      </c>
      <c r="E34" s="665">
        <v>0</v>
      </c>
      <c r="F34" s="665">
        <v>18345</v>
      </c>
      <c r="G34" s="665">
        <v>15275</v>
      </c>
      <c r="H34" s="665">
        <v>0</v>
      </c>
      <c r="I34" s="665">
        <v>0</v>
      </c>
      <c r="J34" s="663">
        <v>15275</v>
      </c>
    </row>
    <row r="35" spans="1:10" outlineLevel="1">
      <c r="A35" s="653" t="s">
        <v>569</v>
      </c>
      <c r="B35" s="664" t="s">
        <v>64</v>
      </c>
      <c r="C35" s="665" t="s">
        <v>569</v>
      </c>
      <c r="D35" s="665" t="s">
        <v>569</v>
      </c>
      <c r="E35" s="665">
        <v>0</v>
      </c>
      <c r="F35" s="665">
        <v>0</v>
      </c>
      <c r="G35" s="665" t="s">
        <v>569</v>
      </c>
      <c r="H35" s="665" t="s">
        <v>569</v>
      </c>
      <c r="I35" s="665">
        <v>0</v>
      </c>
      <c r="J35" s="663">
        <v>0</v>
      </c>
    </row>
    <row r="36" spans="1:10" outlineLevel="1">
      <c r="A36" s="653" t="s">
        <v>569</v>
      </c>
      <c r="B36" s="664" t="s">
        <v>65</v>
      </c>
      <c r="C36" s="665">
        <v>4842</v>
      </c>
      <c r="D36" s="665" t="s">
        <v>569</v>
      </c>
      <c r="E36" s="665">
        <v>0</v>
      </c>
      <c r="F36" s="665">
        <v>4842</v>
      </c>
      <c r="G36" s="665">
        <v>3476</v>
      </c>
      <c r="H36" s="665" t="s">
        <v>569</v>
      </c>
      <c r="I36" s="665">
        <v>0</v>
      </c>
      <c r="J36" s="663">
        <v>3476</v>
      </c>
    </row>
    <row r="37" spans="1:10" outlineLevel="1">
      <c r="A37" s="653" t="s">
        <v>569</v>
      </c>
      <c r="B37" s="664" t="s">
        <v>66</v>
      </c>
      <c r="C37" s="665" t="s">
        <v>569</v>
      </c>
      <c r="D37" s="665" t="s">
        <v>569</v>
      </c>
      <c r="E37" s="665">
        <v>0</v>
      </c>
      <c r="F37" s="665">
        <v>0</v>
      </c>
      <c r="G37" s="665" t="s">
        <v>569</v>
      </c>
      <c r="H37" s="665" t="s">
        <v>569</v>
      </c>
      <c r="I37" s="665">
        <v>0</v>
      </c>
      <c r="J37" s="663">
        <v>0</v>
      </c>
    </row>
    <row r="38" spans="1:10" outlineLevel="1">
      <c r="A38" s="653" t="s">
        <v>569</v>
      </c>
      <c r="B38" s="664" t="s">
        <v>67</v>
      </c>
      <c r="C38" s="665">
        <v>317</v>
      </c>
      <c r="D38" s="665" t="s">
        <v>569</v>
      </c>
      <c r="E38" s="665">
        <v>0</v>
      </c>
      <c r="F38" s="665">
        <v>317</v>
      </c>
      <c r="G38" s="665">
        <v>727</v>
      </c>
      <c r="H38" s="665" t="s">
        <v>569</v>
      </c>
      <c r="I38" s="665">
        <v>0</v>
      </c>
      <c r="J38" s="663">
        <v>727</v>
      </c>
    </row>
    <row r="39" spans="1:10" outlineLevel="1">
      <c r="A39" s="653" t="s">
        <v>569</v>
      </c>
      <c r="B39" s="664" t="s">
        <v>68</v>
      </c>
      <c r="C39" s="665">
        <v>1834</v>
      </c>
      <c r="D39" s="665" t="s">
        <v>569</v>
      </c>
      <c r="E39" s="665">
        <v>0</v>
      </c>
      <c r="F39" s="665">
        <v>1834</v>
      </c>
      <c r="G39" s="665">
        <v>4210</v>
      </c>
      <c r="H39" s="665" t="s">
        <v>569</v>
      </c>
      <c r="I39" s="665">
        <v>0</v>
      </c>
      <c r="J39" s="663">
        <v>4210</v>
      </c>
    </row>
    <row r="40" spans="1:10" outlineLevel="1">
      <c r="A40" s="653" t="s">
        <v>569</v>
      </c>
      <c r="B40" s="664" t="s">
        <v>69</v>
      </c>
      <c r="C40" s="665">
        <v>2148</v>
      </c>
      <c r="D40" s="665" t="s">
        <v>569</v>
      </c>
      <c r="E40" s="665">
        <v>0</v>
      </c>
      <c r="F40" s="665">
        <v>2148</v>
      </c>
      <c r="G40" s="665">
        <v>2049</v>
      </c>
      <c r="H40" s="665" t="s">
        <v>569</v>
      </c>
      <c r="I40" s="665">
        <v>0</v>
      </c>
      <c r="J40" s="663">
        <v>2049</v>
      </c>
    </row>
    <row r="41" spans="1:10" outlineLevel="1">
      <c r="A41" s="653" t="s">
        <v>569</v>
      </c>
      <c r="B41" s="664" t="s">
        <v>71</v>
      </c>
      <c r="C41" s="665">
        <v>276</v>
      </c>
      <c r="D41" s="665" t="s">
        <v>569</v>
      </c>
      <c r="E41" s="665">
        <v>0</v>
      </c>
      <c r="F41" s="665">
        <v>276</v>
      </c>
      <c r="G41" s="665">
        <v>293</v>
      </c>
      <c r="H41" s="665" t="s">
        <v>569</v>
      </c>
      <c r="I41" s="665">
        <v>0</v>
      </c>
      <c r="J41" s="663">
        <v>293</v>
      </c>
    </row>
    <row r="42" spans="1:10" outlineLevel="1">
      <c r="A42" s="653" t="s">
        <v>569</v>
      </c>
      <c r="B42" s="664" t="s">
        <v>72</v>
      </c>
      <c r="C42" s="665">
        <v>4209</v>
      </c>
      <c r="D42" s="665" t="s">
        <v>569</v>
      </c>
      <c r="E42" s="665">
        <v>0</v>
      </c>
      <c r="F42" s="665">
        <v>4209</v>
      </c>
      <c r="G42" s="665">
        <v>4255</v>
      </c>
      <c r="H42" s="665" t="s">
        <v>569</v>
      </c>
      <c r="I42" s="665">
        <v>0</v>
      </c>
      <c r="J42" s="663">
        <v>4255</v>
      </c>
    </row>
    <row r="43" spans="1:10" outlineLevel="1">
      <c r="A43" s="653" t="s">
        <v>569</v>
      </c>
      <c r="B43" s="664" t="s">
        <v>73</v>
      </c>
      <c r="C43" s="665">
        <v>263</v>
      </c>
      <c r="D43" s="665">
        <v>3125</v>
      </c>
      <c r="E43" s="665">
        <v>0</v>
      </c>
      <c r="F43" s="665">
        <v>3388</v>
      </c>
      <c r="G43" s="665">
        <v>266</v>
      </c>
      <c r="H43" s="665">
        <v>0</v>
      </c>
      <c r="I43" s="665">
        <v>0</v>
      </c>
      <c r="J43" s="663">
        <v>266</v>
      </c>
    </row>
    <row r="44" spans="1:10" outlineLevel="1">
      <c r="A44" s="653" t="s">
        <v>569</v>
      </c>
      <c r="B44" s="664" t="s">
        <v>70</v>
      </c>
      <c r="C44" s="665" t="s">
        <v>569</v>
      </c>
      <c r="D44" s="665" t="s">
        <v>569</v>
      </c>
      <c r="E44" s="665">
        <v>0</v>
      </c>
      <c r="F44" s="665">
        <v>0</v>
      </c>
      <c r="G44" s="665" t="s">
        <v>569</v>
      </c>
      <c r="H44" s="665" t="s">
        <v>569</v>
      </c>
      <c r="I44" s="665">
        <v>0</v>
      </c>
      <c r="J44" s="663">
        <v>0</v>
      </c>
    </row>
    <row r="45" spans="1:10" outlineLevel="1">
      <c r="A45" s="653" t="s">
        <v>569</v>
      </c>
      <c r="B45" s="664" t="s">
        <v>1070</v>
      </c>
      <c r="C45" s="665">
        <v>597</v>
      </c>
      <c r="D45" s="665" t="s">
        <v>569</v>
      </c>
      <c r="E45" s="665">
        <v>0</v>
      </c>
      <c r="F45" s="665">
        <v>597</v>
      </c>
      <c r="G45" s="665">
        <v>0</v>
      </c>
      <c r="H45" s="665">
        <v>0</v>
      </c>
      <c r="I45" s="665">
        <v>0</v>
      </c>
      <c r="J45" s="663">
        <v>0</v>
      </c>
    </row>
    <row r="46" spans="1:10" outlineLevel="1">
      <c r="A46" s="653" t="s">
        <v>569</v>
      </c>
      <c r="B46" s="664" t="s">
        <v>1071</v>
      </c>
      <c r="C46" s="665">
        <v>734</v>
      </c>
      <c r="D46" s="665" t="s">
        <v>569</v>
      </c>
      <c r="E46" s="665">
        <v>0</v>
      </c>
      <c r="F46" s="665">
        <v>734</v>
      </c>
      <c r="G46" s="665">
        <v>0</v>
      </c>
      <c r="H46" s="665">
        <v>0</v>
      </c>
      <c r="I46" s="665">
        <v>0</v>
      </c>
      <c r="J46" s="663">
        <v>0</v>
      </c>
    </row>
    <row r="47" spans="1:10">
      <c r="A47" s="653" t="s">
        <v>569</v>
      </c>
      <c r="B47" s="664" t="s">
        <v>578</v>
      </c>
      <c r="C47" s="665">
        <v>1295</v>
      </c>
      <c r="D47" s="665">
        <v>1161</v>
      </c>
      <c r="E47" s="665">
        <v>0</v>
      </c>
      <c r="F47" s="665">
        <v>2456</v>
      </c>
      <c r="G47" s="665">
        <v>1830</v>
      </c>
      <c r="H47" s="665">
        <v>908</v>
      </c>
      <c r="I47" s="665">
        <v>0</v>
      </c>
      <c r="J47" s="663">
        <v>2737</v>
      </c>
    </row>
    <row r="48" spans="1:10" outlineLevel="1">
      <c r="A48" s="653" t="s">
        <v>569</v>
      </c>
      <c r="B48" s="664" t="s">
        <v>75</v>
      </c>
      <c r="C48" s="665" t="s">
        <v>569</v>
      </c>
      <c r="D48" s="665">
        <v>602</v>
      </c>
      <c r="E48" s="665">
        <v>0</v>
      </c>
      <c r="F48" s="665">
        <v>602</v>
      </c>
      <c r="G48" s="665" t="s">
        <v>569</v>
      </c>
      <c r="H48" s="665">
        <v>329</v>
      </c>
      <c r="I48" s="665">
        <v>0</v>
      </c>
      <c r="J48" s="663">
        <v>329</v>
      </c>
    </row>
    <row r="49" spans="1:10" outlineLevel="1">
      <c r="A49" s="653" t="s">
        <v>569</v>
      </c>
      <c r="B49" s="664" t="s">
        <v>76</v>
      </c>
      <c r="C49" s="665" t="s">
        <v>569</v>
      </c>
      <c r="D49" s="665">
        <v>247</v>
      </c>
      <c r="E49" s="665">
        <v>0</v>
      </c>
      <c r="F49" s="665">
        <v>247</v>
      </c>
      <c r="G49" s="665" t="s">
        <v>569</v>
      </c>
      <c r="H49" s="665">
        <v>366</v>
      </c>
      <c r="I49" s="665">
        <v>0</v>
      </c>
      <c r="J49" s="663">
        <v>366</v>
      </c>
    </row>
    <row r="50" spans="1:10" outlineLevel="1">
      <c r="A50" s="653" t="s">
        <v>569</v>
      </c>
      <c r="B50" s="664" t="s">
        <v>79</v>
      </c>
      <c r="C50" s="665">
        <v>461</v>
      </c>
      <c r="D50" s="665">
        <v>312</v>
      </c>
      <c r="E50" s="665">
        <v>0</v>
      </c>
      <c r="F50" s="665">
        <v>773</v>
      </c>
      <c r="G50" s="665">
        <v>473</v>
      </c>
      <c r="H50" s="665">
        <v>213</v>
      </c>
      <c r="I50" s="665">
        <v>0</v>
      </c>
      <c r="J50" s="663">
        <v>686</v>
      </c>
    </row>
    <row r="51" spans="1:10" outlineLevel="1">
      <c r="A51" s="653" t="s">
        <v>569</v>
      </c>
      <c r="B51" s="664" t="s">
        <v>74</v>
      </c>
      <c r="C51" s="665">
        <v>25</v>
      </c>
      <c r="D51" s="665" t="s">
        <v>569</v>
      </c>
      <c r="E51" s="665">
        <v>0</v>
      </c>
      <c r="F51" s="665">
        <v>25</v>
      </c>
      <c r="G51" s="665">
        <v>28</v>
      </c>
      <c r="H51" s="665" t="s">
        <v>569</v>
      </c>
      <c r="I51" s="665">
        <v>0</v>
      </c>
      <c r="J51" s="663">
        <v>28</v>
      </c>
    </row>
    <row r="52" spans="1:10" outlineLevel="1">
      <c r="A52" s="653" t="s">
        <v>569</v>
      </c>
      <c r="B52" s="664" t="s">
        <v>80</v>
      </c>
      <c r="C52" s="665">
        <v>205</v>
      </c>
      <c r="D52" s="665" t="s">
        <v>569</v>
      </c>
      <c r="E52" s="665">
        <v>0</v>
      </c>
      <c r="F52" s="665">
        <v>205</v>
      </c>
      <c r="G52" s="665">
        <v>208</v>
      </c>
      <c r="H52" s="665" t="s">
        <v>569</v>
      </c>
      <c r="I52" s="665">
        <v>0</v>
      </c>
      <c r="J52" s="663">
        <v>208</v>
      </c>
    </row>
    <row r="53" spans="1:10" outlineLevel="1">
      <c r="A53" s="653" t="s">
        <v>569</v>
      </c>
      <c r="B53" s="664" t="s">
        <v>579</v>
      </c>
      <c r="C53" s="665">
        <v>603</v>
      </c>
      <c r="D53" s="665" t="s">
        <v>569</v>
      </c>
      <c r="E53" s="665">
        <v>0</v>
      </c>
      <c r="F53" s="665">
        <v>603</v>
      </c>
      <c r="G53" s="665">
        <v>1121</v>
      </c>
      <c r="H53" s="665" t="s">
        <v>569</v>
      </c>
      <c r="I53" s="665">
        <v>0</v>
      </c>
      <c r="J53" s="663">
        <v>1121</v>
      </c>
    </row>
    <row r="54" spans="1:10">
      <c r="A54" s="653" t="s">
        <v>569</v>
      </c>
      <c r="B54" s="664" t="s">
        <v>580</v>
      </c>
      <c r="C54" s="665">
        <v>6651</v>
      </c>
      <c r="D54" s="665" t="s">
        <v>569</v>
      </c>
      <c r="E54" s="665">
        <v>0</v>
      </c>
      <c r="F54" s="665">
        <v>6651</v>
      </c>
      <c r="G54" s="665">
        <v>5760</v>
      </c>
      <c r="H54" s="665" t="s">
        <v>569</v>
      </c>
      <c r="I54" s="665">
        <v>0</v>
      </c>
      <c r="J54" s="663">
        <v>5760</v>
      </c>
    </row>
    <row r="55" spans="1:10" hidden="1" outlineLevel="1">
      <c r="A55" s="653" t="s">
        <v>569</v>
      </c>
      <c r="B55" s="664" t="s">
        <v>82</v>
      </c>
      <c r="C55" s="665">
        <v>6651</v>
      </c>
      <c r="D55" s="665" t="s">
        <v>569</v>
      </c>
      <c r="E55" s="665">
        <v>0</v>
      </c>
      <c r="F55" s="665">
        <v>6651</v>
      </c>
      <c r="G55" s="665">
        <v>5760</v>
      </c>
      <c r="H55" s="665" t="s">
        <v>569</v>
      </c>
      <c r="I55" s="665">
        <v>0</v>
      </c>
      <c r="J55" s="663">
        <v>5760</v>
      </c>
    </row>
    <row r="56" spans="1:10" collapsed="1">
      <c r="A56" s="653" t="s">
        <v>569</v>
      </c>
      <c r="B56" s="664" t="s">
        <v>581</v>
      </c>
      <c r="C56" s="665">
        <v>7362</v>
      </c>
      <c r="D56" s="665">
        <v>5773</v>
      </c>
      <c r="E56" s="665">
        <v>0</v>
      </c>
      <c r="F56" s="665">
        <v>13135</v>
      </c>
      <c r="G56" s="665">
        <v>8196</v>
      </c>
      <c r="H56" s="665">
        <v>10333</v>
      </c>
      <c r="I56" s="665">
        <v>0</v>
      </c>
      <c r="J56" s="663">
        <v>18529</v>
      </c>
    </row>
    <row r="57" spans="1:10" outlineLevel="1">
      <c r="A57" s="653" t="s">
        <v>569</v>
      </c>
      <c r="B57" s="664" t="s">
        <v>84</v>
      </c>
      <c r="C57" s="665" t="s">
        <v>569</v>
      </c>
      <c r="D57" s="665" t="s">
        <v>569</v>
      </c>
      <c r="E57" s="665">
        <v>0</v>
      </c>
      <c r="F57" s="665">
        <v>0</v>
      </c>
      <c r="G57" s="665" t="s">
        <v>569</v>
      </c>
      <c r="H57" s="665" t="s">
        <v>569</v>
      </c>
      <c r="I57" s="665">
        <v>0</v>
      </c>
      <c r="J57" s="663">
        <v>0</v>
      </c>
    </row>
    <row r="58" spans="1:10" outlineLevel="1">
      <c r="A58" s="653" t="s">
        <v>569</v>
      </c>
      <c r="B58" s="664" t="s">
        <v>85</v>
      </c>
      <c r="C58" s="665" t="s">
        <v>569</v>
      </c>
      <c r="D58" s="665" t="s">
        <v>569</v>
      </c>
      <c r="E58" s="665">
        <v>0</v>
      </c>
      <c r="F58" s="665">
        <v>0</v>
      </c>
      <c r="G58" s="665" t="s">
        <v>569</v>
      </c>
      <c r="H58" s="665" t="s">
        <v>569</v>
      </c>
      <c r="I58" s="665">
        <v>0</v>
      </c>
      <c r="J58" s="663">
        <v>0</v>
      </c>
    </row>
    <row r="59" spans="1:10" outlineLevel="1">
      <c r="A59" s="653" t="s">
        <v>569</v>
      </c>
      <c r="B59" s="664" t="s">
        <v>86</v>
      </c>
      <c r="C59" s="665" t="s">
        <v>569</v>
      </c>
      <c r="D59" s="665" t="s">
        <v>569</v>
      </c>
      <c r="E59" s="665">
        <v>0</v>
      </c>
      <c r="F59" s="665">
        <v>0</v>
      </c>
      <c r="G59" s="665" t="s">
        <v>569</v>
      </c>
      <c r="H59" s="665" t="s">
        <v>569</v>
      </c>
      <c r="I59" s="665">
        <v>0</v>
      </c>
      <c r="J59" s="663">
        <v>0</v>
      </c>
    </row>
    <row r="60" spans="1:10" ht="26.5" outlineLevel="1">
      <c r="A60" s="653" t="s">
        <v>569</v>
      </c>
      <c r="B60" s="664" t="s">
        <v>88</v>
      </c>
      <c r="C60" s="665">
        <v>965</v>
      </c>
      <c r="D60" s="665" t="s">
        <v>569</v>
      </c>
      <c r="E60" s="665">
        <v>0</v>
      </c>
      <c r="F60" s="665">
        <v>965</v>
      </c>
      <c r="G60" s="665">
        <v>802</v>
      </c>
      <c r="H60" s="665" t="s">
        <v>569</v>
      </c>
      <c r="I60" s="665">
        <v>0</v>
      </c>
      <c r="J60" s="663">
        <v>802</v>
      </c>
    </row>
    <row r="61" spans="1:10" outlineLevel="1">
      <c r="A61" s="653" t="s">
        <v>569</v>
      </c>
      <c r="B61" s="664" t="s">
        <v>89</v>
      </c>
      <c r="C61" s="665" t="s">
        <v>569</v>
      </c>
      <c r="D61" s="665" t="s">
        <v>569</v>
      </c>
      <c r="E61" s="665">
        <v>0</v>
      </c>
      <c r="F61" s="665">
        <v>0</v>
      </c>
      <c r="G61" s="665" t="s">
        <v>569</v>
      </c>
      <c r="H61" s="665" t="s">
        <v>569</v>
      </c>
      <c r="I61" s="665">
        <v>0</v>
      </c>
      <c r="J61" s="663">
        <v>0</v>
      </c>
    </row>
    <row r="62" spans="1:10" outlineLevel="1">
      <c r="A62" s="653" t="s">
        <v>569</v>
      </c>
      <c r="B62" s="664" t="s">
        <v>90</v>
      </c>
      <c r="C62" s="665">
        <v>29</v>
      </c>
      <c r="D62" s="665" t="s">
        <v>569</v>
      </c>
      <c r="E62" s="665">
        <v>0</v>
      </c>
      <c r="F62" s="665">
        <v>29</v>
      </c>
      <c r="G62" s="665" t="s">
        <v>569</v>
      </c>
      <c r="H62" s="665" t="s">
        <v>569</v>
      </c>
      <c r="I62" s="665">
        <v>0</v>
      </c>
      <c r="J62" s="663">
        <v>0</v>
      </c>
    </row>
    <row r="63" spans="1:10" outlineLevel="1">
      <c r="A63" s="653" t="s">
        <v>569</v>
      </c>
      <c r="B63" s="664" t="s">
        <v>91</v>
      </c>
      <c r="C63" s="665">
        <v>3238</v>
      </c>
      <c r="D63" s="665" t="s">
        <v>569</v>
      </c>
      <c r="E63" s="665">
        <v>0</v>
      </c>
      <c r="F63" s="665">
        <v>3238</v>
      </c>
      <c r="G63" s="665">
        <v>4401</v>
      </c>
      <c r="H63" s="665" t="s">
        <v>569</v>
      </c>
      <c r="I63" s="665">
        <v>0</v>
      </c>
      <c r="J63" s="663">
        <v>4401</v>
      </c>
    </row>
    <row r="64" spans="1:10" outlineLevel="1">
      <c r="A64" s="653" t="s">
        <v>569</v>
      </c>
      <c r="B64" s="664" t="s">
        <v>93</v>
      </c>
      <c r="C64" s="665" t="s">
        <v>569</v>
      </c>
      <c r="D64" s="665" t="s">
        <v>569</v>
      </c>
      <c r="E64" s="665">
        <v>0</v>
      </c>
      <c r="F64" s="665">
        <v>0</v>
      </c>
      <c r="G64" s="665" t="s">
        <v>569</v>
      </c>
      <c r="H64" s="665" t="s">
        <v>569</v>
      </c>
      <c r="I64" s="665">
        <v>0</v>
      </c>
      <c r="J64" s="663">
        <v>0</v>
      </c>
    </row>
    <row r="65" spans="1:10" outlineLevel="1">
      <c r="A65" s="653" t="s">
        <v>569</v>
      </c>
      <c r="B65" s="664" t="s">
        <v>94</v>
      </c>
      <c r="C65" s="665" t="s">
        <v>569</v>
      </c>
      <c r="D65" s="665" t="s">
        <v>569</v>
      </c>
      <c r="E65" s="665">
        <v>0</v>
      </c>
      <c r="F65" s="665">
        <v>0</v>
      </c>
      <c r="G65" s="665" t="s">
        <v>569</v>
      </c>
      <c r="H65" s="665" t="s">
        <v>569</v>
      </c>
      <c r="I65" s="665">
        <v>0</v>
      </c>
      <c r="J65" s="663">
        <v>0</v>
      </c>
    </row>
    <row r="66" spans="1:10" outlineLevel="1">
      <c r="A66" s="653" t="s">
        <v>569</v>
      </c>
      <c r="B66" s="664" t="s">
        <v>95</v>
      </c>
      <c r="C66" s="665">
        <v>3130</v>
      </c>
      <c r="D66" s="665" t="s">
        <v>569</v>
      </c>
      <c r="E66" s="665">
        <v>0</v>
      </c>
      <c r="F66" s="665">
        <v>3130</v>
      </c>
      <c r="G66" s="665">
        <v>2993</v>
      </c>
      <c r="H66" s="665" t="s">
        <v>569</v>
      </c>
      <c r="I66" s="665">
        <v>0</v>
      </c>
      <c r="J66" s="663">
        <v>2993</v>
      </c>
    </row>
    <row r="67" spans="1:10" outlineLevel="1">
      <c r="A67" s="653" t="s">
        <v>569</v>
      </c>
      <c r="B67" s="664" t="s">
        <v>77</v>
      </c>
      <c r="C67" s="665" t="s">
        <v>569</v>
      </c>
      <c r="D67" s="665">
        <v>10773</v>
      </c>
      <c r="E67" s="665">
        <v>0</v>
      </c>
      <c r="F67" s="665">
        <v>10773</v>
      </c>
      <c r="G67" s="665" t="s">
        <v>569</v>
      </c>
      <c r="H67" s="665">
        <v>10333</v>
      </c>
      <c r="I67" s="665">
        <v>0</v>
      </c>
      <c r="J67" s="663">
        <v>10333</v>
      </c>
    </row>
    <row r="68" spans="1:10">
      <c r="A68" s="653" t="s">
        <v>569</v>
      </c>
      <c r="B68" s="664" t="s">
        <v>10</v>
      </c>
      <c r="C68" s="665">
        <v>142924</v>
      </c>
      <c r="D68" s="665">
        <v>178627</v>
      </c>
      <c r="E68" s="665">
        <v>-168568</v>
      </c>
      <c r="F68" s="665">
        <v>152984</v>
      </c>
      <c r="G68" s="665">
        <v>137111</v>
      </c>
      <c r="H68" s="665">
        <v>168380</v>
      </c>
      <c r="I68" s="665">
        <v>-157139</v>
      </c>
      <c r="J68" s="663">
        <v>148351</v>
      </c>
    </row>
    <row r="69" spans="1:10">
      <c r="A69" s="661" t="s">
        <v>569</v>
      </c>
      <c r="B69" s="662" t="s">
        <v>582</v>
      </c>
      <c r="C69" s="663">
        <v>26206</v>
      </c>
      <c r="D69" s="663">
        <v>71483</v>
      </c>
      <c r="E69" s="663">
        <v>0</v>
      </c>
      <c r="F69" s="663">
        <v>97689</v>
      </c>
      <c r="G69" s="663">
        <v>26378</v>
      </c>
      <c r="H69" s="663">
        <v>57881</v>
      </c>
      <c r="I69" s="663">
        <v>0</v>
      </c>
      <c r="J69" s="663">
        <v>84259</v>
      </c>
    </row>
    <row r="70" spans="1:10">
      <c r="A70" s="661" t="s">
        <v>569</v>
      </c>
      <c r="B70" s="662" t="s">
        <v>12</v>
      </c>
      <c r="C70" s="663" t="s">
        <v>1072</v>
      </c>
      <c r="D70" s="663" t="s">
        <v>623</v>
      </c>
      <c r="E70" s="663">
        <v>0</v>
      </c>
      <c r="F70" s="663" t="s">
        <v>1073</v>
      </c>
      <c r="G70" s="663" t="s">
        <v>644</v>
      </c>
      <c r="H70" s="663" t="s">
        <v>588</v>
      </c>
      <c r="I70" s="663">
        <v>0</v>
      </c>
      <c r="J70" s="663" t="s">
        <v>601</v>
      </c>
    </row>
    <row r="71" spans="1:10">
      <c r="A71" s="661" t="s">
        <v>569</v>
      </c>
      <c r="B71" s="662" t="s">
        <v>13</v>
      </c>
      <c r="C71" s="663" t="s">
        <v>569</v>
      </c>
      <c r="D71" s="663" t="s">
        <v>569</v>
      </c>
      <c r="E71" s="663" t="s">
        <v>569</v>
      </c>
      <c r="F71" s="663" t="s">
        <v>569</v>
      </c>
      <c r="G71" s="663" t="s">
        <v>569</v>
      </c>
      <c r="H71" s="663" t="s">
        <v>569</v>
      </c>
      <c r="I71" s="663" t="s">
        <v>569</v>
      </c>
      <c r="J71" s="663" t="s">
        <v>569</v>
      </c>
    </row>
    <row r="72" spans="1:10" hidden="1" outlineLevel="1">
      <c r="A72" s="653" t="s">
        <v>569</v>
      </c>
      <c r="B72" s="664" t="s">
        <v>589</v>
      </c>
      <c r="C72" s="665">
        <v>1374</v>
      </c>
      <c r="D72" s="665">
        <v>1968</v>
      </c>
      <c r="E72" s="665">
        <v>0</v>
      </c>
      <c r="F72" s="665">
        <v>3342</v>
      </c>
      <c r="G72" s="665">
        <v>5596</v>
      </c>
      <c r="H72" s="665">
        <v>1132</v>
      </c>
      <c r="I72" s="665">
        <v>0</v>
      </c>
      <c r="J72" s="663">
        <v>6728</v>
      </c>
    </row>
    <row r="73" spans="1:10" hidden="1" outlineLevel="1">
      <c r="A73" s="653" t="s">
        <v>569</v>
      </c>
      <c r="B73" s="664" t="s">
        <v>96</v>
      </c>
      <c r="C73" s="665" t="s">
        <v>569</v>
      </c>
      <c r="D73" s="665" t="s">
        <v>569</v>
      </c>
      <c r="E73" s="665">
        <v>0</v>
      </c>
      <c r="F73" s="665">
        <v>0</v>
      </c>
      <c r="G73" s="665" t="s">
        <v>569</v>
      </c>
      <c r="H73" s="665" t="s">
        <v>569</v>
      </c>
      <c r="I73" s="665">
        <v>0</v>
      </c>
      <c r="J73" s="663">
        <v>0</v>
      </c>
    </row>
    <row r="74" spans="1:10" hidden="1" outlineLevel="1">
      <c r="A74" s="653" t="s">
        <v>569</v>
      </c>
      <c r="B74" s="664" t="s">
        <v>97</v>
      </c>
      <c r="C74" s="665" t="s">
        <v>569</v>
      </c>
      <c r="D74" s="665" t="s">
        <v>569</v>
      </c>
      <c r="E74" s="665">
        <v>0</v>
      </c>
      <c r="F74" s="665">
        <v>0</v>
      </c>
      <c r="G74" s="665" t="s">
        <v>569</v>
      </c>
      <c r="H74" s="665" t="s">
        <v>569</v>
      </c>
      <c r="I74" s="665">
        <v>0</v>
      </c>
      <c r="J74" s="663">
        <v>0</v>
      </c>
    </row>
    <row r="75" spans="1:10" hidden="1" outlineLevel="1">
      <c r="A75" s="653" t="s">
        <v>569</v>
      </c>
      <c r="B75" s="664" t="s">
        <v>98</v>
      </c>
      <c r="C75" s="665">
        <v>-4</v>
      </c>
      <c r="D75" s="665" t="s">
        <v>569</v>
      </c>
      <c r="E75" s="665">
        <v>0</v>
      </c>
      <c r="F75" s="665">
        <v>-4</v>
      </c>
      <c r="G75" s="665">
        <v>1314</v>
      </c>
      <c r="H75" s="665" t="s">
        <v>569</v>
      </c>
      <c r="I75" s="665">
        <v>0</v>
      </c>
      <c r="J75" s="663">
        <v>1314</v>
      </c>
    </row>
    <row r="76" spans="1:10" hidden="1" outlineLevel="1">
      <c r="A76" s="653" t="s">
        <v>569</v>
      </c>
      <c r="B76" s="664" t="s">
        <v>99</v>
      </c>
      <c r="C76" s="665">
        <v>383</v>
      </c>
      <c r="D76" s="665">
        <v>622</v>
      </c>
      <c r="E76" s="665">
        <v>0</v>
      </c>
      <c r="F76" s="665">
        <v>1005</v>
      </c>
      <c r="G76" s="665">
        <v>3194</v>
      </c>
      <c r="H76" s="665">
        <v>49</v>
      </c>
      <c r="I76" s="665">
        <v>0</v>
      </c>
      <c r="J76" s="663">
        <v>3243</v>
      </c>
    </row>
    <row r="77" spans="1:10" hidden="1" outlineLevel="1">
      <c r="A77" s="653" t="s">
        <v>569</v>
      </c>
      <c r="B77" s="664" t="s">
        <v>100</v>
      </c>
      <c r="C77" s="665" t="s">
        <v>569</v>
      </c>
      <c r="D77" s="665" t="s">
        <v>569</v>
      </c>
      <c r="E77" s="665">
        <v>0</v>
      </c>
      <c r="F77" s="665">
        <v>0</v>
      </c>
      <c r="G77" s="665" t="s">
        <v>569</v>
      </c>
      <c r="H77" s="665" t="s">
        <v>569</v>
      </c>
      <c r="I77" s="665">
        <v>0</v>
      </c>
      <c r="J77" s="663">
        <v>0</v>
      </c>
    </row>
    <row r="78" spans="1:10" hidden="1" outlineLevel="1">
      <c r="A78" s="653" t="s">
        <v>569</v>
      </c>
      <c r="B78" s="664" t="s">
        <v>590</v>
      </c>
      <c r="C78" s="665" t="s">
        <v>569</v>
      </c>
      <c r="D78" s="665" t="s">
        <v>569</v>
      </c>
      <c r="E78" s="665">
        <v>0</v>
      </c>
      <c r="F78" s="665">
        <v>0</v>
      </c>
      <c r="G78" s="665" t="s">
        <v>569</v>
      </c>
      <c r="H78" s="665" t="s">
        <v>569</v>
      </c>
      <c r="I78" s="665">
        <v>0</v>
      </c>
      <c r="J78" s="663">
        <v>0</v>
      </c>
    </row>
    <row r="79" spans="1:10" hidden="1" outlineLevel="1">
      <c r="A79" s="653" t="s">
        <v>569</v>
      </c>
      <c r="B79" s="664" t="s">
        <v>102</v>
      </c>
      <c r="C79" s="665" t="s">
        <v>569</v>
      </c>
      <c r="D79" s="665" t="s">
        <v>569</v>
      </c>
      <c r="E79" s="665">
        <v>0</v>
      </c>
      <c r="F79" s="665">
        <v>0</v>
      </c>
      <c r="G79" s="665" t="s">
        <v>569</v>
      </c>
      <c r="H79" s="665" t="s">
        <v>569</v>
      </c>
      <c r="I79" s="665">
        <v>0</v>
      </c>
      <c r="J79" s="663">
        <v>0</v>
      </c>
    </row>
    <row r="80" spans="1:10" hidden="1" outlineLevel="1">
      <c r="A80" s="653" t="s">
        <v>569</v>
      </c>
      <c r="B80" s="664" t="s">
        <v>104</v>
      </c>
      <c r="C80" s="665" t="s">
        <v>569</v>
      </c>
      <c r="D80" s="665">
        <v>1346</v>
      </c>
      <c r="E80" s="665">
        <v>0</v>
      </c>
      <c r="F80" s="665">
        <v>1346</v>
      </c>
      <c r="G80" s="665" t="s">
        <v>569</v>
      </c>
      <c r="H80" s="665">
        <v>1083</v>
      </c>
      <c r="I80" s="665">
        <v>0</v>
      </c>
      <c r="J80" s="663">
        <v>1083</v>
      </c>
    </row>
    <row r="81" spans="1:10" hidden="1" outlineLevel="1">
      <c r="A81" s="653" t="s">
        <v>569</v>
      </c>
      <c r="B81" s="664" t="s">
        <v>105</v>
      </c>
      <c r="C81" s="665" t="s">
        <v>569</v>
      </c>
      <c r="D81" s="665" t="s">
        <v>569</v>
      </c>
      <c r="E81" s="665">
        <v>0</v>
      </c>
      <c r="F81" s="665">
        <v>0</v>
      </c>
      <c r="G81" s="665" t="s">
        <v>569</v>
      </c>
      <c r="H81" s="665" t="s">
        <v>569</v>
      </c>
      <c r="I81" s="665">
        <v>0</v>
      </c>
      <c r="J81" s="663">
        <v>0</v>
      </c>
    </row>
    <row r="82" spans="1:10" hidden="1" outlineLevel="1">
      <c r="A82" s="653" t="s">
        <v>569</v>
      </c>
      <c r="B82" s="664" t="s">
        <v>106</v>
      </c>
      <c r="C82" s="665">
        <v>997</v>
      </c>
      <c r="D82" s="665" t="s">
        <v>569</v>
      </c>
      <c r="E82" s="665">
        <v>0</v>
      </c>
      <c r="F82" s="665">
        <v>997</v>
      </c>
      <c r="G82" s="665">
        <v>1090</v>
      </c>
      <c r="H82" s="665" t="s">
        <v>569</v>
      </c>
      <c r="I82" s="665">
        <v>0</v>
      </c>
      <c r="J82" s="663">
        <v>1090</v>
      </c>
    </row>
    <row r="83" spans="1:10" hidden="1" outlineLevel="1">
      <c r="A83" s="653" t="s">
        <v>569</v>
      </c>
      <c r="B83" s="664" t="s">
        <v>107</v>
      </c>
      <c r="C83" s="665">
        <v>-2</v>
      </c>
      <c r="D83" s="665" t="s">
        <v>569</v>
      </c>
      <c r="E83" s="665">
        <v>0</v>
      </c>
      <c r="F83" s="665">
        <v>-2</v>
      </c>
      <c r="G83" s="665">
        <v>-1</v>
      </c>
      <c r="H83" s="665" t="s">
        <v>569</v>
      </c>
      <c r="I83" s="665">
        <v>0</v>
      </c>
      <c r="J83" s="663">
        <v>-1</v>
      </c>
    </row>
    <row r="84" spans="1:10" hidden="1" outlineLevel="1">
      <c r="A84" s="653" t="s">
        <v>569</v>
      </c>
      <c r="B84" s="664" t="s">
        <v>108</v>
      </c>
      <c r="C84" s="665" t="s">
        <v>569</v>
      </c>
      <c r="D84" s="665" t="s">
        <v>569</v>
      </c>
      <c r="E84" s="665">
        <v>0</v>
      </c>
      <c r="F84" s="665">
        <v>0</v>
      </c>
      <c r="G84" s="665" t="s">
        <v>569</v>
      </c>
      <c r="H84" s="665" t="s">
        <v>569</v>
      </c>
      <c r="I84" s="665">
        <v>0</v>
      </c>
      <c r="J84" s="663">
        <v>0</v>
      </c>
    </row>
    <row r="85" spans="1:10" hidden="1" outlineLevel="1">
      <c r="A85" s="653" t="s">
        <v>569</v>
      </c>
      <c r="B85" s="664" t="s">
        <v>103</v>
      </c>
      <c r="C85" s="665" t="s">
        <v>569</v>
      </c>
      <c r="D85" s="665" t="s">
        <v>569</v>
      </c>
      <c r="E85" s="665">
        <v>0</v>
      </c>
      <c r="F85" s="665">
        <v>0</v>
      </c>
      <c r="G85" s="665" t="s">
        <v>569</v>
      </c>
      <c r="H85" s="665" t="s">
        <v>569</v>
      </c>
      <c r="I85" s="665">
        <v>0</v>
      </c>
      <c r="J85" s="663">
        <v>0</v>
      </c>
    </row>
    <row r="86" spans="1:10" collapsed="1">
      <c r="A86" s="661" t="s">
        <v>569</v>
      </c>
      <c r="B86" s="662" t="s">
        <v>15</v>
      </c>
      <c r="C86" s="663" t="s">
        <v>569</v>
      </c>
      <c r="D86" s="663" t="s">
        <v>569</v>
      </c>
      <c r="E86" s="663" t="s">
        <v>569</v>
      </c>
      <c r="F86" s="663" t="s">
        <v>569</v>
      </c>
      <c r="G86" s="663" t="s">
        <v>569</v>
      </c>
      <c r="H86" s="663" t="s">
        <v>569</v>
      </c>
      <c r="I86" s="663" t="s">
        <v>569</v>
      </c>
      <c r="J86" s="663" t="s">
        <v>569</v>
      </c>
    </row>
    <row r="87" spans="1:10" hidden="1" outlineLevel="1">
      <c r="A87" s="653" t="s">
        <v>569</v>
      </c>
      <c r="B87" s="664" t="s">
        <v>591</v>
      </c>
      <c r="C87" s="665">
        <v>9330</v>
      </c>
      <c r="D87" s="665">
        <v>16190</v>
      </c>
      <c r="E87" s="665">
        <v>0</v>
      </c>
      <c r="F87" s="665">
        <v>25520</v>
      </c>
      <c r="G87" s="665">
        <v>9433</v>
      </c>
      <c r="H87" s="665">
        <v>17888</v>
      </c>
      <c r="I87" s="665">
        <v>0</v>
      </c>
      <c r="J87" s="663">
        <v>27321</v>
      </c>
    </row>
    <row r="88" spans="1:10" hidden="1" outlineLevel="1">
      <c r="A88" s="653" t="s">
        <v>569</v>
      </c>
      <c r="B88" s="664" t="s">
        <v>148</v>
      </c>
      <c r="C88" s="665">
        <v>-1</v>
      </c>
      <c r="D88" s="665" t="s">
        <v>569</v>
      </c>
      <c r="E88" s="665">
        <v>0</v>
      </c>
      <c r="F88" s="665">
        <v>-1</v>
      </c>
      <c r="G88" s="665">
        <v>0</v>
      </c>
      <c r="H88" s="665" t="s">
        <v>569</v>
      </c>
      <c r="I88" s="665">
        <v>0</v>
      </c>
      <c r="J88" s="663">
        <v>0</v>
      </c>
    </row>
    <row r="89" spans="1:10" hidden="1" outlineLevel="1">
      <c r="A89" s="653" t="s">
        <v>569</v>
      </c>
      <c r="B89" s="664" t="s">
        <v>147</v>
      </c>
      <c r="C89" s="665">
        <v>9331</v>
      </c>
      <c r="D89" s="665">
        <v>16190</v>
      </c>
      <c r="E89" s="665">
        <v>0</v>
      </c>
      <c r="F89" s="665">
        <v>25520</v>
      </c>
      <c r="G89" s="665">
        <v>9433</v>
      </c>
      <c r="H89" s="665">
        <v>17888</v>
      </c>
      <c r="I89" s="665">
        <v>0</v>
      </c>
      <c r="J89" s="663">
        <v>27321</v>
      </c>
    </row>
    <row r="90" spans="1:10" collapsed="1">
      <c r="A90" s="653" t="s">
        <v>569</v>
      </c>
      <c r="B90" s="664" t="s">
        <v>592</v>
      </c>
      <c r="C90" s="665">
        <v>188</v>
      </c>
      <c r="D90" s="665">
        <v>6437</v>
      </c>
      <c r="E90" s="665">
        <v>0</v>
      </c>
      <c r="F90" s="665">
        <v>6624</v>
      </c>
      <c r="G90" s="665">
        <v>1330</v>
      </c>
      <c r="H90" s="665">
        <v>5000</v>
      </c>
      <c r="I90" s="665">
        <v>0</v>
      </c>
      <c r="J90" s="663">
        <v>6330</v>
      </c>
    </row>
    <row r="91" spans="1:10" hidden="1" outlineLevel="1">
      <c r="A91" s="653" t="s">
        <v>569</v>
      </c>
      <c r="B91" s="664" t="s">
        <v>144</v>
      </c>
      <c r="C91" s="665" t="s">
        <v>569</v>
      </c>
      <c r="D91" s="665" t="s">
        <v>569</v>
      </c>
      <c r="E91" s="665">
        <v>0</v>
      </c>
      <c r="F91" s="665">
        <v>0</v>
      </c>
      <c r="G91" s="665" t="s">
        <v>569</v>
      </c>
      <c r="H91" s="665" t="s">
        <v>569</v>
      </c>
      <c r="I91" s="665">
        <v>0</v>
      </c>
      <c r="J91" s="663">
        <v>0</v>
      </c>
    </row>
    <row r="92" spans="1:10" hidden="1" outlineLevel="1">
      <c r="A92" s="653" t="s">
        <v>569</v>
      </c>
      <c r="B92" s="664" t="s">
        <v>146</v>
      </c>
      <c r="C92" s="665">
        <v>-27</v>
      </c>
      <c r="D92" s="665">
        <v>1350</v>
      </c>
      <c r="E92" s="665">
        <v>0</v>
      </c>
      <c r="F92" s="665">
        <v>1323</v>
      </c>
      <c r="G92" s="665">
        <v>1330</v>
      </c>
      <c r="H92" s="665" t="s">
        <v>569</v>
      </c>
      <c r="I92" s="665">
        <v>0</v>
      </c>
      <c r="J92" s="663">
        <v>1330</v>
      </c>
    </row>
    <row r="93" spans="1:10" hidden="1" outlineLevel="1">
      <c r="A93" s="653" t="s">
        <v>569</v>
      </c>
      <c r="B93" s="664" t="s">
        <v>145</v>
      </c>
      <c r="C93" s="665" t="s">
        <v>569</v>
      </c>
      <c r="D93" s="665">
        <v>5087</v>
      </c>
      <c r="E93" s="665">
        <v>0</v>
      </c>
      <c r="F93" s="665">
        <v>5087</v>
      </c>
      <c r="G93" s="665" t="s">
        <v>569</v>
      </c>
      <c r="H93" s="665">
        <v>5000</v>
      </c>
      <c r="I93" s="665">
        <v>0</v>
      </c>
      <c r="J93" s="663">
        <v>5000</v>
      </c>
    </row>
    <row r="94" spans="1:10" hidden="1" outlineLevel="1">
      <c r="A94" s="653" t="s">
        <v>569</v>
      </c>
      <c r="B94" s="664" t="s">
        <v>143</v>
      </c>
      <c r="C94" s="665">
        <v>215</v>
      </c>
      <c r="D94" s="665" t="s">
        <v>569</v>
      </c>
      <c r="E94" s="665">
        <v>0</v>
      </c>
      <c r="F94" s="665">
        <v>215</v>
      </c>
      <c r="G94" s="665" t="s">
        <v>569</v>
      </c>
      <c r="H94" s="665" t="s">
        <v>569</v>
      </c>
      <c r="I94" s="665">
        <v>0</v>
      </c>
      <c r="J94" s="663">
        <v>0</v>
      </c>
    </row>
    <row r="95" spans="1:10" collapsed="1">
      <c r="A95" s="653" t="s">
        <v>569</v>
      </c>
      <c r="B95" s="664" t="s">
        <v>593</v>
      </c>
      <c r="C95" s="665">
        <v>1937</v>
      </c>
      <c r="D95" s="665">
        <v>3675</v>
      </c>
      <c r="E95" s="665">
        <v>0</v>
      </c>
      <c r="F95" s="665">
        <v>5612</v>
      </c>
      <c r="G95" s="665">
        <v>1984</v>
      </c>
      <c r="H95" s="665">
        <v>3675</v>
      </c>
      <c r="I95" s="665">
        <v>0</v>
      </c>
      <c r="J95" s="663">
        <v>5660</v>
      </c>
    </row>
    <row r="96" spans="1:10" hidden="1" outlineLevel="1">
      <c r="A96" s="653" t="s">
        <v>569</v>
      </c>
      <c r="B96" s="664" t="s">
        <v>138</v>
      </c>
      <c r="C96" s="665" t="s">
        <v>569</v>
      </c>
      <c r="D96" s="665">
        <v>3675</v>
      </c>
      <c r="E96" s="665">
        <v>0</v>
      </c>
      <c r="F96" s="665">
        <v>3675</v>
      </c>
      <c r="G96" s="665" t="s">
        <v>569</v>
      </c>
      <c r="H96" s="665">
        <v>3675</v>
      </c>
      <c r="I96" s="665">
        <v>0</v>
      </c>
      <c r="J96" s="663">
        <v>3675</v>
      </c>
    </row>
    <row r="97" spans="1:10" hidden="1" outlineLevel="1">
      <c r="A97" s="653" t="s">
        <v>569</v>
      </c>
      <c r="B97" s="664" t="s">
        <v>139</v>
      </c>
      <c r="C97" s="665">
        <v>534</v>
      </c>
      <c r="D97" s="665" t="s">
        <v>569</v>
      </c>
      <c r="E97" s="665">
        <v>0</v>
      </c>
      <c r="F97" s="665">
        <v>534</v>
      </c>
      <c r="G97" s="665">
        <v>566</v>
      </c>
      <c r="H97" s="665" t="s">
        <v>569</v>
      </c>
      <c r="I97" s="665">
        <v>0</v>
      </c>
      <c r="J97" s="663">
        <v>566</v>
      </c>
    </row>
    <row r="98" spans="1:10" hidden="1" outlineLevel="1">
      <c r="A98" s="653" t="s">
        <v>569</v>
      </c>
      <c r="B98" s="664" t="s">
        <v>140</v>
      </c>
      <c r="C98" s="665">
        <v>700</v>
      </c>
      <c r="D98" s="665" t="s">
        <v>569</v>
      </c>
      <c r="E98" s="665">
        <v>0</v>
      </c>
      <c r="F98" s="665">
        <v>700</v>
      </c>
      <c r="G98" s="665">
        <v>708</v>
      </c>
      <c r="H98" s="665" t="s">
        <v>569</v>
      </c>
      <c r="I98" s="665">
        <v>0</v>
      </c>
      <c r="J98" s="663">
        <v>708</v>
      </c>
    </row>
    <row r="99" spans="1:10" hidden="1" outlineLevel="1">
      <c r="A99" s="653" t="s">
        <v>569</v>
      </c>
      <c r="B99" s="664" t="s">
        <v>141</v>
      </c>
      <c r="C99" s="665">
        <v>703</v>
      </c>
      <c r="D99" s="665" t="s">
        <v>569</v>
      </c>
      <c r="E99" s="665">
        <v>0</v>
      </c>
      <c r="F99" s="665">
        <v>703</v>
      </c>
      <c r="G99" s="665">
        <v>711</v>
      </c>
      <c r="H99" s="665" t="s">
        <v>569</v>
      </c>
      <c r="I99" s="665">
        <v>0</v>
      </c>
      <c r="J99" s="663">
        <v>711</v>
      </c>
    </row>
    <row r="100" spans="1:10" hidden="1" outlineLevel="1">
      <c r="A100" s="653" t="s">
        <v>569</v>
      </c>
      <c r="B100" s="664" t="s">
        <v>142</v>
      </c>
      <c r="C100" s="665" t="s">
        <v>569</v>
      </c>
      <c r="D100" s="665" t="s">
        <v>569</v>
      </c>
      <c r="E100" s="665">
        <v>0</v>
      </c>
      <c r="F100" s="665">
        <v>0</v>
      </c>
      <c r="G100" s="665" t="s">
        <v>569</v>
      </c>
      <c r="H100" s="665" t="s">
        <v>569</v>
      </c>
      <c r="I100" s="665">
        <v>0</v>
      </c>
      <c r="J100" s="663">
        <v>0</v>
      </c>
    </row>
    <row r="101" spans="1:10" collapsed="1">
      <c r="A101" s="653" t="s">
        <v>569</v>
      </c>
      <c r="B101" s="664" t="s">
        <v>594</v>
      </c>
      <c r="C101" s="665">
        <v>3985</v>
      </c>
      <c r="D101" s="665">
        <v>15919</v>
      </c>
      <c r="E101" s="665">
        <v>0</v>
      </c>
      <c r="F101" s="665">
        <v>19905</v>
      </c>
      <c r="G101" s="665">
        <v>4224</v>
      </c>
      <c r="H101" s="665">
        <v>8918</v>
      </c>
      <c r="I101" s="665">
        <v>0</v>
      </c>
      <c r="J101" s="663">
        <v>13142</v>
      </c>
    </row>
    <row r="102" spans="1:10" hidden="1" outlineLevel="1">
      <c r="A102" s="653" t="s">
        <v>569</v>
      </c>
      <c r="B102" s="664" t="s">
        <v>110</v>
      </c>
      <c r="C102" s="665" t="s">
        <v>569</v>
      </c>
      <c r="D102" s="665" t="s">
        <v>569</v>
      </c>
      <c r="E102" s="665">
        <v>0</v>
      </c>
      <c r="F102" s="665">
        <v>0</v>
      </c>
      <c r="G102" s="665" t="s">
        <v>569</v>
      </c>
      <c r="H102" s="665" t="s">
        <v>569</v>
      </c>
      <c r="I102" s="665">
        <v>0</v>
      </c>
      <c r="J102" s="663">
        <v>0</v>
      </c>
    </row>
    <row r="103" spans="1:10" hidden="1" outlineLevel="1">
      <c r="A103" s="653" t="s">
        <v>569</v>
      </c>
      <c r="B103" s="664" t="s">
        <v>111</v>
      </c>
      <c r="C103" s="665" t="s">
        <v>569</v>
      </c>
      <c r="D103" s="665" t="s">
        <v>569</v>
      </c>
      <c r="E103" s="665">
        <v>0</v>
      </c>
      <c r="F103" s="665">
        <v>0</v>
      </c>
      <c r="G103" s="665" t="s">
        <v>569</v>
      </c>
      <c r="H103" s="665" t="s">
        <v>569</v>
      </c>
      <c r="I103" s="665">
        <v>0</v>
      </c>
      <c r="J103" s="663">
        <v>0</v>
      </c>
    </row>
    <row r="104" spans="1:10" hidden="1" outlineLevel="1">
      <c r="A104" s="653" t="s">
        <v>569</v>
      </c>
      <c r="B104" s="664" t="s">
        <v>112</v>
      </c>
      <c r="C104" s="665" t="s">
        <v>569</v>
      </c>
      <c r="D104" s="665" t="s">
        <v>569</v>
      </c>
      <c r="E104" s="665">
        <v>0</v>
      </c>
      <c r="F104" s="665">
        <v>0</v>
      </c>
      <c r="G104" s="665" t="s">
        <v>569</v>
      </c>
      <c r="H104" s="665" t="s">
        <v>569</v>
      </c>
      <c r="I104" s="665">
        <v>0</v>
      </c>
      <c r="J104" s="663">
        <v>0</v>
      </c>
    </row>
    <row r="105" spans="1:10" hidden="1" outlineLevel="1">
      <c r="A105" s="653" t="s">
        <v>569</v>
      </c>
      <c r="B105" s="664" t="s">
        <v>113</v>
      </c>
      <c r="C105" s="665" t="s">
        <v>569</v>
      </c>
      <c r="D105" s="665" t="s">
        <v>569</v>
      </c>
      <c r="E105" s="665">
        <v>0</v>
      </c>
      <c r="F105" s="665">
        <v>0</v>
      </c>
      <c r="G105" s="665" t="s">
        <v>569</v>
      </c>
      <c r="H105" s="665" t="s">
        <v>569</v>
      </c>
      <c r="I105" s="665">
        <v>0</v>
      </c>
      <c r="J105" s="663">
        <v>0</v>
      </c>
    </row>
    <row r="106" spans="1:10" hidden="1" outlineLevel="1">
      <c r="A106" s="653" t="s">
        <v>569</v>
      </c>
      <c r="B106" s="664" t="s">
        <v>114</v>
      </c>
      <c r="C106" s="665" t="s">
        <v>569</v>
      </c>
      <c r="D106" s="665">
        <v>157</v>
      </c>
      <c r="E106" s="665">
        <v>0</v>
      </c>
      <c r="F106" s="665">
        <v>157</v>
      </c>
      <c r="G106" s="665" t="s">
        <v>569</v>
      </c>
      <c r="H106" s="665">
        <v>0</v>
      </c>
      <c r="I106" s="665">
        <v>0</v>
      </c>
      <c r="J106" s="663">
        <v>0</v>
      </c>
    </row>
    <row r="107" spans="1:10" hidden="1" outlineLevel="1">
      <c r="A107" s="653" t="s">
        <v>569</v>
      </c>
      <c r="B107" s="664" t="s">
        <v>115</v>
      </c>
      <c r="C107" s="665" t="s">
        <v>569</v>
      </c>
      <c r="D107" s="665">
        <v>933</v>
      </c>
      <c r="E107" s="665">
        <v>0</v>
      </c>
      <c r="F107" s="665">
        <v>933</v>
      </c>
      <c r="G107" s="665" t="s">
        <v>569</v>
      </c>
      <c r="H107" s="665">
        <v>528</v>
      </c>
      <c r="I107" s="665">
        <v>0</v>
      </c>
      <c r="J107" s="663">
        <v>528</v>
      </c>
    </row>
    <row r="108" spans="1:10" hidden="1" outlineLevel="1">
      <c r="A108" s="653" t="s">
        <v>569</v>
      </c>
      <c r="B108" s="664" t="s">
        <v>116</v>
      </c>
      <c r="C108" s="665" t="s">
        <v>569</v>
      </c>
      <c r="D108" s="665">
        <v>58</v>
      </c>
      <c r="E108" s="665">
        <v>0</v>
      </c>
      <c r="F108" s="665">
        <v>58</v>
      </c>
      <c r="G108" s="665" t="s">
        <v>569</v>
      </c>
      <c r="H108" s="665" t="s">
        <v>569</v>
      </c>
      <c r="I108" s="665">
        <v>0</v>
      </c>
      <c r="J108" s="663">
        <v>0</v>
      </c>
    </row>
    <row r="109" spans="1:10" hidden="1" outlineLevel="1">
      <c r="A109" s="653" t="s">
        <v>569</v>
      </c>
      <c r="B109" s="664" t="s">
        <v>117</v>
      </c>
      <c r="C109" s="665" t="s">
        <v>569</v>
      </c>
      <c r="D109" s="665">
        <v>75</v>
      </c>
      <c r="E109" s="665">
        <v>0</v>
      </c>
      <c r="F109" s="665">
        <v>75</v>
      </c>
      <c r="G109" s="665" t="s">
        <v>569</v>
      </c>
      <c r="H109" s="665">
        <v>0</v>
      </c>
      <c r="I109" s="665">
        <v>0</v>
      </c>
      <c r="J109" s="663">
        <v>0</v>
      </c>
    </row>
    <row r="110" spans="1:10" hidden="1" outlineLevel="1">
      <c r="A110" s="653" t="s">
        <v>569</v>
      </c>
      <c r="B110" s="664" t="s">
        <v>118</v>
      </c>
      <c r="C110" s="665">
        <v>1086</v>
      </c>
      <c r="D110" s="665">
        <v>6342</v>
      </c>
      <c r="E110" s="665">
        <v>0</v>
      </c>
      <c r="F110" s="665">
        <v>7427</v>
      </c>
      <c r="G110" s="665">
        <v>403</v>
      </c>
      <c r="H110" s="665">
        <v>25</v>
      </c>
      <c r="I110" s="665">
        <v>0</v>
      </c>
      <c r="J110" s="663">
        <v>428</v>
      </c>
    </row>
    <row r="111" spans="1:10" hidden="1" outlineLevel="1">
      <c r="A111" s="653" t="s">
        <v>569</v>
      </c>
      <c r="B111" s="664" t="s">
        <v>119</v>
      </c>
      <c r="C111" s="665">
        <v>732</v>
      </c>
      <c r="D111" s="665">
        <v>5115</v>
      </c>
      <c r="E111" s="665">
        <v>0</v>
      </c>
      <c r="F111" s="665">
        <v>5846</v>
      </c>
      <c r="G111" s="665">
        <v>740</v>
      </c>
      <c r="H111" s="665">
        <v>5415</v>
      </c>
      <c r="I111" s="665">
        <v>0</v>
      </c>
      <c r="J111" s="663">
        <v>6154</v>
      </c>
    </row>
    <row r="112" spans="1:10" hidden="1" outlineLevel="1">
      <c r="A112" s="653" t="s">
        <v>569</v>
      </c>
      <c r="B112" s="664" t="s">
        <v>120</v>
      </c>
      <c r="C112" s="665" t="s">
        <v>569</v>
      </c>
      <c r="D112" s="665">
        <v>0</v>
      </c>
      <c r="E112" s="665">
        <v>0</v>
      </c>
      <c r="F112" s="665">
        <v>0</v>
      </c>
      <c r="G112" s="665" t="s">
        <v>569</v>
      </c>
      <c r="H112" s="665">
        <v>0</v>
      </c>
      <c r="I112" s="665">
        <v>0</v>
      </c>
      <c r="J112" s="663">
        <v>0</v>
      </c>
    </row>
    <row r="113" spans="1:10" hidden="1" outlineLevel="1">
      <c r="A113" s="653" t="s">
        <v>569</v>
      </c>
      <c r="B113" s="664" t="s">
        <v>121</v>
      </c>
      <c r="C113" s="665">
        <v>0</v>
      </c>
      <c r="D113" s="665" t="s">
        <v>569</v>
      </c>
      <c r="E113" s="665">
        <v>0</v>
      </c>
      <c r="F113" s="665">
        <v>0</v>
      </c>
      <c r="G113" s="665">
        <v>0</v>
      </c>
      <c r="H113" s="665" t="s">
        <v>569</v>
      </c>
      <c r="I113" s="665">
        <v>0</v>
      </c>
      <c r="J113" s="663">
        <v>0</v>
      </c>
    </row>
    <row r="114" spans="1:10" hidden="1" outlineLevel="1">
      <c r="A114" s="653" t="s">
        <v>569</v>
      </c>
      <c r="B114" s="664" t="s">
        <v>122</v>
      </c>
      <c r="C114" s="665" t="s">
        <v>569</v>
      </c>
      <c r="D114" s="665" t="s">
        <v>569</v>
      </c>
      <c r="E114" s="665">
        <v>0</v>
      </c>
      <c r="F114" s="665">
        <v>0</v>
      </c>
      <c r="G114" s="665" t="s">
        <v>569</v>
      </c>
      <c r="H114" s="665" t="s">
        <v>569</v>
      </c>
      <c r="I114" s="665">
        <v>0</v>
      </c>
      <c r="J114" s="663">
        <v>0</v>
      </c>
    </row>
    <row r="115" spans="1:10" hidden="1" outlineLevel="1">
      <c r="A115" s="653" t="s">
        <v>569</v>
      </c>
      <c r="B115" s="664" t="s">
        <v>123</v>
      </c>
      <c r="C115" s="665">
        <v>-1</v>
      </c>
      <c r="D115" s="665" t="s">
        <v>569</v>
      </c>
      <c r="E115" s="665">
        <v>0</v>
      </c>
      <c r="F115" s="665">
        <v>-1</v>
      </c>
      <c r="G115" s="665">
        <v>-1</v>
      </c>
      <c r="H115" s="665" t="s">
        <v>569</v>
      </c>
      <c r="I115" s="665">
        <v>0</v>
      </c>
      <c r="J115" s="663">
        <v>-1</v>
      </c>
    </row>
    <row r="116" spans="1:10" hidden="1" outlineLevel="1">
      <c r="A116" s="653" t="s">
        <v>569</v>
      </c>
      <c r="B116" s="664" t="s">
        <v>124</v>
      </c>
      <c r="C116" s="665">
        <v>304</v>
      </c>
      <c r="D116" s="665" t="s">
        <v>569</v>
      </c>
      <c r="E116" s="665">
        <v>0</v>
      </c>
      <c r="F116" s="665">
        <v>304</v>
      </c>
      <c r="G116" s="665">
        <v>293</v>
      </c>
      <c r="H116" s="665" t="s">
        <v>569</v>
      </c>
      <c r="I116" s="665">
        <v>0</v>
      </c>
      <c r="J116" s="663">
        <v>293</v>
      </c>
    </row>
    <row r="117" spans="1:10" hidden="1" outlineLevel="1">
      <c r="A117" s="653" t="s">
        <v>569</v>
      </c>
      <c r="B117" s="664" t="s">
        <v>125</v>
      </c>
      <c r="C117" s="665" t="s">
        <v>569</v>
      </c>
      <c r="D117" s="665" t="s">
        <v>569</v>
      </c>
      <c r="E117" s="665">
        <v>0</v>
      </c>
      <c r="F117" s="665">
        <v>0</v>
      </c>
      <c r="G117" s="665" t="s">
        <v>569</v>
      </c>
      <c r="H117" s="665" t="s">
        <v>569</v>
      </c>
      <c r="I117" s="665">
        <v>0</v>
      </c>
      <c r="J117" s="663">
        <v>0</v>
      </c>
    </row>
    <row r="118" spans="1:10" hidden="1" outlineLevel="1">
      <c r="A118" s="653" t="s">
        <v>569</v>
      </c>
      <c r="B118" s="664" t="s">
        <v>126</v>
      </c>
      <c r="C118" s="665" t="s">
        <v>569</v>
      </c>
      <c r="D118" s="665" t="s">
        <v>569</v>
      </c>
      <c r="E118" s="665">
        <v>0</v>
      </c>
      <c r="F118" s="665">
        <v>0</v>
      </c>
      <c r="G118" s="665" t="s">
        <v>569</v>
      </c>
      <c r="H118" s="665" t="s">
        <v>569</v>
      </c>
      <c r="I118" s="665">
        <v>0</v>
      </c>
      <c r="J118" s="663">
        <v>0</v>
      </c>
    </row>
    <row r="119" spans="1:10" hidden="1" outlineLevel="1">
      <c r="A119" s="653" t="s">
        <v>569</v>
      </c>
      <c r="B119" s="664" t="s">
        <v>128</v>
      </c>
      <c r="C119" s="665">
        <v>375</v>
      </c>
      <c r="D119" s="665" t="s">
        <v>569</v>
      </c>
      <c r="E119" s="665">
        <v>0</v>
      </c>
      <c r="F119" s="665">
        <v>375</v>
      </c>
      <c r="G119" s="665">
        <v>926</v>
      </c>
      <c r="H119" s="665" t="s">
        <v>569</v>
      </c>
      <c r="I119" s="665">
        <v>0</v>
      </c>
      <c r="J119" s="663">
        <v>926</v>
      </c>
    </row>
    <row r="120" spans="1:10" hidden="1" outlineLevel="1">
      <c r="A120" s="653" t="s">
        <v>569</v>
      </c>
      <c r="B120" s="664" t="s">
        <v>129</v>
      </c>
      <c r="C120" s="665">
        <v>548</v>
      </c>
      <c r="D120" s="665" t="s">
        <v>569</v>
      </c>
      <c r="E120" s="665">
        <v>0</v>
      </c>
      <c r="F120" s="665">
        <v>548</v>
      </c>
      <c r="G120" s="665">
        <v>489</v>
      </c>
      <c r="H120" s="665" t="s">
        <v>569</v>
      </c>
      <c r="I120" s="665">
        <v>0</v>
      </c>
      <c r="J120" s="663">
        <v>489</v>
      </c>
    </row>
    <row r="121" spans="1:10" hidden="1" outlineLevel="1">
      <c r="A121" s="653" t="s">
        <v>569</v>
      </c>
      <c r="B121" s="664" t="s">
        <v>130</v>
      </c>
      <c r="C121" s="665" t="s">
        <v>569</v>
      </c>
      <c r="D121" s="665" t="s">
        <v>569</v>
      </c>
      <c r="E121" s="665">
        <v>0</v>
      </c>
      <c r="F121" s="665">
        <v>0</v>
      </c>
      <c r="G121" s="665" t="s">
        <v>569</v>
      </c>
      <c r="H121" s="665" t="s">
        <v>569</v>
      </c>
      <c r="I121" s="665">
        <v>0</v>
      </c>
      <c r="J121" s="663">
        <v>0</v>
      </c>
    </row>
    <row r="122" spans="1:10" hidden="1" outlineLevel="1">
      <c r="A122" s="653" t="s">
        <v>569</v>
      </c>
      <c r="B122" s="664" t="s">
        <v>131</v>
      </c>
      <c r="C122" s="665" t="s">
        <v>569</v>
      </c>
      <c r="D122" s="665" t="s">
        <v>569</v>
      </c>
      <c r="E122" s="665">
        <v>0</v>
      </c>
      <c r="F122" s="665">
        <v>0</v>
      </c>
      <c r="G122" s="665" t="s">
        <v>569</v>
      </c>
      <c r="H122" s="665" t="s">
        <v>569</v>
      </c>
      <c r="I122" s="665">
        <v>0</v>
      </c>
      <c r="J122" s="663">
        <v>0</v>
      </c>
    </row>
    <row r="123" spans="1:10" hidden="1" outlineLevel="1">
      <c r="A123" s="653" t="s">
        <v>569</v>
      </c>
      <c r="B123" s="664" t="s">
        <v>132</v>
      </c>
      <c r="C123" s="665">
        <v>-10</v>
      </c>
      <c r="D123" s="665" t="s">
        <v>569</v>
      </c>
      <c r="E123" s="665">
        <v>0</v>
      </c>
      <c r="F123" s="665">
        <v>-10</v>
      </c>
      <c r="G123" s="665">
        <v>533</v>
      </c>
      <c r="H123" s="665" t="s">
        <v>569</v>
      </c>
      <c r="I123" s="665">
        <v>0</v>
      </c>
      <c r="J123" s="663">
        <v>533</v>
      </c>
    </row>
    <row r="124" spans="1:10" hidden="1" outlineLevel="1">
      <c r="A124" s="653" t="s">
        <v>569</v>
      </c>
      <c r="B124" s="664" t="s">
        <v>133</v>
      </c>
      <c r="C124" s="665" t="s">
        <v>569</v>
      </c>
      <c r="D124" s="665" t="s">
        <v>569</v>
      </c>
      <c r="E124" s="665">
        <v>0</v>
      </c>
      <c r="F124" s="665">
        <v>0</v>
      </c>
      <c r="G124" s="665" t="s">
        <v>569</v>
      </c>
      <c r="H124" s="665" t="s">
        <v>569</v>
      </c>
      <c r="I124" s="665">
        <v>0</v>
      </c>
      <c r="J124" s="663">
        <v>0</v>
      </c>
    </row>
    <row r="125" spans="1:10" hidden="1" outlineLevel="1">
      <c r="A125" s="653" t="s">
        <v>569</v>
      </c>
      <c r="B125" s="664" t="s">
        <v>135</v>
      </c>
      <c r="C125" s="665">
        <v>-1</v>
      </c>
      <c r="D125" s="665" t="s">
        <v>569</v>
      </c>
      <c r="E125" s="665">
        <v>0</v>
      </c>
      <c r="F125" s="665">
        <v>-1</v>
      </c>
      <c r="G125" s="665">
        <v>-1</v>
      </c>
      <c r="H125" s="665" t="s">
        <v>569</v>
      </c>
      <c r="I125" s="665">
        <v>0</v>
      </c>
      <c r="J125" s="663">
        <v>-1</v>
      </c>
    </row>
    <row r="126" spans="1:10" hidden="1" outlineLevel="1">
      <c r="A126" s="653" t="s">
        <v>569</v>
      </c>
      <c r="B126" s="664" t="s">
        <v>136</v>
      </c>
      <c r="C126" s="665" t="s">
        <v>569</v>
      </c>
      <c r="D126" s="665" t="s">
        <v>569</v>
      </c>
      <c r="E126" s="665">
        <v>0</v>
      </c>
      <c r="F126" s="665">
        <v>0</v>
      </c>
      <c r="G126" s="665" t="s">
        <v>569</v>
      </c>
      <c r="H126" s="665" t="s">
        <v>569</v>
      </c>
      <c r="I126" s="665">
        <v>0</v>
      </c>
      <c r="J126" s="663">
        <v>0</v>
      </c>
    </row>
    <row r="127" spans="1:10" hidden="1" outlineLevel="1">
      <c r="A127" s="653" t="s">
        <v>569</v>
      </c>
      <c r="B127" s="664" t="s">
        <v>137</v>
      </c>
      <c r="C127" s="665">
        <v>958</v>
      </c>
      <c r="D127" s="665">
        <v>0</v>
      </c>
      <c r="E127" s="665">
        <v>0</v>
      </c>
      <c r="F127" s="665">
        <v>958</v>
      </c>
      <c r="G127" s="665">
        <v>793</v>
      </c>
      <c r="H127" s="665">
        <v>0</v>
      </c>
      <c r="I127" s="665">
        <v>0</v>
      </c>
      <c r="J127" s="663">
        <v>793</v>
      </c>
    </row>
    <row r="128" spans="1:10" hidden="1" outlineLevel="1">
      <c r="A128" s="653" t="s">
        <v>569</v>
      </c>
      <c r="B128" s="664" t="s">
        <v>595</v>
      </c>
      <c r="C128" s="665" t="s">
        <v>569</v>
      </c>
      <c r="D128" s="665" t="s">
        <v>569</v>
      </c>
      <c r="E128" s="665">
        <v>0</v>
      </c>
      <c r="F128" s="665">
        <v>0</v>
      </c>
      <c r="G128" s="665" t="s">
        <v>569</v>
      </c>
      <c r="H128" s="665" t="s">
        <v>569</v>
      </c>
      <c r="I128" s="665">
        <v>0</v>
      </c>
      <c r="J128" s="663">
        <v>0</v>
      </c>
    </row>
    <row r="129" spans="1:10" hidden="1" outlineLevel="1">
      <c r="A129" s="653" t="s">
        <v>569</v>
      </c>
      <c r="B129" s="664" t="s">
        <v>134</v>
      </c>
      <c r="C129" s="665" t="s">
        <v>569</v>
      </c>
      <c r="D129" s="665" t="s">
        <v>569</v>
      </c>
      <c r="E129" s="665">
        <v>0</v>
      </c>
      <c r="F129" s="665">
        <v>0</v>
      </c>
      <c r="G129" s="665" t="s">
        <v>569</v>
      </c>
      <c r="H129" s="665" t="s">
        <v>569</v>
      </c>
      <c r="I129" s="665">
        <v>0</v>
      </c>
      <c r="J129" s="663">
        <v>0</v>
      </c>
    </row>
    <row r="130" spans="1:10" hidden="1" outlineLevel="1">
      <c r="A130" s="653" t="s">
        <v>569</v>
      </c>
      <c r="B130" s="664" t="s">
        <v>127</v>
      </c>
      <c r="C130" s="665">
        <v>0</v>
      </c>
      <c r="D130" s="665" t="s">
        <v>569</v>
      </c>
      <c r="E130" s="665">
        <v>0</v>
      </c>
      <c r="F130" s="665">
        <v>0</v>
      </c>
      <c r="G130" s="665">
        <v>54</v>
      </c>
      <c r="H130" s="665" t="s">
        <v>569</v>
      </c>
      <c r="I130" s="665">
        <v>0</v>
      </c>
      <c r="J130" s="663">
        <v>54</v>
      </c>
    </row>
    <row r="131" spans="1:10" hidden="1" outlineLevel="1">
      <c r="A131" s="653" t="s">
        <v>569</v>
      </c>
      <c r="B131" s="664" t="s">
        <v>596</v>
      </c>
      <c r="C131" s="665">
        <v>-5</v>
      </c>
      <c r="D131" s="665" t="s">
        <v>569</v>
      </c>
      <c r="E131" s="665">
        <v>0</v>
      </c>
      <c r="F131" s="665">
        <v>-5</v>
      </c>
      <c r="G131" s="665">
        <v>-4</v>
      </c>
      <c r="H131" s="665" t="s">
        <v>569</v>
      </c>
      <c r="I131" s="665">
        <v>0</v>
      </c>
      <c r="J131" s="663">
        <v>-4</v>
      </c>
    </row>
    <row r="132" spans="1:10" hidden="1" outlineLevel="1">
      <c r="A132" s="653" t="s">
        <v>569</v>
      </c>
      <c r="B132" s="664" t="s">
        <v>546</v>
      </c>
      <c r="C132" s="665">
        <v>0</v>
      </c>
      <c r="D132" s="665" t="s">
        <v>569</v>
      </c>
      <c r="E132" s="665">
        <v>0</v>
      </c>
      <c r="F132" s="665">
        <v>0</v>
      </c>
      <c r="G132" s="665">
        <v>0</v>
      </c>
      <c r="H132" s="665" t="s">
        <v>569</v>
      </c>
      <c r="I132" s="665">
        <v>0</v>
      </c>
      <c r="J132" s="663">
        <v>0</v>
      </c>
    </row>
    <row r="133" spans="1:10" hidden="1" outlineLevel="1">
      <c r="A133" s="653" t="s">
        <v>569</v>
      </c>
      <c r="B133" s="664" t="s">
        <v>358</v>
      </c>
      <c r="C133" s="665" t="s">
        <v>569</v>
      </c>
      <c r="D133" s="665">
        <v>3240</v>
      </c>
      <c r="E133" s="665">
        <v>0</v>
      </c>
      <c r="F133" s="665">
        <v>3240</v>
      </c>
      <c r="G133" s="665" t="s">
        <v>569</v>
      </c>
      <c r="H133" s="665">
        <v>2950</v>
      </c>
      <c r="I133" s="665">
        <v>0</v>
      </c>
      <c r="J133" s="663">
        <v>2950</v>
      </c>
    </row>
    <row r="134" spans="1:10" collapsed="1">
      <c r="A134" s="653" t="s">
        <v>569</v>
      </c>
      <c r="B134" s="664" t="s">
        <v>19</v>
      </c>
      <c r="C134" s="665">
        <v>15440</v>
      </c>
      <c r="D134" s="665">
        <v>42221</v>
      </c>
      <c r="E134" s="665">
        <v>0</v>
      </c>
      <c r="F134" s="665">
        <v>57661</v>
      </c>
      <c r="G134" s="665">
        <v>16971</v>
      </c>
      <c r="H134" s="665">
        <v>35482</v>
      </c>
      <c r="I134" s="665">
        <v>0</v>
      </c>
      <c r="J134" s="663">
        <v>52452</v>
      </c>
    </row>
    <row r="135" spans="1:10">
      <c r="A135" s="661" t="s">
        <v>569</v>
      </c>
      <c r="B135" s="662" t="s">
        <v>20</v>
      </c>
      <c r="C135" s="663">
        <v>16814</v>
      </c>
      <c r="D135" s="663">
        <v>44189</v>
      </c>
      <c r="E135" s="663">
        <v>0</v>
      </c>
      <c r="F135" s="663">
        <v>61003</v>
      </c>
      <c r="G135" s="663">
        <v>22567</v>
      </c>
      <c r="H135" s="663">
        <v>36614</v>
      </c>
      <c r="I135" s="663">
        <v>0</v>
      </c>
      <c r="J135" s="663">
        <v>59181</v>
      </c>
    </row>
    <row r="136" spans="1:10">
      <c r="A136" s="661" t="s">
        <v>569</v>
      </c>
      <c r="B136" s="662" t="s">
        <v>21</v>
      </c>
      <c r="C136" s="663">
        <v>9392</v>
      </c>
      <c r="D136" s="663">
        <v>27294</v>
      </c>
      <c r="E136" s="663">
        <v>0</v>
      </c>
      <c r="F136" s="672">
        <v>31686</v>
      </c>
      <c r="G136" s="663">
        <v>3812</v>
      </c>
      <c r="H136" s="663">
        <v>21267</v>
      </c>
      <c r="I136" s="663">
        <v>0</v>
      </c>
      <c r="J136" s="663">
        <v>25079</v>
      </c>
    </row>
    <row r="137" spans="1:10">
      <c r="A137" s="661" t="s">
        <v>569</v>
      </c>
      <c r="B137" s="662" t="s">
        <v>22</v>
      </c>
      <c r="C137" s="663" t="s">
        <v>647</v>
      </c>
      <c r="D137" s="663" t="s">
        <v>629</v>
      </c>
      <c r="E137" s="663">
        <v>0</v>
      </c>
      <c r="F137" s="673">
        <v>0.13</v>
      </c>
      <c r="G137" s="663" t="s">
        <v>638</v>
      </c>
      <c r="H137" s="663" t="s">
        <v>637</v>
      </c>
      <c r="I137" s="663">
        <v>0</v>
      </c>
      <c r="J137" s="663" t="s">
        <v>629</v>
      </c>
    </row>
    <row r="138" spans="1:10">
      <c r="A138" s="661" t="s">
        <v>569</v>
      </c>
      <c r="B138" s="662" t="s">
        <v>569</v>
      </c>
      <c r="C138" s="663" t="s">
        <v>569</v>
      </c>
      <c r="D138" s="663" t="s">
        <v>569</v>
      </c>
      <c r="E138" s="663" t="s">
        <v>569</v>
      </c>
      <c r="F138" s="663" t="s">
        <v>569</v>
      </c>
      <c r="G138" s="663" t="s">
        <v>569</v>
      </c>
      <c r="H138" s="663" t="s">
        <v>569</v>
      </c>
      <c r="I138" s="663" t="s">
        <v>569</v>
      </c>
      <c r="J138" s="663" t="s">
        <v>569</v>
      </c>
    </row>
    <row r="139" spans="1:10">
      <c r="A139" s="653" t="s">
        <v>569</v>
      </c>
      <c r="B139" s="664" t="s">
        <v>603</v>
      </c>
      <c r="C139" s="665">
        <v>-3823</v>
      </c>
      <c r="D139" s="665">
        <v>2495</v>
      </c>
      <c r="E139" s="665">
        <v>0</v>
      </c>
      <c r="F139" s="665">
        <v>-1328</v>
      </c>
      <c r="G139" s="665">
        <v>-3681</v>
      </c>
      <c r="H139" s="665">
        <v>2614</v>
      </c>
      <c r="I139" s="665">
        <v>0</v>
      </c>
      <c r="J139" s="663">
        <v>-1067</v>
      </c>
    </row>
    <row r="140" spans="1:10" hidden="1" outlineLevel="1">
      <c r="A140" s="653" t="s">
        <v>569</v>
      </c>
      <c r="B140" s="664" t="s">
        <v>149</v>
      </c>
      <c r="C140" s="665" t="s">
        <v>569</v>
      </c>
      <c r="D140" s="665" t="s">
        <v>569</v>
      </c>
      <c r="E140" s="665">
        <v>0</v>
      </c>
      <c r="F140" s="665">
        <v>0</v>
      </c>
      <c r="G140" s="665" t="s">
        <v>569</v>
      </c>
      <c r="H140" s="665" t="s">
        <v>569</v>
      </c>
      <c r="I140" s="665">
        <v>0</v>
      </c>
      <c r="J140" s="663">
        <v>0</v>
      </c>
    </row>
    <row r="141" spans="1:10" hidden="1" outlineLevel="1">
      <c r="A141" s="653" t="s">
        <v>569</v>
      </c>
      <c r="B141" s="664" t="s">
        <v>150</v>
      </c>
      <c r="C141" s="665">
        <v>613</v>
      </c>
      <c r="D141" s="665">
        <v>13</v>
      </c>
      <c r="E141" s="665">
        <v>0</v>
      </c>
      <c r="F141" s="665">
        <v>626</v>
      </c>
      <c r="G141" s="665">
        <v>1</v>
      </c>
      <c r="H141" s="665">
        <v>115</v>
      </c>
      <c r="I141" s="665">
        <v>0</v>
      </c>
      <c r="J141" s="663">
        <v>116</v>
      </c>
    </row>
    <row r="142" spans="1:10" hidden="1" outlineLevel="1">
      <c r="A142" s="653" t="s">
        <v>569</v>
      </c>
      <c r="B142" s="664" t="s">
        <v>151</v>
      </c>
      <c r="C142" s="665">
        <v>-5282</v>
      </c>
      <c r="D142" s="665" t="s">
        <v>569</v>
      </c>
      <c r="E142" s="665">
        <v>0</v>
      </c>
      <c r="F142" s="665">
        <v>-5282</v>
      </c>
      <c r="G142" s="665">
        <v>-4493</v>
      </c>
      <c r="H142" s="665" t="s">
        <v>569</v>
      </c>
      <c r="I142" s="665">
        <v>0</v>
      </c>
      <c r="J142" s="663">
        <v>-4493</v>
      </c>
    </row>
    <row r="143" spans="1:10" hidden="1" outlineLevel="1">
      <c r="A143" s="653" t="s">
        <v>569</v>
      </c>
      <c r="B143" s="664" t="s">
        <v>152</v>
      </c>
      <c r="C143" s="665" t="s">
        <v>569</v>
      </c>
      <c r="D143" s="665" t="s">
        <v>569</v>
      </c>
      <c r="E143" s="665">
        <v>0</v>
      </c>
      <c r="F143" s="665">
        <v>0</v>
      </c>
      <c r="G143" s="665" t="s">
        <v>569</v>
      </c>
      <c r="H143" s="665" t="s">
        <v>569</v>
      </c>
      <c r="I143" s="665">
        <v>0</v>
      </c>
      <c r="J143" s="663">
        <v>0</v>
      </c>
    </row>
    <row r="144" spans="1:10" hidden="1" outlineLevel="1">
      <c r="A144" s="653" t="s">
        <v>569</v>
      </c>
      <c r="B144" s="664" t="s">
        <v>154</v>
      </c>
      <c r="C144" s="665" t="s">
        <v>569</v>
      </c>
      <c r="D144" s="665">
        <v>122</v>
      </c>
      <c r="E144" s="665">
        <v>0</v>
      </c>
      <c r="F144" s="665">
        <v>122</v>
      </c>
      <c r="G144" s="665" t="s">
        <v>569</v>
      </c>
      <c r="H144" s="665">
        <v>139</v>
      </c>
      <c r="I144" s="665">
        <v>0</v>
      </c>
      <c r="J144" s="663">
        <v>139</v>
      </c>
    </row>
    <row r="145" spans="1:10" hidden="1" outlineLevel="1">
      <c r="A145" s="653" t="s">
        <v>569</v>
      </c>
      <c r="B145" s="664" t="s">
        <v>604</v>
      </c>
      <c r="C145" s="665" t="s">
        <v>569</v>
      </c>
      <c r="D145" s="665" t="s">
        <v>569</v>
      </c>
      <c r="E145" s="665">
        <v>0</v>
      </c>
      <c r="F145" s="665">
        <v>0</v>
      </c>
      <c r="G145" s="665" t="s">
        <v>569</v>
      </c>
      <c r="H145" s="665" t="s">
        <v>569</v>
      </c>
      <c r="I145" s="665">
        <v>0</v>
      </c>
      <c r="J145" s="663">
        <v>0</v>
      </c>
    </row>
    <row r="146" spans="1:10" hidden="1" outlineLevel="1">
      <c r="A146" s="653" t="s">
        <v>569</v>
      </c>
      <c r="B146" s="664" t="s">
        <v>153</v>
      </c>
      <c r="C146" s="665" t="s">
        <v>569</v>
      </c>
      <c r="D146" s="665">
        <v>2360</v>
      </c>
      <c r="E146" s="665">
        <v>0</v>
      </c>
      <c r="F146" s="665">
        <v>2360</v>
      </c>
      <c r="G146" s="665" t="s">
        <v>569</v>
      </c>
      <c r="H146" s="665">
        <v>2360</v>
      </c>
      <c r="I146" s="665">
        <v>0</v>
      </c>
      <c r="J146" s="663">
        <v>2360</v>
      </c>
    </row>
    <row r="147" spans="1:10" hidden="1" outlineLevel="1">
      <c r="A147" s="653" t="s">
        <v>569</v>
      </c>
      <c r="B147" s="664" t="s">
        <v>92</v>
      </c>
      <c r="C147" s="665">
        <v>846</v>
      </c>
      <c r="D147" s="665" t="s">
        <v>569</v>
      </c>
      <c r="E147" s="665">
        <v>0</v>
      </c>
      <c r="F147" s="665">
        <v>846</v>
      </c>
      <c r="G147" s="665">
        <v>811</v>
      </c>
      <c r="H147" s="665" t="s">
        <v>569</v>
      </c>
      <c r="I147" s="665">
        <v>0</v>
      </c>
      <c r="J147" s="663">
        <v>811</v>
      </c>
    </row>
    <row r="148" spans="1:10" collapsed="1">
      <c r="A148" s="653" t="s">
        <v>569</v>
      </c>
      <c r="B148" s="664" t="s">
        <v>605</v>
      </c>
      <c r="C148" s="665">
        <v>2</v>
      </c>
      <c r="D148" s="665">
        <v>0</v>
      </c>
      <c r="E148" s="665">
        <v>0</v>
      </c>
      <c r="F148" s="665">
        <v>2</v>
      </c>
      <c r="G148" s="665">
        <v>1</v>
      </c>
      <c r="H148" s="665">
        <v>0</v>
      </c>
      <c r="I148" s="665">
        <v>0</v>
      </c>
      <c r="J148" s="663">
        <v>1</v>
      </c>
    </row>
    <row r="149" spans="1:10" hidden="1" outlineLevel="1">
      <c r="A149" s="653" t="s">
        <v>569</v>
      </c>
      <c r="B149" s="664" t="s">
        <v>24</v>
      </c>
      <c r="C149" s="665">
        <v>2</v>
      </c>
      <c r="D149" s="665">
        <v>0</v>
      </c>
      <c r="E149" s="665">
        <v>0</v>
      </c>
      <c r="F149" s="665">
        <v>2</v>
      </c>
      <c r="G149" s="665">
        <v>1</v>
      </c>
      <c r="H149" s="665">
        <v>0</v>
      </c>
      <c r="I149" s="665">
        <v>0</v>
      </c>
      <c r="J149" s="663">
        <v>1</v>
      </c>
    </row>
    <row r="150" spans="1:10" hidden="1" outlineLevel="1">
      <c r="A150" s="653" t="s">
        <v>569</v>
      </c>
      <c r="B150" s="664" t="s">
        <v>606</v>
      </c>
      <c r="C150" s="665" t="s">
        <v>569</v>
      </c>
      <c r="D150" s="665" t="s">
        <v>569</v>
      </c>
      <c r="E150" s="665">
        <v>0</v>
      </c>
      <c r="F150" s="665">
        <v>0</v>
      </c>
      <c r="G150" s="665" t="s">
        <v>569</v>
      </c>
      <c r="H150" s="665" t="s">
        <v>569</v>
      </c>
      <c r="I150" s="665">
        <v>0</v>
      </c>
      <c r="J150" s="663">
        <v>0</v>
      </c>
    </row>
    <row r="151" spans="1:10" hidden="1" outlineLevel="1">
      <c r="A151" s="653" t="s">
        <v>569</v>
      </c>
      <c r="B151" s="664" t="s">
        <v>607</v>
      </c>
      <c r="C151" s="665" t="s">
        <v>569</v>
      </c>
      <c r="D151" s="665" t="s">
        <v>569</v>
      </c>
      <c r="E151" s="665">
        <v>0</v>
      </c>
      <c r="F151" s="665">
        <v>0</v>
      </c>
      <c r="G151" s="665" t="s">
        <v>569</v>
      </c>
      <c r="H151" s="665" t="s">
        <v>569</v>
      </c>
      <c r="I151" s="665">
        <v>0</v>
      </c>
      <c r="J151" s="663">
        <v>0</v>
      </c>
    </row>
    <row r="152" spans="1:10" collapsed="1">
      <c r="A152" s="653" t="s">
        <v>569</v>
      </c>
      <c r="B152" s="664" t="s">
        <v>608</v>
      </c>
      <c r="C152" s="665">
        <v>-31</v>
      </c>
      <c r="D152" s="665" t="s">
        <v>569</v>
      </c>
      <c r="E152" s="665">
        <v>0</v>
      </c>
      <c r="F152" s="665">
        <v>-31</v>
      </c>
      <c r="G152" s="665">
        <v>-24</v>
      </c>
      <c r="H152" s="665" t="s">
        <v>569</v>
      </c>
      <c r="I152" s="665">
        <v>0</v>
      </c>
      <c r="J152" s="663">
        <v>-24</v>
      </c>
    </row>
    <row r="153" spans="1:10" hidden="1" outlineLevel="1">
      <c r="A153" s="653" t="s">
        <v>569</v>
      </c>
      <c r="B153" s="664" t="s">
        <v>25</v>
      </c>
      <c r="C153" s="665">
        <v>-31</v>
      </c>
      <c r="D153" s="665" t="s">
        <v>569</v>
      </c>
      <c r="E153" s="665">
        <v>0</v>
      </c>
      <c r="F153" s="665">
        <v>-31</v>
      </c>
      <c r="G153" s="665">
        <v>-24</v>
      </c>
      <c r="H153" s="665" t="s">
        <v>569</v>
      </c>
      <c r="I153" s="665">
        <v>0</v>
      </c>
      <c r="J153" s="663">
        <v>-24</v>
      </c>
    </row>
    <row r="154" spans="1:10" collapsed="1">
      <c r="A154" s="653" t="s">
        <v>569</v>
      </c>
      <c r="B154" s="664" t="s">
        <v>609</v>
      </c>
      <c r="C154" s="665">
        <v>-3853</v>
      </c>
      <c r="D154" s="665">
        <v>2495</v>
      </c>
      <c r="E154" s="665">
        <v>0</v>
      </c>
      <c r="F154" s="665">
        <v>-1357</v>
      </c>
      <c r="G154" s="665">
        <v>-3703</v>
      </c>
      <c r="H154" s="665">
        <v>2614</v>
      </c>
      <c r="I154" s="665">
        <v>0</v>
      </c>
      <c r="J154" s="663">
        <v>-1090</v>
      </c>
    </row>
    <row r="155" spans="1:10">
      <c r="A155" s="661" t="s">
        <v>569</v>
      </c>
      <c r="B155" s="662" t="s">
        <v>26</v>
      </c>
      <c r="C155" s="663">
        <v>13244</v>
      </c>
      <c r="D155" s="663">
        <v>24798</v>
      </c>
      <c r="E155" s="663">
        <v>0</v>
      </c>
      <c r="F155" s="663">
        <v>38043</v>
      </c>
      <c r="G155" s="663">
        <v>7515</v>
      </c>
      <c r="H155" s="663">
        <v>18654</v>
      </c>
      <c r="I155" s="663">
        <v>0</v>
      </c>
      <c r="J155" s="663">
        <v>26169</v>
      </c>
    </row>
  </sheetData>
  <mergeCells count="4">
    <mergeCell ref="C2:D2"/>
    <mergeCell ref="H2:I2"/>
    <mergeCell ref="C3:D3"/>
    <mergeCell ref="H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7F9C-F1D2-41C4-B1B3-428260A44B31}">
  <dimension ref="A1:L153"/>
  <sheetViews>
    <sheetView showGridLines="0" topLeftCell="A2" zoomScale="78" workbookViewId="0">
      <selection activeCell="J15" sqref="J15"/>
    </sheetView>
  </sheetViews>
  <sheetFormatPr defaultColWidth="8.4140625" defaultRowHeight="14.5" outlineLevelRow="1"/>
  <cols>
    <col min="1" max="1" width="4.58203125" style="121" customWidth="1"/>
    <col min="2" max="2" width="26.75" style="121" customWidth="1"/>
    <col min="3" max="3" width="14.83203125" style="122" bestFit="1" customWidth="1"/>
    <col min="4" max="4" width="12.1640625" style="122" bestFit="1" customWidth="1"/>
    <col min="5" max="5" width="28" style="122" bestFit="1" customWidth="1"/>
    <col min="6" max="6" width="6.83203125" style="122" bestFit="1" customWidth="1"/>
    <col min="7" max="7" width="15.1640625" style="122" bestFit="1" customWidth="1"/>
    <col min="8" max="8" width="12.1640625" style="122" bestFit="1" customWidth="1"/>
    <col min="9" max="9" width="14.25" style="122" customWidth="1"/>
    <col min="10" max="10" width="6.9140625" style="122" bestFit="1" customWidth="1"/>
    <col min="11" max="16384" width="8.4140625" style="121"/>
  </cols>
  <sheetData>
    <row r="1" spans="1:11" ht="15" hidden="1" customHeight="1"/>
    <row r="2" spans="1:11" ht="18.5">
      <c r="B2" s="123" t="s">
        <v>564</v>
      </c>
      <c r="C2" s="124" t="s">
        <v>641</v>
      </c>
      <c r="D2" s="124"/>
      <c r="E2" s="124"/>
      <c r="F2" s="123"/>
      <c r="G2" s="124" t="s">
        <v>642</v>
      </c>
      <c r="H2" s="124"/>
      <c r="I2" s="124"/>
      <c r="J2" s="123"/>
      <c r="K2" s="125"/>
    </row>
    <row r="3" spans="1:11" ht="18.5">
      <c r="B3" s="124" t="s">
        <v>567</v>
      </c>
      <c r="C3" s="124"/>
      <c r="D3" s="124"/>
      <c r="E3" s="124" t="s">
        <v>568</v>
      </c>
      <c r="F3" s="124"/>
      <c r="G3" s="124"/>
      <c r="H3" s="124"/>
      <c r="I3" s="124" t="s">
        <v>568</v>
      </c>
      <c r="J3" s="124"/>
      <c r="K3" s="125"/>
    </row>
    <row r="4" spans="1:11" ht="15" hidden="1" customHeight="1">
      <c r="B4" s="125"/>
      <c r="C4" s="124"/>
      <c r="D4" s="124"/>
      <c r="E4" s="124"/>
      <c r="F4" s="124"/>
      <c r="G4" s="124"/>
      <c r="H4" s="124"/>
      <c r="I4" s="124"/>
      <c r="J4" s="124"/>
      <c r="K4" s="125"/>
    </row>
    <row r="5" spans="1:11" ht="15" hidden="1" customHeight="1">
      <c r="B5" s="125" t="s">
        <v>569</v>
      </c>
      <c r="C5" s="124"/>
      <c r="D5" s="124"/>
      <c r="E5" s="124"/>
      <c r="F5" s="124"/>
      <c r="G5" s="124"/>
      <c r="H5" s="124"/>
      <c r="I5" s="124"/>
      <c r="J5" s="124"/>
      <c r="K5" s="125"/>
    </row>
    <row r="6" spans="1:11" ht="25" customHeight="1">
      <c r="A6" s="121" t="s">
        <v>569</v>
      </c>
      <c r="B6" s="126" t="s">
        <v>570</v>
      </c>
      <c r="C6" s="127" t="s">
        <v>571</v>
      </c>
      <c r="D6" s="127" t="s">
        <v>564</v>
      </c>
      <c r="E6" s="128" t="s">
        <v>572</v>
      </c>
      <c r="F6" s="127" t="s">
        <v>19</v>
      </c>
      <c r="G6" s="127" t="s">
        <v>571</v>
      </c>
      <c r="H6" s="127" t="s">
        <v>564</v>
      </c>
      <c r="I6" s="128" t="s">
        <v>572</v>
      </c>
      <c r="J6" s="127" t="s">
        <v>19</v>
      </c>
      <c r="K6" s="127" t="s">
        <v>573</v>
      </c>
    </row>
    <row r="7" spans="1:11">
      <c r="A7" s="129" t="s">
        <v>569</v>
      </c>
      <c r="B7" s="130" t="s">
        <v>1</v>
      </c>
      <c r="C7" s="131" t="s">
        <v>569</v>
      </c>
      <c r="D7" s="131" t="s">
        <v>569</v>
      </c>
      <c r="E7" s="131" t="s">
        <v>569</v>
      </c>
      <c r="F7" s="131" t="s">
        <v>569</v>
      </c>
      <c r="G7" s="131" t="s">
        <v>569</v>
      </c>
      <c r="H7" s="131" t="s">
        <v>569</v>
      </c>
      <c r="I7" s="131" t="s">
        <v>569</v>
      </c>
      <c r="J7" s="131" t="s">
        <v>569</v>
      </c>
      <c r="K7" s="131"/>
    </row>
    <row r="8" spans="1:11">
      <c r="B8" s="132" t="s">
        <v>574</v>
      </c>
      <c r="C8" s="133">
        <v>163489</v>
      </c>
      <c r="D8" s="133">
        <v>225961</v>
      </c>
      <c r="E8" s="133">
        <v>-157139</v>
      </c>
      <c r="F8" s="133">
        <v>232311</v>
      </c>
      <c r="G8" s="133">
        <v>158437</v>
      </c>
      <c r="H8" s="133">
        <v>209920</v>
      </c>
      <c r="I8" s="133">
        <v>-158439</v>
      </c>
      <c r="J8" s="133">
        <v>209918</v>
      </c>
      <c r="K8" s="133">
        <f>F8-J8</f>
        <v>22393</v>
      </c>
    </row>
    <row r="9" spans="1:11" outlineLevel="1">
      <c r="B9" s="132" t="s">
        <v>2</v>
      </c>
      <c r="C9" s="133">
        <v>157186</v>
      </c>
      <c r="D9" s="133">
        <v>225667</v>
      </c>
      <c r="E9" s="133">
        <v>-157139</v>
      </c>
      <c r="F9" s="133">
        <v>225714</v>
      </c>
      <c r="G9" s="133">
        <v>158439</v>
      </c>
      <c r="H9" s="133">
        <v>209920</v>
      </c>
      <c r="I9" s="133">
        <v>-158439</v>
      </c>
      <c r="J9" s="133">
        <v>209920</v>
      </c>
      <c r="K9" s="133">
        <f t="shared" ref="K9:K70" si="0">F9-J9</f>
        <v>15794</v>
      </c>
    </row>
    <row r="10" spans="1:11" outlineLevel="1">
      <c r="B10" s="132" t="s">
        <v>44</v>
      </c>
      <c r="C10" s="133">
        <v>0</v>
      </c>
      <c r="D10" s="133">
        <v>0</v>
      </c>
      <c r="E10" s="133" t="s">
        <v>569</v>
      </c>
      <c r="F10" s="133">
        <v>0</v>
      </c>
      <c r="G10" s="133">
        <v>0</v>
      </c>
      <c r="H10" s="133">
        <v>0</v>
      </c>
      <c r="I10" s="133">
        <v>0</v>
      </c>
      <c r="J10" s="133">
        <v>0</v>
      </c>
      <c r="K10" s="133">
        <f t="shared" si="0"/>
        <v>0</v>
      </c>
    </row>
    <row r="11" spans="1:11" outlineLevel="1">
      <c r="B11" s="132" t="s">
        <v>45</v>
      </c>
      <c r="C11" s="133" t="s">
        <v>569</v>
      </c>
      <c r="D11" s="133" t="s">
        <v>569</v>
      </c>
      <c r="E11" s="133" t="s">
        <v>569</v>
      </c>
      <c r="F11" s="133" t="s">
        <v>569</v>
      </c>
      <c r="G11" s="133" t="s">
        <v>569</v>
      </c>
      <c r="H11" s="133" t="s">
        <v>569</v>
      </c>
      <c r="I11" s="133">
        <v>0</v>
      </c>
      <c r="J11" s="133">
        <v>0</v>
      </c>
      <c r="K11" s="133"/>
    </row>
    <row r="12" spans="1:11" outlineLevel="1">
      <c r="B12" s="132" t="s">
        <v>47</v>
      </c>
      <c r="C12" s="133">
        <v>0</v>
      </c>
      <c r="D12" s="133">
        <v>294</v>
      </c>
      <c r="E12" s="133" t="s">
        <v>569</v>
      </c>
      <c r="F12" s="133">
        <v>294</v>
      </c>
      <c r="G12" s="133">
        <v>0</v>
      </c>
      <c r="H12" s="133">
        <v>0</v>
      </c>
      <c r="I12" s="133">
        <v>0</v>
      </c>
      <c r="J12" s="133">
        <v>0</v>
      </c>
      <c r="K12" s="133">
        <f t="shared" si="0"/>
        <v>294</v>
      </c>
    </row>
    <row r="13" spans="1:11" outlineLevel="1">
      <c r="B13" s="132" t="s">
        <v>46</v>
      </c>
      <c r="C13" s="133">
        <v>-1</v>
      </c>
      <c r="D13" s="133" t="s">
        <v>569</v>
      </c>
      <c r="E13" s="133" t="s">
        <v>569</v>
      </c>
      <c r="F13" s="133">
        <v>-1</v>
      </c>
      <c r="G13" s="133">
        <v>-2</v>
      </c>
      <c r="H13" s="133" t="s">
        <v>569</v>
      </c>
      <c r="I13" s="133">
        <v>0</v>
      </c>
      <c r="J13" s="133">
        <v>-2</v>
      </c>
      <c r="K13" s="133">
        <f t="shared" si="0"/>
        <v>1</v>
      </c>
    </row>
    <row r="14" spans="1:11" outlineLevel="1">
      <c r="B14" s="132" t="s">
        <v>643</v>
      </c>
      <c r="C14" s="133">
        <v>6304</v>
      </c>
      <c r="D14" s="133" t="s">
        <v>569</v>
      </c>
      <c r="E14" s="133" t="s">
        <v>569</v>
      </c>
      <c r="F14" s="133">
        <v>6304</v>
      </c>
      <c r="G14" s="133" t="s">
        <v>569</v>
      </c>
      <c r="H14" s="133" t="s">
        <v>569</v>
      </c>
      <c r="I14" s="133">
        <v>0</v>
      </c>
      <c r="J14" s="133">
        <v>0</v>
      </c>
      <c r="K14" s="133">
        <f t="shared" si="0"/>
        <v>6304</v>
      </c>
    </row>
    <row r="15" spans="1:11">
      <c r="A15" s="129"/>
      <c r="B15" s="130" t="s">
        <v>3</v>
      </c>
      <c r="C15" s="131">
        <v>163489</v>
      </c>
      <c r="D15" s="131">
        <v>225961</v>
      </c>
      <c r="E15" s="131">
        <v>-157139</v>
      </c>
      <c r="F15" s="131">
        <v>232311</v>
      </c>
      <c r="G15" s="131">
        <v>158437</v>
      </c>
      <c r="H15" s="131">
        <v>209920</v>
      </c>
      <c r="I15" s="131">
        <v>-158439</v>
      </c>
      <c r="J15" s="131">
        <v>209918</v>
      </c>
      <c r="K15" s="133">
        <f t="shared" si="0"/>
        <v>22393</v>
      </c>
    </row>
    <row r="16" spans="1:11">
      <c r="A16" s="121" t="s">
        <v>569</v>
      </c>
      <c r="B16" s="132" t="s">
        <v>4</v>
      </c>
      <c r="C16" s="133" t="s">
        <v>569</v>
      </c>
      <c r="D16" s="133" t="s">
        <v>569</v>
      </c>
      <c r="E16" s="133" t="s">
        <v>569</v>
      </c>
      <c r="F16" s="133" t="s">
        <v>569</v>
      </c>
      <c r="G16" s="133" t="s">
        <v>569</v>
      </c>
      <c r="H16" s="133" t="s">
        <v>569</v>
      </c>
      <c r="I16" s="133" t="s">
        <v>569</v>
      </c>
      <c r="J16" s="133" t="s">
        <v>569</v>
      </c>
      <c r="K16" s="133"/>
    </row>
    <row r="17" spans="2:11" outlineLevel="1">
      <c r="B17" s="130" t="s">
        <v>575</v>
      </c>
      <c r="C17" s="133">
        <v>94790</v>
      </c>
      <c r="D17" s="133">
        <v>157139</v>
      </c>
      <c r="E17" s="133">
        <v>-157139</v>
      </c>
      <c r="F17" s="133">
        <v>94790</v>
      </c>
      <c r="G17" s="133">
        <v>92642</v>
      </c>
      <c r="H17" s="133">
        <v>158280</v>
      </c>
      <c r="I17" s="133">
        <v>-158439</v>
      </c>
      <c r="J17" s="133">
        <v>92483</v>
      </c>
      <c r="K17" s="133">
        <f t="shared" si="0"/>
        <v>2307</v>
      </c>
    </row>
    <row r="18" spans="2:11" outlineLevel="1">
      <c r="B18" s="132" t="s">
        <v>160</v>
      </c>
      <c r="C18" s="133" t="s">
        <v>569</v>
      </c>
      <c r="D18" s="133" t="s">
        <v>569</v>
      </c>
      <c r="E18" s="133" t="s">
        <v>569</v>
      </c>
      <c r="F18" s="133" t="s">
        <v>569</v>
      </c>
      <c r="G18" s="133" t="s">
        <v>569</v>
      </c>
      <c r="H18" s="133" t="s">
        <v>569</v>
      </c>
      <c r="I18" s="133">
        <v>0</v>
      </c>
      <c r="J18" s="133">
        <v>0</v>
      </c>
      <c r="K18" s="133"/>
    </row>
    <row r="19" spans="2:11" outlineLevel="1">
      <c r="B19" s="132" t="s">
        <v>49</v>
      </c>
      <c r="C19" s="133" t="s">
        <v>569</v>
      </c>
      <c r="D19" s="133">
        <v>0</v>
      </c>
      <c r="E19" s="133" t="s">
        <v>569</v>
      </c>
      <c r="F19" s="133">
        <v>0</v>
      </c>
      <c r="G19" s="133" t="s">
        <v>569</v>
      </c>
      <c r="H19" s="133">
        <v>0</v>
      </c>
      <c r="I19" s="133">
        <v>0</v>
      </c>
      <c r="J19" s="133">
        <v>0</v>
      </c>
      <c r="K19" s="133">
        <f t="shared" si="0"/>
        <v>0</v>
      </c>
    </row>
    <row r="20" spans="2:11" outlineLevel="1">
      <c r="B20" s="132" t="s">
        <v>50</v>
      </c>
      <c r="C20" s="133">
        <v>60587</v>
      </c>
      <c r="D20" s="133" t="s">
        <v>569</v>
      </c>
      <c r="E20" s="133" t="s">
        <v>569</v>
      </c>
      <c r="F20" s="133">
        <v>60587</v>
      </c>
      <c r="G20" s="133">
        <v>57391</v>
      </c>
      <c r="H20" s="133" t="s">
        <v>569</v>
      </c>
      <c r="I20" s="133">
        <v>0</v>
      </c>
      <c r="J20" s="133">
        <v>57391</v>
      </c>
      <c r="K20" s="133">
        <f t="shared" si="0"/>
        <v>3196</v>
      </c>
    </row>
    <row r="21" spans="2:11" outlineLevel="1">
      <c r="B21" s="132" t="s">
        <v>51</v>
      </c>
      <c r="C21" s="133">
        <v>33990</v>
      </c>
      <c r="D21" s="133" t="s">
        <v>569</v>
      </c>
      <c r="E21" s="133" t="s">
        <v>569</v>
      </c>
      <c r="F21" s="133">
        <v>33990</v>
      </c>
      <c r="G21" s="133">
        <v>35040</v>
      </c>
      <c r="H21" s="133" t="s">
        <v>569</v>
      </c>
      <c r="I21" s="133">
        <v>0</v>
      </c>
      <c r="J21" s="133">
        <v>35040</v>
      </c>
      <c r="K21" s="133">
        <f t="shared" si="0"/>
        <v>-1050</v>
      </c>
    </row>
    <row r="22" spans="2:11" outlineLevel="1">
      <c r="B22" s="132" t="s">
        <v>52</v>
      </c>
      <c r="C22" s="133">
        <v>213</v>
      </c>
      <c r="D22" s="133">
        <v>157139</v>
      </c>
      <c r="E22" s="133">
        <v>-157139</v>
      </c>
      <c r="F22" s="133">
        <v>213</v>
      </c>
      <c r="G22" s="133">
        <v>212</v>
      </c>
      <c r="H22" s="133">
        <v>158280</v>
      </c>
      <c r="I22" s="133">
        <v>-158439</v>
      </c>
      <c r="J22" s="133">
        <v>53</v>
      </c>
      <c r="K22" s="133">
        <f t="shared" si="0"/>
        <v>160</v>
      </c>
    </row>
    <row r="23" spans="2:11">
      <c r="B23" s="132" t="s">
        <v>53</v>
      </c>
      <c r="C23" s="133">
        <v>0</v>
      </c>
      <c r="D23" s="133" t="s">
        <v>569</v>
      </c>
      <c r="E23" s="133" t="s">
        <v>569</v>
      </c>
      <c r="F23" s="133">
        <v>0</v>
      </c>
      <c r="G23" s="133">
        <v>-1</v>
      </c>
      <c r="H23" s="133" t="s">
        <v>569</v>
      </c>
      <c r="I23" s="133">
        <v>0</v>
      </c>
      <c r="J23" s="133">
        <v>-1</v>
      </c>
      <c r="K23" s="133">
        <f t="shared" si="0"/>
        <v>1</v>
      </c>
    </row>
    <row r="24" spans="2:11" outlineLevel="1">
      <c r="B24" s="130" t="s">
        <v>576</v>
      </c>
      <c r="C24" s="133">
        <v>11261</v>
      </c>
      <c r="D24" s="133" t="s">
        <v>569</v>
      </c>
      <c r="E24" s="133" t="s">
        <v>569</v>
      </c>
      <c r="F24" s="133">
        <v>11261</v>
      </c>
      <c r="G24" s="133">
        <v>10954</v>
      </c>
      <c r="H24" s="133" t="s">
        <v>569</v>
      </c>
      <c r="I24" s="133">
        <v>0</v>
      </c>
      <c r="J24" s="133">
        <v>10954</v>
      </c>
      <c r="K24" s="133">
        <f t="shared" si="0"/>
        <v>307</v>
      </c>
    </row>
    <row r="25" spans="2:11" outlineLevel="1">
      <c r="B25" s="132" t="s">
        <v>55</v>
      </c>
      <c r="C25" s="133" t="s">
        <v>569</v>
      </c>
      <c r="D25" s="133" t="s">
        <v>569</v>
      </c>
      <c r="E25" s="133" t="s">
        <v>569</v>
      </c>
      <c r="F25" s="133" t="s">
        <v>569</v>
      </c>
      <c r="G25" s="133" t="s">
        <v>569</v>
      </c>
      <c r="H25" s="133" t="s">
        <v>569</v>
      </c>
      <c r="I25" s="133">
        <v>0</v>
      </c>
      <c r="J25" s="133">
        <v>0</v>
      </c>
      <c r="K25" s="133"/>
    </row>
    <row r="26" spans="2:11" outlineLevel="1">
      <c r="B26" s="132" t="s">
        <v>56</v>
      </c>
      <c r="C26" s="133">
        <v>396</v>
      </c>
      <c r="D26" s="133" t="s">
        <v>569</v>
      </c>
      <c r="E26" s="133" t="s">
        <v>569</v>
      </c>
      <c r="F26" s="133">
        <v>396</v>
      </c>
      <c r="G26" s="133">
        <v>369</v>
      </c>
      <c r="H26" s="133" t="s">
        <v>569</v>
      </c>
      <c r="I26" s="133">
        <v>0</v>
      </c>
      <c r="J26" s="133">
        <v>369</v>
      </c>
      <c r="K26" s="133">
        <f t="shared" si="0"/>
        <v>27</v>
      </c>
    </row>
    <row r="27" spans="2:11" outlineLevel="1">
      <c r="B27" s="132" t="s">
        <v>57</v>
      </c>
      <c r="C27" s="133">
        <v>9833</v>
      </c>
      <c r="D27" s="133" t="s">
        <v>569</v>
      </c>
      <c r="E27" s="133" t="s">
        <v>569</v>
      </c>
      <c r="F27" s="133">
        <v>9833</v>
      </c>
      <c r="G27" s="133">
        <v>9488</v>
      </c>
      <c r="H27" s="133" t="s">
        <v>569</v>
      </c>
      <c r="I27" s="133">
        <v>0</v>
      </c>
      <c r="J27" s="133">
        <v>9488</v>
      </c>
      <c r="K27" s="133">
        <f t="shared" si="0"/>
        <v>345</v>
      </c>
    </row>
    <row r="28" spans="2:11" outlineLevel="1">
      <c r="B28" s="132" t="s">
        <v>58</v>
      </c>
      <c r="C28" s="133">
        <v>381</v>
      </c>
      <c r="D28" s="133" t="s">
        <v>569</v>
      </c>
      <c r="E28" s="133" t="s">
        <v>569</v>
      </c>
      <c r="F28" s="133">
        <v>381</v>
      </c>
      <c r="G28" s="133">
        <v>365</v>
      </c>
      <c r="H28" s="133" t="s">
        <v>569</v>
      </c>
      <c r="I28" s="133">
        <v>0</v>
      </c>
      <c r="J28" s="133">
        <v>365</v>
      </c>
      <c r="K28" s="133">
        <f t="shared" si="0"/>
        <v>16</v>
      </c>
    </row>
    <row r="29" spans="2:11" outlineLevel="1">
      <c r="B29" s="132" t="s">
        <v>59</v>
      </c>
      <c r="C29" s="133" t="s">
        <v>569</v>
      </c>
      <c r="D29" s="133" t="s">
        <v>569</v>
      </c>
      <c r="E29" s="133" t="s">
        <v>569</v>
      </c>
      <c r="F29" s="133" t="s">
        <v>569</v>
      </c>
      <c r="G29" s="133" t="s">
        <v>569</v>
      </c>
      <c r="H29" s="133" t="s">
        <v>569</v>
      </c>
      <c r="I29" s="133">
        <v>0</v>
      </c>
      <c r="J29" s="133">
        <v>0</v>
      </c>
      <c r="K29" s="133"/>
    </row>
    <row r="30" spans="2:11" outlineLevel="1">
      <c r="B30" s="132" t="s">
        <v>60</v>
      </c>
      <c r="C30" s="133">
        <v>651</v>
      </c>
      <c r="D30" s="133" t="s">
        <v>569</v>
      </c>
      <c r="E30" s="133" t="s">
        <v>569</v>
      </c>
      <c r="F30" s="133">
        <v>651</v>
      </c>
      <c r="G30" s="133">
        <v>597</v>
      </c>
      <c r="H30" s="133" t="s">
        <v>569</v>
      </c>
      <c r="I30" s="133">
        <v>0</v>
      </c>
      <c r="J30" s="133">
        <v>597</v>
      </c>
      <c r="K30" s="133">
        <f t="shared" si="0"/>
        <v>54</v>
      </c>
    </row>
    <row r="31" spans="2:11" outlineLevel="1">
      <c r="B31" s="132" t="s">
        <v>61</v>
      </c>
      <c r="C31" s="133">
        <v>0</v>
      </c>
      <c r="D31" s="133" t="s">
        <v>569</v>
      </c>
      <c r="E31" s="133" t="s">
        <v>569</v>
      </c>
      <c r="F31" s="133">
        <v>0</v>
      </c>
      <c r="G31" s="133">
        <v>8</v>
      </c>
      <c r="H31" s="133" t="s">
        <v>569</v>
      </c>
      <c r="I31" s="133">
        <v>0</v>
      </c>
      <c r="J31" s="133">
        <v>8</v>
      </c>
      <c r="K31" s="133">
        <f t="shared" si="0"/>
        <v>-8</v>
      </c>
    </row>
    <row r="32" spans="2:11" outlineLevel="1">
      <c r="B32" s="132" t="s">
        <v>62</v>
      </c>
      <c r="C32" s="133" t="s">
        <v>569</v>
      </c>
      <c r="D32" s="133" t="s">
        <v>569</v>
      </c>
      <c r="E32" s="133" t="s">
        <v>569</v>
      </c>
      <c r="F32" s="133" t="s">
        <v>569</v>
      </c>
      <c r="G32" s="133" t="s">
        <v>569</v>
      </c>
      <c r="H32" s="133" t="s">
        <v>569</v>
      </c>
      <c r="I32" s="133">
        <v>0</v>
      </c>
      <c r="J32" s="133">
        <v>0</v>
      </c>
      <c r="K32" s="133"/>
    </row>
    <row r="33" spans="2:11">
      <c r="B33" s="132" t="s">
        <v>557</v>
      </c>
      <c r="C33" s="133">
        <v>0</v>
      </c>
      <c r="D33" s="133" t="s">
        <v>569</v>
      </c>
      <c r="E33" s="133" t="s">
        <v>569</v>
      </c>
      <c r="F33" s="133">
        <v>0</v>
      </c>
      <c r="G33" s="133">
        <v>127</v>
      </c>
      <c r="H33" s="133" t="s">
        <v>569</v>
      </c>
      <c r="I33" s="133">
        <v>0</v>
      </c>
      <c r="J33" s="133">
        <v>127</v>
      </c>
      <c r="K33" s="133">
        <f t="shared" si="0"/>
        <v>-127</v>
      </c>
    </row>
    <row r="34" spans="2:11" outlineLevel="1">
      <c r="B34" s="130" t="s">
        <v>577</v>
      </c>
      <c r="C34" s="133">
        <v>15275</v>
      </c>
      <c r="D34" s="133">
        <v>0</v>
      </c>
      <c r="E34" s="133" t="s">
        <v>569</v>
      </c>
      <c r="F34" s="133">
        <v>15275</v>
      </c>
      <c r="G34" s="133">
        <v>14229</v>
      </c>
      <c r="H34" s="133">
        <v>3000</v>
      </c>
      <c r="I34" s="133">
        <v>0</v>
      </c>
      <c r="J34" s="133">
        <v>17229</v>
      </c>
      <c r="K34" s="133">
        <f t="shared" si="0"/>
        <v>-1954</v>
      </c>
    </row>
    <row r="35" spans="2:11" outlineLevel="1">
      <c r="B35" s="132" t="s">
        <v>64</v>
      </c>
      <c r="C35" s="133" t="s">
        <v>569</v>
      </c>
      <c r="D35" s="133" t="s">
        <v>569</v>
      </c>
      <c r="E35" s="133" t="s">
        <v>569</v>
      </c>
      <c r="F35" s="133" t="s">
        <v>569</v>
      </c>
      <c r="G35" s="133" t="s">
        <v>569</v>
      </c>
      <c r="H35" s="133" t="s">
        <v>569</v>
      </c>
      <c r="I35" s="133">
        <v>0</v>
      </c>
      <c r="J35" s="133">
        <v>0</v>
      </c>
      <c r="K35" s="133"/>
    </row>
    <row r="36" spans="2:11" outlineLevel="1">
      <c r="B36" s="132" t="s">
        <v>65</v>
      </c>
      <c r="C36" s="133">
        <v>3476</v>
      </c>
      <c r="D36" s="133" t="s">
        <v>569</v>
      </c>
      <c r="E36" s="133" t="s">
        <v>569</v>
      </c>
      <c r="F36" s="133">
        <v>3476</v>
      </c>
      <c r="G36" s="133">
        <v>2663</v>
      </c>
      <c r="H36" s="133" t="s">
        <v>569</v>
      </c>
      <c r="I36" s="133">
        <v>0</v>
      </c>
      <c r="J36" s="133">
        <v>2663</v>
      </c>
      <c r="K36" s="133">
        <f t="shared" si="0"/>
        <v>813</v>
      </c>
    </row>
    <row r="37" spans="2:11" outlineLevel="1">
      <c r="B37" s="132" t="s">
        <v>66</v>
      </c>
      <c r="C37" s="133" t="s">
        <v>569</v>
      </c>
      <c r="D37" s="133" t="s">
        <v>569</v>
      </c>
      <c r="E37" s="133" t="s">
        <v>569</v>
      </c>
      <c r="F37" s="133" t="s">
        <v>569</v>
      </c>
      <c r="G37" s="133" t="s">
        <v>569</v>
      </c>
      <c r="H37" s="133" t="s">
        <v>569</v>
      </c>
      <c r="I37" s="133">
        <v>0</v>
      </c>
      <c r="J37" s="133">
        <v>0</v>
      </c>
      <c r="K37" s="133"/>
    </row>
    <row r="38" spans="2:11" outlineLevel="1">
      <c r="B38" s="132" t="s">
        <v>67</v>
      </c>
      <c r="C38" s="133">
        <v>727</v>
      </c>
      <c r="D38" s="133" t="s">
        <v>569</v>
      </c>
      <c r="E38" s="133" t="s">
        <v>569</v>
      </c>
      <c r="F38" s="133">
        <v>727</v>
      </c>
      <c r="G38" s="133">
        <v>719</v>
      </c>
      <c r="H38" s="133" t="s">
        <v>569</v>
      </c>
      <c r="I38" s="133">
        <v>0</v>
      </c>
      <c r="J38" s="133">
        <v>719</v>
      </c>
      <c r="K38" s="133">
        <f t="shared" si="0"/>
        <v>8</v>
      </c>
    </row>
    <row r="39" spans="2:11" outlineLevel="1">
      <c r="B39" s="132" t="s">
        <v>68</v>
      </c>
      <c r="C39" s="133">
        <v>4210</v>
      </c>
      <c r="D39" s="133" t="s">
        <v>569</v>
      </c>
      <c r="E39" s="133" t="s">
        <v>569</v>
      </c>
      <c r="F39" s="133">
        <v>4210</v>
      </c>
      <c r="G39" s="133">
        <v>4162</v>
      </c>
      <c r="H39" s="133" t="s">
        <v>569</v>
      </c>
      <c r="I39" s="133">
        <v>0</v>
      </c>
      <c r="J39" s="133">
        <v>4162</v>
      </c>
      <c r="K39" s="133">
        <f t="shared" si="0"/>
        <v>48</v>
      </c>
    </row>
    <row r="40" spans="2:11" outlineLevel="1">
      <c r="B40" s="132" t="s">
        <v>69</v>
      </c>
      <c r="C40" s="133">
        <v>2049</v>
      </c>
      <c r="D40" s="133" t="s">
        <v>569</v>
      </c>
      <c r="E40" s="133" t="s">
        <v>569</v>
      </c>
      <c r="F40" s="133">
        <v>2049</v>
      </c>
      <c r="G40" s="133">
        <v>1924</v>
      </c>
      <c r="H40" s="133" t="s">
        <v>569</v>
      </c>
      <c r="I40" s="133">
        <v>0</v>
      </c>
      <c r="J40" s="133">
        <v>1924</v>
      </c>
      <c r="K40" s="133">
        <f t="shared" si="0"/>
        <v>125</v>
      </c>
    </row>
    <row r="41" spans="2:11" outlineLevel="1">
      <c r="B41" s="132" t="s">
        <v>71</v>
      </c>
      <c r="C41" s="133">
        <v>293</v>
      </c>
      <c r="D41" s="133" t="s">
        <v>569</v>
      </c>
      <c r="E41" s="133" t="s">
        <v>569</v>
      </c>
      <c r="F41" s="133">
        <v>293</v>
      </c>
      <c r="G41" s="133">
        <v>290</v>
      </c>
      <c r="H41" s="133" t="s">
        <v>569</v>
      </c>
      <c r="I41" s="133">
        <v>0</v>
      </c>
      <c r="J41" s="133">
        <v>290</v>
      </c>
      <c r="K41" s="133">
        <f t="shared" si="0"/>
        <v>3</v>
      </c>
    </row>
    <row r="42" spans="2:11" outlineLevel="1">
      <c r="B42" s="132" t="s">
        <v>72</v>
      </c>
      <c r="C42" s="133">
        <v>4255</v>
      </c>
      <c r="D42" s="133" t="s">
        <v>569</v>
      </c>
      <c r="E42" s="133" t="s">
        <v>569</v>
      </c>
      <c r="F42" s="133">
        <v>4255</v>
      </c>
      <c r="G42" s="133">
        <v>4207</v>
      </c>
      <c r="H42" s="133" t="s">
        <v>569</v>
      </c>
      <c r="I42" s="133">
        <v>0</v>
      </c>
      <c r="J42" s="133">
        <v>4207</v>
      </c>
      <c r="K42" s="133">
        <f t="shared" si="0"/>
        <v>48</v>
      </c>
    </row>
    <row r="43" spans="2:11" outlineLevel="1">
      <c r="B43" s="132" t="s">
        <v>73</v>
      </c>
      <c r="C43" s="133">
        <v>266</v>
      </c>
      <c r="D43" s="133">
        <v>0</v>
      </c>
      <c r="E43" s="133" t="s">
        <v>569</v>
      </c>
      <c r="F43" s="133">
        <v>266</v>
      </c>
      <c r="G43" s="133">
        <v>263</v>
      </c>
      <c r="H43" s="133">
        <v>3000</v>
      </c>
      <c r="I43" s="133">
        <v>0</v>
      </c>
      <c r="J43" s="133">
        <v>3263</v>
      </c>
      <c r="K43" s="133">
        <f t="shared" si="0"/>
        <v>-2997</v>
      </c>
    </row>
    <row r="44" spans="2:11">
      <c r="B44" s="132" t="s">
        <v>70</v>
      </c>
      <c r="C44" s="133" t="s">
        <v>569</v>
      </c>
      <c r="D44" s="133" t="s">
        <v>569</v>
      </c>
      <c r="E44" s="133" t="s">
        <v>569</v>
      </c>
      <c r="F44" s="133" t="s">
        <v>569</v>
      </c>
      <c r="G44" s="133" t="s">
        <v>569</v>
      </c>
      <c r="H44" s="133" t="s">
        <v>569</v>
      </c>
      <c r="I44" s="133">
        <v>0</v>
      </c>
      <c r="J44" s="133">
        <v>0</v>
      </c>
      <c r="K44" s="133"/>
    </row>
    <row r="45" spans="2:11" outlineLevel="1">
      <c r="B45" s="130" t="s">
        <v>578</v>
      </c>
      <c r="C45" s="133">
        <v>1806</v>
      </c>
      <c r="D45" s="133">
        <v>908</v>
      </c>
      <c r="E45" s="133" t="s">
        <v>569</v>
      </c>
      <c r="F45" s="133">
        <v>2713</v>
      </c>
      <c r="G45" s="133">
        <v>1464</v>
      </c>
      <c r="H45" s="133">
        <v>875</v>
      </c>
      <c r="I45" s="133">
        <v>0</v>
      </c>
      <c r="J45" s="133">
        <v>2339</v>
      </c>
      <c r="K45" s="133">
        <f t="shared" si="0"/>
        <v>374</v>
      </c>
    </row>
    <row r="46" spans="2:11" outlineLevel="1">
      <c r="B46" s="132" t="s">
        <v>75</v>
      </c>
      <c r="C46" s="133" t="s">
        <v>569</v>
      </c>
      <c r="D46" s="133">
        <v>329</v>
      </c>
      <c r="E46" s="133" t="s">
        <v>569</v>
      </c>
      <c r="F46" s="133">
        <v>329</v>
      </c>
      <c r="G46" s="133" t="s">
        <v>569</v>
      </c>
      <c r="H46" s="133">
        <v>285</v>
      </c>
      <c r="I46" s="133">
        <v>0</v>
      </c>
      <c r="J46" s="133">
        <v>285</v>
      </c>
      <c r="K46" s="133">
        <f t="shared" si="0"/>
        <v>44</v>
      </c>
    </row>
    <row r="47" spans="2:11" outlineLevel="1">
      <c r="B47" s="132" t="s">
        <v>76</v>
      </c>
      <c r="C47" s="133" t="s">
        <v>569</v>
      </c>
      <c r="D47" s="133">
        <v>366</v>
      </c>
      <c r="E47" s="133" t="s">
        <v>569</v>
      </c>
      <c r="F47" s="133">
        <v>366</v>
      </c>
      <c r="G47" s="133" t="s">
        <v>569</v>
      </c>
      <c r="H47" s="133">
        <v>377</v>
      </c>
      <c r="I47" s="133">
        <v>0</v>
      </c>
      <c r="J47" s="133">
        <v>377</v>
      </c>
      <c r="K47" s="133">
        <f t="shared" si="0"/>
        <v>-11</v>
      </c>
    </row>
    <row r="48" spans="2:11" outlineLevel="1">
      <c r="B48" s="132" t="s">
        <v>79</v>
      </c>
      <c r="C48" s="133">
        <v>473</v>
      </c>
      <c r="D48" s="133">
        <v>213</v>
      </c>
      <c r="E48" s="133" t="s">
        <v>569</v>
      </c>
      <c r="F48" s="133">
        <v>686</v>
      </c>
      <c r="G48" s="133">
        <v>688</v>
      </c>
      <c r="H48" s="133">
        <v>213</v>
      </c>
      <c r="I48" s="133">
        <v>0</v>
      </c>
      <c r="J48" s="133">
        <v>901</v>
      </c>
      <c r="K48" s="133">
        <f t="shared" si="0"/>
        <v>-215</v>
      </c>
    </row>
    <row r="49" spans="2:11" outlineLevel="1">
      <c r="B49" s="132" t="s">
        <v>74</v>
      </c>
      <c r="C49" s="133">
        <v>28</v>
      </c>
      <c r="D49" s="133" t="s">
        <v>569</v>
      </c>
      <c r="E49" s="133" t="s">
        <v>569</v>
      </c>
      <c r="F49" s="133">
        <v>28</v>
      </c>
      <c r="G49" s="133">
        <v>27</v>
      </c>
      <c r="H49" s="133" t="s">
        <v>569</v>
      </c>
      <c r="I49" s="133">
        <v>0</v>
      </c>
      <c r="J49" s="133">
        <v>27</v>
      </c>
      <c r="K49" s="133">
        <f t="shared" si="0"/>
        <v>1</v>
      </c>
    </row>
    <row r="50" spans="2:11" outlineLevel="1">
      <c r="B50" s="132" t="s">
        <v>80</v>
      </c>
      <c r="C50" s="133">
        <v>208</v>
      </c>
      <c r="D50" s="133" t="s">
        <v>569</v>
      </c>
      <c r="E50" s="133" t="s">
        <v>569</v>
      </c>
      <c r="F50" s="133">
        <v>208</v>
      </c>
      <c r="G50" s="133">
        <v>210</v>
      </c>
      <c r="H50" s="133" t="s">
        <v>569</v>
      </c>
      <c r="I50" s="133">
        <v>0</v>
      </c>
      <c r="J50" s="133">
        <v>210</v>
      </c>
      <c r="K50" s="133">
        <f t="shared" si="0"/>
        <v>-2</v>
      </c>
    </row>
    <row r="51" spans="2:11">
      <c r="B51" s="132" t="s">
        <v>579</v>
      </c>
      <c r="C51" s="133">
        <v>1097</v>
      </c>
      <c r="D51" s="133" t="s">
        <v>569</v>
      </c>
      <c r="E51" s="133" t="s">
        <v>569</v>
      </c>
      <c r="F51" s="133">
        <v>1097</v>
      </c>
      <c r="G51" s="133">
        <v>539</v>
      </c>
      <c r="H51" s="133" t="s">
        <v>569</v>
      </c>
      <c r="I51" s="133">
        <v>0</v>
      </c>
      <c r="J51" s="133">
        <v>539</v>
      </c>
      <c r="K51" s="133">
        <f t="shared" si="0"/>
        <v>558</v>
      </c>
    </row>
    <row r="52" spans="2:11" outlineLevel="1">
      <c r="B52" s="130" t="s">
        <v>580</v>
      </c>
      <c r="C52" s="133">
        <v>5760</v>
      </c>
      <c r="D52" s="133" t="s">
        <v>569</v>
      </c>
      <c r="E52" s="133" t="s">
        <v>569</v>
      </c>
      <c r="F52" s="133">
        <v>5760</v>
      </c>
      <c r="G52" s="133">
        <v>4254</v>
      </c>
      <c r="H52" s="133" t="s">
        <v>569</v>
      </c>
      <c r="I52" s="133">
        <v>0</v>
      </c>
      <c r="J52" s="133">
        <v>4254</v>
      </c>
      <c r="K52" s="133">
        <f t="shared" si="0"/>
        <v>1506</v>
      </c>
    </row>
    <row r="53" spans="2:11">
      <c r="B53" s="130" t="s">
        <v>82</v>
      </c>
      <c r="C53" s="133">
        <v>5760</v>
      </c>
      <c r="D53" s="133" t="s">
        <v>569</v>
      </c>
      <c r="E53" s="133" t="s">
        <v>569</v>
      </c>
      <c r="F53" s="133">
        <v>5760</v>
      </c>
      <c r="G53" s="133">
        <v>4254</v>
      </c>
      <c r="H53" s="133" t="s">
        <v>569</v>
      </c>
      <c r="I53" s="133">
        <v>0</v>
      </c>
      <c r="J53" s="133">
        <v>4254</v>
      </c>
      <c r="K53" s="133">
        <f t="shared" si="0"/>
        <v>1506</v>
      </c>
    </row>
    <row r="54" spans="2:11" outlineLevel="1">
      <c r="B54" s="130" t="s">
        <v>581</v>
      </c>
      <c r="C54" s="133">
        <v>8196</v>
      </c>
      <c r="D54" s="133">
        <v>10333</v>
      </c>
      <c r="E54" s="133" t="s">
        <v>569</v>
      </c>
      <c r="F54" s="133">
        <v>18529</v>
      </c>
      <c r="G54" s="133">
        <v>5117</v>
      </c>
      <c r="H54" s="133">
        <v>17533</v>
      </c>
      <c r="I54" s="133">
        <v>0</v>
      </c>
      <c r="J54" s="133">
        <v>22650</v>
      </c>
      <c r="K54" s="133">
        <f t="shared" si="0"/>
        <v>-4121</v>
      </c>
    </row>
    <row r="55" spans="2:11" outlineLevel="1">
      <c r="B55" s="132" t="s">
        <v>84</v>
      </c>
      <c r="C55" s="133" t="s">
        <v>569</v>
      </c>
      <c r="D55" s="133" t="s">
        <v>569</v>
      </c>
      <c r="E55" s="133" t="s">
        <v>569</v>
      </c>
      <c r="F55" s="133" t="s">
        <v>569</v>
      </c>
      <c r="G55" s="133" t="s">
        <v>569</v>
      </c>
      <c r="H55" s="133" t="s">
        <v>569</v>
      </c>
      <c r="I55" s="133">
        <v>0</v>
      </c>
      <c r="J55" s="133">
        <v>0</v>
      </c>
      <c r="K55" s="133"/>
    </row>
    <row r="56" spans="2:11" outlineLevel="1">
      <c r="B56" s="132" t="s">
        <v>85</v>
      </c>
      <c r="C56" s="133" t="s">
        <v>569</v>
      </c>
      <c r="D56" s="133" t="s">
        <v>569</v>
      </c>
      <c r="E56" s="133" t="s">
        <v>569</v>
      </c>
      <c r="F56" s="133" t="s">
        <v>569</v>
      </c>
      <c r="G56" s="133" t="s">
        <v>569</v>
      </c>
      <c r="H56" s="133" t="s">
        <v>569</v>
      </c>
      <c r="I56" s="133">
        <v>0</v>
      </c>
      <c r="J56" s="133">
        <v>0</v>
      </c>
      <c r="K56" s="133"/>
    </row>
    <row r="57" spans="2:11" outlineLevel="1">
      <c r="B57" s="132" t="s">
        <v>86</v>
      </c>
      <c r="C57" s="133" t="s">
        <v>569</v>
      </c>
      <c r="D57" s="133" t="s">
        <v>569</v>
      </c>
      <c r="E57" s="133" t="s">
        <v>569</v>
      </c>
      <c r="F57" s="133" t="s">
        <v>569</v>
      </c>
      <c r="G57" s="133" t="s">
        <v>569</v>
      </c>
      <c r="H57" s="133" t="s">
        <v>569</v>
      </c>
      <c r="I57" s="133">
        <v>0</v>
      </c>
      <c r="J57" s="133">
        <v>0</v>
      </c>
      <c r="K57" s="133"/>
    </row>
    <row r="58" spans="2:11" outlineLevel="1">
      <c r="B58" s="132" t="s">
        <v>88</v>
      </c>
      <c r="C58" s="133">
        <v>802</v>
      </c>
      <c r="D58" s="133" t="s">
        <v>569</v>
      </c>
      <c r="E58" s="133" t="s">
        <v>569</v>
      </c>
      <c r="F58" s="133">
        <v>802</v>
      </c>
      <c r="G58" s="133">
        <v>427</v>
      </c>
      <c r="H58" s="133" t="s">
        <v>569</v>
      </c>
      <c r="I58" s="133">
        <v>0</v>
      </c>
      <c r="J58" s="133">
        <v>427</v>
      </c>
      <c r="K58" s="133">
        <f t="shared" si="0"/>
        <v>375</v>
      </c>
    </row>
    <row r="59" spans="2:11" outlineLevel="1">
      <c r="B59" s="132" t="s">
        <v>89</v>
      </c>
      <c r="C59" s="133" t="s">
        <v>569</v>
      </c>
      <c r="D59" s="133" t="s">
        <v>569</v>
      </c>
      <c r="E59" s="133" t="s">
        <v>569</v>
      </c>
      <c r="F59" s="133" t="s">
        <v>569</v>
      </c>
      <c r="G59" s="133" t="s">
        <v>569</v>
      </c>
      <c r="H59" s="133" t="s">
        <v>569</v>
      </c>
      <c r="I59" s="133">
        <v>0</v>
      </c>
      <c r="J59" s="133">
        <v>0</v>
      </c>
      <c r="K59" s="133"/>
    </row>
    <row r="60" spans="2:11" outlineLevel="1">
      <c r="B60" s="132" t="s">
        <v>90</v>
      </c>
      <c r="C60" s="133" t="s">
        <v>569</v>
      </c>
      <c r="D60" s="133" t="s">
        <v>569</v>
      </c>
      <c r="E60" s="133" t="s">
        <v>569</v>
      </c>
      <c r="F60" s="133" t="s">
        <v>569</v>
      </c>
      <c r="G60" s="133" t="s">
        <v>569</v>
      </c>
      <c r="H60" s="133" t="s">
        <v>569</v>
      </c>
      <c r="I60" s="133">
        <v>0</v>
      </c>
      <c r="J60" s="133">
        <v>0</v>
      </c>
      <c r="K60" s="133"/>
    </row>
    <row r="61" spans="2:11" outlineLevel="1">
      <c r="B61" s="132" t="s">
        <v>91</v>
      </c>
      <c r="C61" s="133">
        <v>4401</v>
      </c>
      <c r="D61" s="133" t="s">
        <v>569</v>
      </c>
      <c r="E61" s="133" t="s">
        <v>569</v>
      </c>
      <c r="F61" s="133">
        <v>4401</v>
      </c>
      <c r="G61" s="133">
        <v>1873</v>
      </c>
      <c r="H61" s="133" t="s">
        <v>569</v>
      </c>
      <c r="I61" s="133">
        <v>0</v>
      </c>
      <c r="J61" s="133">
        <v>1873</v>
      </c>
      <c r="K61" s="133">
        <f t="shared" si="0"/>
        <v>2528</v>
      </c>
    </row>
    <row r="62" spans="2:11" outlineLevel="1">
      <c r="B62" s="132" t="s">
        <v>93</v>
      </c>
      <c r="C62" s="133" t="s">
        <v>569</v>
      </c>
      <c r="D62" s="133" t="s">
        <v>569</v>
      </c>
      <c r="E62" s="133" t="s">
        <v>569</v>
      </c>
      <c r="F62" s="133" t="s">
        <v>569</v>
      </c>
      <c r="G62" s="133" t="s">
        <v>569</v>
      </c>
      <c r="H62" s="133" t="s">
        <v>569</v>
      </c>
      <c r="I62" s="133">
        <v>0</v>
      </c>
      <c r="J62" s="133">
        <v>0</v>
      </c>
      <c r="K62" s="133"/>
    </row>
    <row r="63" spans="2:11" outlineLevel="1">
      <c r="B63" s="132" t="s">
        <v>94</v>
      </c>
      <c r="C63" s="133" t="s">
        <v>569</v>
      </c>
      <c r="D63" s="133" t="s">
        <v>569</v>
      </c>
      <c r="E63" s="133" t="s">
        <v>569</v>
      </c>
      <c r="F63" s="133" t="s">
        <v>569</v>
      </c>
      <c r="G63" s="133" t="s">
        <v>569</v>
      </c>
      <c r="H63" s="133" t="s">
        <v>569</v>
      </c>
      <c r="I63" s="133">
        <v>0</v>
      </c>
      <c r="J63" s="133">
        <v>0</v>
      </c>
      <c r="K63" s="133"/>
    </row>
    <row r="64" spans="2:11" outlineLevel="1">
      <c r="B64" s="132" t="s">
        <v>95</v>
      </c>
      <c r="C64" s="133">
        <v>2993</v>
      </c>
      <c r="D64" s="133" t="s">
        <v>569</v>
      </c>
      <c r="E64" s="133" t="s">
        <v>569</v>
      </c>
      <c r="F64" s="133">
        <v>2993</v>
      </c>
      <c r="G64" s="133">
        <v>2818</v>
      </c>
      <c r="H64" s="133" t="s">
        <v>569</v>
      </c>
      <c r="I64" s="133">
        <v>0</v>
      </c>
      <c r="J64" s="133">
        <v>2818</v>
      </c>
      <c r="K64" s="133">
        <f t="shared" si="0"/>
        <v>175</v>
      </c>
    </row>
    <row r="65" spans="1:11">
      <c r="B65" s="132" t="s">
        <v>77</v>
      </c>
      <c r="C65" s="133" t="s">
        <v>569</v>
      </c>
      <c r="D65" s="133">
        <v>10333</v>
      </c>
      <c r="E65" s="133" t="s">
        <v>569</v>
      </c>
      <c r="F65" s="133">
        <v>10333</v>
      </c>
      <c r="G65" s="133" t="s">
        <v>569</v>
      </c>
      <c r="H65" s="133">
        <v>17533</v>
      </c>
      <c r="I65" s="133">
        <v>0</v>
      </c>
      <c r="J65" s="133">
        <v>17533</v>
      </c>
      <c r="K65" s="133">
        <f t="shared" si="0"/>
        <v>-7200</v>
      </c>
    </row>
    <row r="66" spans="1:11">
      <c r="A66" s="129"/>
      <c r="B66" s="130" t="s">
        <v>10</v>
      </c>
      <c r="C66" s="131">
        <v>137087</v>
      </c>
      <c r="D66" s="131">
        <v>168380</v>
      </c>
      <c r="E66" s="131">
        <v>-157139</v>
      </c>
      <c r="F66" s="131">
        <v>148327</v>
      </c>
      <c r="G66" s="131">
        <v>128659</v>
      </c>
      <c r="H66" s="131">
        <v>179688</v>
      </c>
      <c r="I66" s="131">
        <v>-158439</v>
      </c>
      <c r="J66" s="131">
        <v>149908</v>
      </c>
      <c r="K66" s="133">
        <f t="shared" si="0"/>
        <v>-1581</v>
      </c>
    </row>
    <row r="67" spans="1:11">
      <c r="A67" s="129" t="s">
        <v>569</v>
      </c>
      <c r="B67" s="130" t="s">
        <v>582</v>
      </c>
      <c r="C67" s="131">
        <v>26402</v>
      </c>
      <c r="D67" s="131">
        <v>57581</v>
      </c>
      <c r="E67" s="131">
        <v>0</v>
      </c>
      <c r="F67" s="131">
        <v>83983</v>
      </c>
      <c r="G67" s="131">
        <v>29777</v>
      </c>
      <c r="H67" s="131">
        <v>30232</v>
      </c>
      <c r="I67" s="131">
        <v>0</v>
      </c>
      <c r="J67" s="131">
        <v>60010</v>
      </c>
      <c r="K67" s="133">
        <f t="shared" si="0"/>
        <v>23973</v>
      </c>
    </row>
    <row r="68" spans="1:11">
      <c r="A68" s="129" t="s">
        <v>569</v>
      </c>
      <c r="B68" s="130" t="s">
        <v>12</v>
      </c>
      <c r="C68" s="131" t="s">
        <v>644</v>
      </c>
      <c r="D68" s="131" t="s">
        <v>645</v>
      </c>
      <c r="E68" s="131">
        <v>0</v>
      </c>
      <c r="F68" s="131" t="s">
        <v>601</v>
      </c>
      <c r="G68" s="131" t="s">
        <v>633</v>
      </c>
      <c r="H68" s="131" t="s">
        <v>624</v>
      </c>
      <c r="I68" s="131">
        <v>0</v>
      </c>
      <c r="J68" s="131" t="s">
        <v>623</v>
      </c>
      <c r="K68" s="133">
        <f t="shared" si="0"/>
        <v>7.0000000000000007E-2</v>
      </c>
    </row>
    <row r="69" spans="1:11">
      <c r="A69" s="121" t="s">
        <v>569</v>
      </c>
      <c r="B69" s="132" t="s">
        <v>13</v>
      </c>
      <c r="C69" s="133" t="s">
        <v>569</v>
      </c>
      <c r="D69" s="133" t="s">
        <v>569</v>
      </c>
      <c r="E69" s="133" t="s">
        <v>569</v>
      </c>
      <c r="F69" s="133" t="s">
        <v>569</v>
      </c>
      <c r="G69" s="133" t="s">
        <v>569</v>
      </c>
      <c r="H69" s="133" t="s">
        <v>569</v>
      </c>
      <c r="I69" s="133" t="s">
        <v>569</v>
      </c>
      <c r="J69" s="133" t="s">
        <v>569</v>
      </c>
      <c r="K69" s="133"/>
    </row>
    <row r="70" spans="1:11" outlineLevel="1">
      <c r="B70" s="130" t="s">
        <v>589</v>
      </c>
      <c r="C70" s="133">
        <v>5596</v>
      </c>
      <c r="D70" s="133">
        <v>1083</v>
      </c>
      <c r="E70" s="133" t="s">
        <v>569</v>
      </c>
      <c r="F70" s="133">
        <v>6679</v>
      </c>
      <c r="G70" s="133">
        <v>1358</v>
      </c>
      <c r="H70" s="133">
        <v>1132</v>
      </c>
      <c r="I70" s="133">
        <v>0</v>
      </c>
      <c r="J70" s="133">
        <v>2490</v>
      </c>
      <c r="K70" s="133">
        <f t="shared" si="0"/>
        <v>4189</v>
      </c>
    </row>
    <row r="71" spans="1:11" outlineLevel="1">
      <c r="B71" s="132" t="s">
        <v>96</v>
      </c>
      <c r="C71" s="133" t="s">
        <v>569</v>
      </c>
      <c r="D71" s="133" t="s">
        <v>569</v>
      </c>
      <c r="E71" s="133" t="s">
        <v>569</v>
      </c>
      <c r="F71" s="133" t="s">
        <v>569</v>
      </c>
      <c r="G71" s="133" t="s">
        <v>569</v>
      </c>
      <c r="H71" s="133" t="s">
        <v>569</v>
      </c>
      <c r="I71" s="133">
        <v>0</v>
      </c>
      <c r="J71" s="133">
        <v>0</v>
      </c>
      <c r="K71" s="133"/>
    </row>
    <row r="72" spans="1:11" outlineLevel="1">
      <c r="B72" s="132" t="s">
        <v>97</v>
      </c>
      <c r="C72" s="133" t="s">
        <v>569</v>
      </c>
      <c r="D72" s="133" t="s">
        <v>569</v>
      </c>
      <c r="E72" s="133" t="s">
        <v>569</v>
      </c>
      <c r="F72" s="133" t="s">
        <v>569</v>
      </c>
      <c r="G72" s="133" t="s">
        <v>569</v>
      </c>
      <c r="H72" s="133" t="s">
        <v>569</v>
      </c>
      <c r="I72" s="133">
        <v>0</v>
      </c>
      <c r="J72" s="133">
        <v>0</v>
      </c>
      <c r="K72" s="133"/>
    </row>
    <row r="73" spans="1:11" outlineLevel="1">
      <c r="B73" s="132" t="s">
        <v>98</v>
      </c>
      <c r="C73" s="133">
        <v>1314</v>
      </c>
      <c r="D73" s="133" t="s">
        <v>569</v>
      </c>
      <c r="E73" s="133" t="s">
        <v>569</v>
      </c>
      <c r="F73" s="133">
        <v>1314</v>
      </c>
      <c r="G73" s="133" t="s">
        <v>569</v>
      </c>
      <c r="H73" s="133" t="s">
        <v>569</v>
      </c>
      <c r="I73" s="133">
        <v>0</v>
      </c>
      <c r="J73" s="133">
        <v>0</v>
      </c>
      <c r="K73" s="133">
        <f t="shared" ref="K73:K135" si="1">F73-J73</f>
        <v>1314</v>
      </c>
    </row>
    <row r="74" spans="1:11" outlineLevel="1">
      <c r="B74" s="132" t="s">
        <v>99</v>
      </c>
      <c r="C74" s="133">
        <v>3194</v>
      </c>
      <c r="D74" s="133">
        <v>0</v>
      </c>
      <c r="E74" s="133" t="s">
        <v>569</v>
      </c>
      <c r="F74" s="133">
        <v>3194</v>
      </c>
      <c r="G74" s="133">
        <v>269</v>
      </c>
      <c r="H74" s="133">
        <v>49</v>
      </c>
      <c r="I74" s="133">
        <v>0</v>
      </c>
      <c r="J74" s="133">
        <v>318</v>
      </c>
      <c r="K74" s="133">
        <f t="shared" si="1"/>
        <v>2876</v>
      </c>
    </row>
    <row r="75" spans="1:11" outlineLevel="1">
      <c r="B75" s="132" t="s">
        <v>100</v>
      </c>
      <c r="C75" s="133" t="s">
        <v>569</v>
      </c>
      <c r="D75" s="133" t="s">
        <v>569</v>
      </c>
      <c r="E75" s="133" t="s">
        <v>569</v>
      </c>
      <c r="F75" s="133" t="s">
        <v>569</v>
      </c>
      <c r="G75" s="133" t="s">
        <v>569</v>
      </c>
      <c r="H75" s="133" t="s">
        <v>569</v>
      </c>
      <c r="I75" s="133">
        <v>0</v>
      </c>
      <c r="J75" s="133">
        <v>0</v>
      </c>
      <c r="K75" s="133"/>
    </row>
    <row r="76" spans="1:11" outlineLevel="1">
      <c r="B76" s="132" t="s">
        <v>590</v>
      </c>
      <c r="C76" s="133" t="s">
        <v>569</v>
      </c>
      <c r="D76" s="133" t="s">
        <v>569</v>
      </c>
      <c r="E76" s="133" t="s">
        <v>569</v>
      </c>
      <c r="F76" s="133" t="s">
        <v>569</v>
      </c>
      <c r="G76" s="133" t="s">
        <v>569</v>
      </c>
      <c r="H76" s="133" t="s">
        <v>569</v>
      </c>
      <c r="I76" s="133">
        <v>0</v>
      </c>
      <c r="J76" s="133">
        <v>0</v>
      </c>
      <c r="K76" s="133"/>
    </row>
    <row r="77" spans="1:11" outlineLevel="1">
      <c r="B77" s="132" t="s">
        <v>102</v>
      </c>
      <c r="C77" s="133" t="s">
        <v>569</v>
      </c>
      <c r="D77" s="133" t="s">
        <v>569</v>
      </c>
      <c r="E77" s="133" t="s">
        <v>569</v>
      </c>
      <c r="F77" s="133" t="s">
        <v>569</v>
      </c>
      <c r="G77" s="133" t="s">
        <v>569</v>
      </c>
      <c r="H77" s="133" t="s">
        <v>569</v>
      </c>
      <c r="I77" s="133">
        <v>0</v>
      </c>
      <c r="J77" s="133">
        <v>0</v>
      </c>
      <c r="K77" s="133"/>
    </row>
    <row r="78" spans="1:11" outlineLevel="1">
      <c r="B78" s="132" t="s">
        <v>104</v>
      </c>
      <c r="C78" s="133" t="s">
        <v>569</v>
      </c>
      <c r="D78" s="133">
        <v>1083</v>
      </c>
      <c r="E78" s="133" t="s">
        <v>569</v>
      </c>
      <c r="F78" s="133">
        <v>1083</v>
      </c>
      <c r="G78" s="133" t="s">
        <v>569</v>
      </c>
      <c r="H78" s="133">
        <v>1083</v>
      </c>
      <c r="I78" s="133">
        <v>0</v>
      </c>
      <c r="J78" s="133">
        <v>1083</v>
      </c>
      <c r="K78" s="133">
        <f t="shared" si="1"/>
        <v>0</v>
      </c>
    </row>
    <row r="79" spans="1:11" outlineLevel="1">
      <c r="B79" s="132" t="s">
        <v>105</v>
      </c>
      <c r="C79" s="133" t="s">
        <v>569</v>
      </c>
      <c r="D79" s="133" t="s">
        <v>569</v>
      </c>
      <c r="E79" s="133" t="s">
        <v>569</v>
      </c>
      <c r="F79" s="133" t="s">
        <v>569</v>
      </c>
      <c r="G79" s="133" t="s">
        <v>569</v>
      </c>
      <c r="H79" s="133" t="s">
        <v>569</v>
      </c>
      <c r="I79" s="133">
        <v>0</v>
      </c>
      <c r="J79" s="133">
        <v>0</v>
      </c>
      <c r="K79" s="133"/>
    </row>
    <row r="80" spans="1:11" outlineLevel="1">
      <c r="B80" s="132" t="s">
        <v>106</v>
      </c>
      <c r="C80" s="133">
        <v>1090</v>
      </c>
      <c r="D80" s="133" t="s">
        <v>569</v>
      </c>
      <c r="E80" s="133" t="s">
        <v>569</v>
      </c>
      <c r="F80" s="133">
        <v>1090</v>
      </c>
      <c r="G80" s="133">
        <v>1093</v>
      </c>
      <c r="H80" s="133" t="s">
        <v>569</v>
      </c>
      <c r="I80" s="133">
        <v>0</v>
      </c>
      <c r="J80" s="133">
        <v>1093</v>
      </c>
      <c r="K80" s="133">
        <f t="shared" si="1"/>
        <v>-3</v>
      </c>
    </row>
    <row r="81" spans="1:11" outlineLevel="1">
      <c r="B81" s="132" t="s">
        <v>107</v>
      </c>
      <c r="C81" s="133">
        <v>-1</v>
      </c>
      <c r="D81" s="133" t="s">
        <v>569</v>
      </c>
      <c r="E81" s="133" t="s">
        <v>569</v>
      </c>
      <c r="F81" s="133">
        <v>-1</v>
      </c>
      <c r="G81" s="133">
        <v>-4</v>
      </c>
      <c r="H81" s="133" t="s">
        <v>569</v>
      </c>
      <c r="I81" s="133">
        <v>0</v>
      </c>
      <c r="J81" s="133">
        <v>-4</v>
      </c>
      <c r="K81" s="133">
        <f t="shared" si="1"/>
        <v>3</v>
      </c>
    </row>
    <row r="82" spans="1:11" outlineLevel="1">
      <c r="B82" s="132" t="s">
        <v>108</v>
      </c>
      <c r="C82" s="133" t="s">
        <v>569</v>
      </c>
      <c r="D82" s="133" t="s">
        <v>569</v>
      </c>
      <c r="E82" s="133" t="s">
        <v>569</v>
      </c>
      <c r="F82" s="133" t="s">
        <v>569</v>
      </c>
      <c r="G82" s="133" t="s">
        <v>569</v>
      </c>
      <c r="H82" s="133" t="s">
        <v>569</v>
      </c>
      <c r="I82" s="133">
        <v>0</v>
      </c>
      <c r="J82" s="133">
        <v>0</v>
      </c>
      <c r="K82" s="133"/>
    </row>
    <row r="83" spans="1:11">
      <c r="A83" s="129"/>
      <c r="B83" s="132" t="s">
        <v>103</v>
      </c>
      <c r="C83" s="131" t="s">
        <v>569</v>
      </c>
      <c r="D83" s="131" t="s">
        <v>569</v>
      </c>
      <c r="E83" s="131" t="s">
        <v>569</v>
      </c>
      <c r="F83" s="131" t="s">
        <v>569</v>
      </c>
      <c r="G83" s="131" t="s">
        <v>569</v>
      </c>
      <c r="H83" s="131" t="s">
        <v>569</v>
      </c>
      <c r="I83" s="131">
        <v>0</v>
      </c>
      <c r="J83" s="131">
        <v>0</v>
      </c>
      <c r="K83" s="133"/>
    </row>
    <row r="84" spans="1:11">
      <c r="A84" s="121" t="s">
        <v>569</v>
      </c>
      <c r="B84" s="132" t="s">
        <v>15</v>
      </c>
      <c r="C84" s="133" t="s">
        <v>569</v>
      </c>
      <c r="D84" s="133" t="s">
        <v>569</v>
      </c>
      <c r="E84" s="133" t="s">
        <v>569</v>
      </c>
      <c r="F84" s="133" t="s">
        <v>569</v>
      </c>
      <c r="G84" s="133" t="s">
        <v>569</v>
      </c>
      <c r="H84" s="133" t="s">
        <v>569</v>
      </c>
      <c r="I84" s="133" t="s">
        <v>569</v>
      </c>
      <c r="J84" s="133" t="s">
        <v>569</v>
      </c>
      <c r="K84" s="133"/>
    </row>
    <row r="85" spans="1:11" outlineLevel="1">
      <c r="B85" s="130" t="s">
        <v>591</v>
      </c>
      <c r="C85" s="133">
        <v>9433</v>
      </c>
      <c r="D85" s="133">
        <v>17888</v>
      </c>
      <c r="E85" s="133" t="s">
        <v>569</v>
      </c>
      <c r="F85" s="133">
        <v>27321</v>
      </c>
      <c r="G85" s="133">
        <v>9326</v>
      </c>
      <c r="H85" s="133">
        <v>16293</v>
      </c>
      <c r="I85" s="133">
        <v>0</v>
      </c>
      <c r="J85" s="133">
        <v>25618</v>
      </c>
      <c r="K85" s="133">
        <f t="shared" si="1"/>
        <v>1703</v>
      </c>
    </row>
    <row r="86" spans="1:11" outlineLevel="1">
      <c r="B86" s="132" t="s">
        <v>148</v>
      </c>
      <c r="C86" s="133">
        <v>0</v>
      </c>
      <c r="D86" s="133" t="s">
        <v>569</v>
      </c>
      <c r="E86" s="133" t="s">
        <v>569</v>
      </c>
      <c r="F86" s="133">
        <v>0</v>
      </c>
      <c r="G86" s="133">
        <v>-1</v>
      </c>
      <c r="H86" s="133" t="s">
        <v>569</v>
      </c>
      <c r="I86" s="133">
        <v>0</v>
      </c>
      <c r="J86" s="133">
        <v>-1</v>
      </c>
      <c r="K86" s="133">
        <f t="shared" si="1"/>
        <v>1</v>
      </c>
    </row>
    <row r="87" spans="1:11">
      <c r="B87" s="132" t="s">
        <v>147</v>
      </c>
      <c r="C87" s="133">
        <v>9433</v>
      </c>
      <c r="D87" s="133">
        <v>17888</v>
      </c>
      <c r="E87" s="133" t="s">
        <v>569</v>
      </c>
      <c r="F87" s="133">
        <v>27321</v>
      </c>
      <c r="G87" s="133">
        <v>9327</v>
      </c>
      <c r="H87" s="133">
        <v>16293</v>
      </c>
      <c r="I87" s="133">
        <v>0</v>
      </c>
      <c r="J87" s="133">
        <v>25619</v>
      </c>
      <c r="K87" s="133">
        <f t="shared" si="1"/>
        <v>1702</v>
      </c>
    </row>
    <row r="88" spans="1:11" outlineLevel="1">
      <c r="B88" s="130" t="s">
        <v>592</v>
      </c>
      <c r="C88" s="133">
        <v>1330</v>
      </c>
      <c r="D88" s="133">
        <v>5000</v>
      </c>
      <c r="E88" s="133" t="s">
        <v>569</v>
      </c>
      <c r="F88" s="133">
        <v>6330</v>
      </c>
      <c r="G88" s="133">
        <v>1315</v>
      </c>
      <c r="H88" s="133">
        <v>1025</v>
      </c>
      <c r="I88" s="133">
        <v>0</v>
      </c>
      <c r="J88" s="133">
        <v>2340</v>
      </c>
      <c r="K88" s="133">
        <f t="shared" si="1"/>
        <v>3990</v>
      </c>
    </row>
    <row r="89" spans="1:11" outlineLevel="1">
      <c r="B89" s="132" t="s">
        <v>144</v>
      </c>
      <c r="C89" s="133" t="s">
        <v>569</v>
      </c>
      <c r="D89" s="133" t="s">
        <v>569</v>
      </c>
      <c r="E89" s="133" t="s">
        <v>569</v>
      </c>
      <c r="F89" s="133" t="s">
        <v>569</v>
      </c>
      <c r="G89" s="133" t="s">
        <v>569</v>
      </c>
      <c r="H89" s="133" t="s">
        <v>569</v>
      </c>
      <c r="I89" s="133">
        <v>0</v>
      </c>
      <c r="J89" s="133">
        <v>0</v>
      </c>
      <c r="K89" s="133"/>
    </row>
    <row r="90" spans="1:11" outlineLevel="1">
      <c r="B90" s="132" t="s">
        <v>146</v>
      </c>
      <c r="C90" s="133">
        <v>1330</v>
      </c>
      <c r="D90" s="133" t="s">
        <v>569</v>
      </c>
      <c r="E90" s="133" t="s">
        <v>569</v>
      </c>
      <c r="F90" s="133">
        <v>1330</v>
      </c>
      <c r="G90" s="133">
        <v>1315</v>
      </c>
      <c r="H90" s="133" t="s">
        <v>569</v>
      </c>
      <c r="I90" s="133">
        <v>0</v>
      </c>
      <c r="J90" s="133">
        <v>1315</v>
      </c>
      <c r="K90" s="133">
        <f t="shared" si="1"/>
        <v>15</v>
      </c>
    </row>
    <row r="91" spans="1:11" outlineLevel="1">
      <c r="B91" s="132" t="s">
        <v>145</v>
      </c>
      <c r="C91" s="133" t="s">
        <v>569</v>
      </c>
      <c r="D91" s="133">
        <v>5000</v>
      </c>
      <c r="E91" s="133" t="s">
        <v>569</v>
      </c>
      <c r="F91" s="133">
        <v>5000</v>
      </c>
      <c r="G91" s="133" t="s">
        <v>569</v>
      </c>
      <c r="H91" s="133">
        <v>1025</v>
      </c>
      <c r="I91" s="133">
        <v>0</v>
      </c>
      <c r="J91" s="133">
        <v>1025</v>
      </c>
      <c r="K91" s="133">
        <f t="shared" si="1"/>
        <v>3975</v>
      </c>
    </row>
    <row r="92" spans="1:11">
      <c r="B92" s="132" t="s">
        <v>143</v>
      </c>
      <c r="C92" s="133" t="s">
        <v>569</v>
      </c>
      <c r="D92" s="133" t="s">
        <v>569</v>
      </c>
      <c r="E92" s="133" t="s">
        <v>569</v>
      </c>
      <c r="F92" s="133" t="s">
        <v>569</v>
      </c>
      <c r="G92" s="133" t="s">
        <v>569</v>
      </c>
      <c r="H92" s="133" t="s">
        <v>569</v>
      </c>
      <c r="I92" s="133">
        <v>0</v>
      </c>
      <c r="J92" s="133">
        <v>0</v>
      </c>
      <c r="K92" s="133"/>
    </row>
    <row r="93" spans="1:11" outlineLevel="1">
      <c r="B93" s="130" t="s">
        <v>593</v>
      </c>
      <c r="C93" s="133">
        <v>1984</v>
      </c>
      <c r="D93" s="133">
        <v>3675</v>
      </c>
      <c r="E93" s="133" t="s">
        <v>569</v>
      </c>
      <c r="F93" s="133">
        <v>5660</v>
      </c>
      <c r="G93" s="133">
        <v>2028</v>
      </c>
      <c r="H93" s="133">
        <v>5513</v>
      </c>
      <c r="I93" s="133">
        <v>0</v>
      </c>
      <c r="J93" s="133">
        <v>7541</v>
      </c>
      <c r="K93" s="133">
        <f t="shared" si="1"/>
        <v>-1881</v>
      </c>
    </row>
    <row r="94" spans="1:11" outlineLevel="1">
      <c r="B94" s="132" t="s">
        <v>138</v>
      </c>
      <c r="C94" s="133" t="s">
        <v>569</v>
      </c>
      <c r="D94" s="133">
        <v>3675</v>
      </c>
      <c r="E94" s="133" t="s">
        <v>569</v>
      </c>
      <c r="F94" s="133">
        <v>3675</v>
      </c>
      <c r="G94" s="133" t="s">
        <v>569</v>
      </c>
      <c r="H94" s="133">
        <v>5513</v>
      </c>
      <c r="I94" s="133">
        <v>0</v>
      </c>
      <c r="J94" s="133">
        <v>5513</v>
      </c>
      <c r="K94" s="133">
        <f t="shared" si="1"/>
        <v>-1838</v>
      </c>
    </row>
    <row r="95" spans="1:11" outlineLevel="1">
      <c r="B95" s="132" t="s">
        <v>139</v>
      </c>
      <c r="C95" s="133">
        <v>566</v>
      </c>
      <c r="D95" s="133" t="s">
        <v>569</v>
      </c>
      <c r="E95" s="133" t="s">
        <v>569</v>
      </c>
      <c r="F95" s="133">
        <v>566</v>
      </c>
      <c r="G95" s="133">
        <v>557</v>
      </c>
      <c r="H95" s="133" t="s">
        <v>569</v>
      </c>
      <c r="I95" s="133">
        <v>0</v>
      </c>
      <c r="J95" s="133">
        <v>557</v>
      </c>
      <c r="K95" s="133">
        <f t="shared" si="1"/>
        <v>9</v>
      </c>
    </row>
    <row r="96" spans="1:11" outlineLevel="1">
      <c r="B96" s="132" t="s">
        <v>140</v>
      </c>
      <c r="C96" s="133">
        <v>708</v>
      </c>
      <c r="D96" s="133" t="s">
        <v>569</v>
      </c>
      <c r="E96" s="133" t="s">
        <v>569</v>
      </c>
      <c r="F96" s="133">
        <v>708</v>
      </c>
      <c r="G96" s="133">
        <v>693</v>
      </c>
      <c r="H96" s="133" t="s">
        <v>569</v>
      </c>
      <c r="I96" s="133">
        <v>0</v>
      </c>
      <c r="J96" s="133">
        <v>693</v>
      </c>
      <c r="K96" s="133">
        <f t="shared" si="1"/>
        <v>15</v>
      </c>
    </row>
    <row r="97" spans="2:11" outlineLevel="1">
      <c r="B97" s="132" t="s">
        <v>141</v>
      </c>
      <c r="C97" s="133">
        <v>711</v>
      </c>
      <c r="D97" s="133" t="s">
        <v>569</v>
      </c>
      <c r="E97" s="133" t="s">
        <v>569</v>
      </c>
      <c r="F97" s="133">
        <v>711</v>
      </c>
      <c r="G97" s="133">
        <v>777</v>
      </c>
      <c r="H97" s="133" t="s">
        <v>569</v>
      </c>
      <c r="I97" s="133">
        <v>0</v>
      </c>
      <c r="J97" s="133">
        <v>777</v>
      </c>
      <c r="K97" s="133">
        <f t="shared" si="1"/>
        <v>-66</v>
      </c>
    </row>
    <row r="98" spans="2:11">
      <c r="B98" s="132" t="s">
        <v>142</v>
      </c>
      <c r="C98" s="133" t="s">
        <v>569</v>
      </c>
      <c r="D98" s="133" t="s">
        <v>569</v>
      </c>
      <c r="E98" s="133" t="s">
        <v>569</v>
      </c>
      <c r="F98" s="133" t="s">
        <v>569</v>
      </c>
      <c r="G98" s="133" t="s">
        <v>569</v>
      </c>
      <c r="H98" s="133" t="s">
        <v>569</v>
      </c>
      <c r="I98" s="133">
        <v>0</v>
      </c>
      <c r="J98" s="133">
        <v>0</v>
      </c>
      <c r="K98" s="133"/>
    </row>
    <row r="99" spans="2:11" outlineLevel="1">
      <c r="B99" s="130" t="s">
        <v>594</v>
      </c>
      <c r="C99" s="133">
        <v>4224</v>
      </c>
      <c r="D99" s="133">
        <v>8918</v>
      </c>
      <c r="E99" s="133" t="s">
        <v>569</v>
      </c>
      <c r="F99" s="133">
        <v>13142</v>
      </c>
      <c r="G99" s="133">
        <v>2255</v>
      </c>
      <c r="H99" s="133">
        <v>7810</v>
      </c>
      <c r="I99" s="133">
        <v>0</v>
      </c>
      <c r="J99" s="133">
        <v>10065</v>
      </c>
      <c r="K99" s="133">
        <f t="shared" si="1"/>
        <v>3077</v>
      </c>
    </row>
    <row r="100" spans="2:11" outlineLevel="1">
      <c r="B100" s="132" t="s">
        <v>110</v>
      </c>
      <c r="C100" s="133" t="s">
        <v>569</v>
      </c>
      <c r="D100" s="133" t="s">
        <v>569</v>
      </c>
      <c r="E100" s="133" t="s">
        <v>569</v>
      </c>
      <c r="F100" s="133" t="s">
        <v>569</v>
      </c>
      <c r="G100" s="133" t="s">
        <v>569</v>
      </c>
      <c r="H100" s="133" t="s">
        <v>569</v>
      </c>
      <c r="I100" s="133">
        <v>0</v>
      </c>
      <c r="J100" s="133">
        <v>0</v>
      </c>
      <c r="K100" s="133"/>
    </row>
    <row r="101" spans="2:11" outlineLevel="1">
      <c r="B101" s="132" t="s">
        <v>111</v>
      </c>
      <c r="C101" s="133" t="s">
        <v>569</v>
      </c>
      <c r="D101" s="133" t="s">
        <v>569</v>
      </c>
      <c r="E101" s="133" t="s">
        <v>569</v>
      </c>
      <c r="F101" s="133" t="s">
        <v>569</v>
      </c>
      <c r="G101" s="133" t="s">
        <v>569</v>
      </c>
      <c r="H101" s="133" t="s">
        <v>569</v>
      </c>
      <c r="I101" s="133">
        <v>0</v>
      </c>
      <c r="J101" s="133">
        <v>0</v>
      </c>
      <c r="K101" s="133"/>
    </row>
    <row r="102" spans="2:11" outlineLevel="1">
      <c r="B102" s="132" t="s">
        <v>112</v>
      </c>
      <c r="C102" s="133" t="s">
        <v>569</v>
      </c>
      <c r="D102" s="133" t="s">
        <v>569</v>
      </c>
      <c r="E102" s="133" t="s">
        <v>569</v>
      </c>
      <c r="F102" s="133" t="s">
        <v>569</v>
      </c>
      <c r="G102" s="133" t="s">
        <v>569</v>
      </c>
      <c r="H102" s="133" t="s">
        <v>569</v>
      </c>
      <c r="I102" s="133">
        <v>0</v>
      </c>
      <c r="J102" s="133">
        <v>0</v>
      </c>
      <c r="K102" s="133"/>
    </row>
    <row r="103" spans="2:11" outlineLevel="1">
      <c r="B103" s="132" t="s">
        <v>113</v>
      </c>
      <c r="C103" s="133" t="s">
        <v>569</v>
      </c>
      <c r="D103" s="133" t="s">
        <v>569</v>
      </c>
      <c r="E103" s="133" t="s">
        <v>569</v>
      </c>
      <c r="F103" s="133" t="s">
        <v>569</v>
      </c>
      <c r="G103" s="133" t="s">
        <v>569</v>
      </c>
      <c r="H103" s="133" t="s">
        <v>569</v>
      </c>
      <c r="I103" s="133">
        <v>0</v>
      </c>
      <c r="J103" s="133">
        <v>0</v>
      </c>
      <c r="K103" s="133"/>
    </row>
    <row r="104" spans="2:11" outlineLevel="1">
      <c r="B104" s="132" t="s">
        <v>114</v>
      </c>
      <c r="C104" s="133" t="s">
        <v>569</v>
      </c>
      <c r="D104" s="133">
        <v>0</v>
      </c>
      <c r="E104" s="133" t="s">
        <v>569</v>
      </c>
      <c r="F104" s="133">
        <v>0</v>
      </c>
      <c r="G104" s="133" t="s">
        <v>569</v>
      </c>
      <c r="H104" s="133">
        <v>0</v>
      </c>
      <c r="I104" s="133">
        <v>0</v>
      </c>
      <c r="J104" s="133">
        <v>0</v>
      </c>
      <c r="K104" s="133">
        <f t="shared" si="1"/>
        <v>0</v>
      </c>
    </row>
    <row r="105" spans="2:11" outlineLevel="1">
      <c r="B105" s="132" t="s">
        <v>115</v>
      </c>
      <c r="C105" s="133" t="s">
        <v>569</v>
      </c>
      <c r="D105" s="133">
        <v>528</v>
      </c>
      <c r="E105" s="133" t="s">
        <v>569</v>
      </c>
      <c r="F105" s="133">
        <v>528</v>
      </c>
      <c r="G105" s="133" t="s">
        <v>569</v>
      </c>
      <c r="H105" s="133">
        <v>537</v>
      </c>
      <c r="I105" s="133">
        <v>0</v>
      </c>
      <c r="J105" s="133">
        <v>537</v>
      </c>
      <c r="K105" s="133">
        <f t="shared" si="1"/>
        <v>-9</v>
      </c>
    </row>
    <row r="106" spans="2:11" outlineLevel="1">
      <c r="B106" s="132" t="s">
        <v>116</v>
      </c>
      <c r="C106" s="133" t="s">
        <v>569</v>
      </c>
      <c r="D106" s="133" t="s">
        <v>569</v>
      </c>
      <c r="E106" s="133" t="s">
        <v>569</v>
      </c>
      <c r="F106" s="133" t="s">
        <v>569</v>
      </c>
      <c r="G106" s="133" t="s">
        <v>569</v>
      </c>
      <c r="H106" s="133" t="s">
        <v>569</v>
      </c>
      <c r="I106" s="133">
        <v>0</v>
      </c>
      <c r="J106" s="133">
        <v>0</v>
      </c>
      <c r="K106" s="133"/>
    </row>
    <row r="107" spans="2:11" outlineLevel="1">
      <c r="B107" s="132" t="s">
        <v>117</v>
      </c>
      <c r="C107" s="133" t="s">
        <v>569</v>
      </c>
      <c r="D107" s="133">
        <v>0</v>
      </c>
      <c r="E107" s="133" t="s">
        <v>569</v>
      </c>
      <c r="F107" s="133">
        <v>0</v>
      </c>
      <c r="G107" s="133" t="s">
        <v>569</v>
      </c>
      <c r="H107" s="133">
        <v>0</v>
      </c>
      <c r="I107" s="133">
        <v>0</v>
      </c>
      <c r="J107" s="133">
        <v>0</v>
      </c>
      <c r="K107" s="133">
        <f t="shared" si="1"/>
        <v>0</v>
      </c>
    </row>
    <row r="108" spans="2:11" outlineLevel="1">
      <c r="B108" s="132" t="s">
        <v>118</v>
      </c>
      <c r="C108" s="133">
        <v>403</v>
      </c>
      <c r="D108" s="133">
        <v>25</v>
      </c>
      <c r="E108" s="133" t="s">
        <v>569</v>
      </c>
      <c r="F108" s="133">
        <v>428</v>
      </c>
      <c r="G108" s="133">
        <v>241</v>
      </c>
      <c r="H108" s="133">
        <v>-54</v>
      </c>
      <c r="I108" s="133">
        <v>0</v>
      </c>
      <c r="J108" s="133">
        <v>187</v>
      </c>
      <c r="K108" s="133">
        <f t="shared" si="1"/>
        <v>241</v>
      </c>
    </row>
    <row r="109" spans="2:11" outlineLevel="1">
      <c r="B109" s="132" t="s">
        <v>119</v>
      </c>
      <c r="C109" s="133">
        <v>740</v>
      </c>
      <c r="D109" s="133">
        <v>5415</v>
      </c>
      <c r="E109" s="133" t="s">
        <v>569</v>
      </c>
      <c r="F109" s="133">
        <v>6154</v>
      </c>
      <c r="G109" s="133">
        <v>731</v>
      </c>
      <c r="H109" s="133">
        <v>5450</v>
      </c>
      <c r="I109" s="133">
        <v>0</v>
      </c>
      <c r="J109" s="133">
        <v>6181</v>
      </c>
      <c r="K109" s="133">
        <f t="shared" si="1"/>
        <v>-27</v>
      </c>
    </row>
    <row r="110" spans="2:11" outlineLevel="1">
      <c r="B110" s="132" t="s">
        <v>120</v>
      </c>
      <c r="C110" s="133" t="s">
        <v>569</v>
      </c>
      <c r="D110" s="133">
        <v>0</v>
      </c>
      <c r="E110" s="133" t="s">
        <v>569</v>
      </c>
      <c r="F110" s="133">
        <v>0</v>
      </c>
      <c r="G110" s="133" t="s">
        <v>569</v>
      </c>
      <c r="H110" s="133">
        <v>0</v>
      </c>
      <c r="I110" s="133">
        <v>0</v>
      </c>
      <c r="J110" s="133">
        <v>0</v>
      </c>
      <c r="K110" s="133">
        <f t="shared" si="1"/>
        <v>0</v>
      </c>
    </row>
    <row r="111" spans="2:11" outlineLevel="1">
      <c r="B111" s="132" t="s">
        <v>121</v>
      </c>
      <c r="C111" s="133">
        <v>0</v>
      </c>
      <c r="D111" s="133" t="s">
        <v>569</v>
      </c>
      <c r="E111" s="133" t="s">
        <v>569</v>
      </c>
      <c r="F111" s="133">
        <v>0</v>
      </c>
      <c r="G111" s="133">
        <v>0</v>
      </c>
      <c r="H111" s="133" t="s">
        <v>569</v>
      </c>
      <c r="I111" s="133">
        <v>0</v>
      </c>
      <c r="J111" s="133">
        <v>0</v>
      </c>
      <c r="K111" s="133">
        <f t="shared" si="1"/>
        <v>0</v>
      </c>
    </row>
    <row r="112" spans="2:11" outlineLevel="1">
      <c r="B112" s="132" t="s">
        <v>122</v>
      </c>
      <c r="C112" s="133" t="s">
        <v>569</v>
      </c>
      <c r="D112" s="133" t="s">
        <v>569</v>
      </c>
      <c r="E112" s="133" t="s">
        <v>569</v>
      </c>
      <c r="F112" s="133" t="s">
        <v>569</v>
      </c>
      <c r="G112" s="133" t="s">
        <v>569</v>
      </c>
      <c r="H112" s="133" t="s">
        <v>569</v>
      </c>
      <c r="I112" s="133">
        <v>0</v>
      </c>
      <c r="J112" s="133">
        <v>0</v>
      </c>
      <c r="K112" s="133"/>
    </row>
    <row r="113" spans="2:11" outlineLevel="1">
      <c r="B113" s="132" t="s">
        <v>123</v>
      </c>
      <c r="C113" s="133">
        <v>-1</v>
      </c>
      <c r="D113" s="133" t="s">
        <v>569</v>
      </c>
      <c r="E113" s="133" t="s">
        <v>569</v>
      </c>
      <c r="F113" s="133">
        <v>-1</v>
      </c>
      <c r="G113" s="133">
        <v>-2</v>
      </c>
      <c r="H113" s="133" t="s">
        <v>569</v>
      </c>
      <c r="I113" s="133">
        <v>0</v>
      </c>
      <c r="J113" s="133">
        <v>-2</v>
      </c>
      <c r="K113" s="133">
        <f t="shared" si="1"/>
        <v>1</v>
      </c>
    </row>
    <row r="114" spans="2:11" outlineLevel="1">
      <c r="B114" s="132" t="s">
        <v>124</v>
      </c>
      <c r="C114" s="133">
        <v>293</v>
      </c>
      <c r="D114" s="133" t="s">
        <v>569</v>
      </c>
      <c r="E114" s="133" t="s">
        <v>569</v>
      </c>
      <c r="F114" s="133">
        <v>293</v>
      </c>
      <c r="G114" s="133">
        <v>281</v>
      </c>
      <c r="H114" s="133" t="s">
        <v>569</v>
      </c>
      <c r="I114" s="133">
        <v>0</v>
      </c>
      <c r="J114" s="133">
        <v>281</v>
      </c>
      <c r="K114" s="133">
        <f t="shared" si="1"/>
        <v>12</v>
      </c>
    </row>
    <row r="115" spans="2:11" outlineLevel="1">
      <c r="B115" s="132" t="s">
        <v>125</v>
      </c>
      <c r="C115" s="133" t="s">
        <v>569</v>
      </c>
      <c r="D115" s="133" t="s">
        <v>569</v>
      </c>
      <c r="E115" s="133" t="s">
        <v>569</v>
      </c>
      <c r="F115" s="133" t="s">
        <v>569</v>
      </c>
      <c r="G115" s="133" t="s">
        <v>569</v>
      </c>
      <c r="H115" s="133" t="s">
        <v>569</v>
      </c>
      <c r="I115" s="133">
        <v>0</v>
      </c>
      <c r="J115" s="133">
        <v>0</v>
      </c>
      <c r="K115" s="133"/>
    </row>
    <row r="116" spans="2:11" outlineLevel="1">
      <c r="B116" s="132" t="s">
        <v>126</v>
      </c>
      <c r="C116" s="133" t="s">
        <v>569</v>
      </c>
      <c r="D116" s="133" t="s">
        <v>569</v>
      </c>
      <c r="E116" s="133" t="s">
        <v>569</v>
      </c>
      <c r="F116" s="133" t="s">
        <v>569</v>
      </c>
      <c r="G116" s="133" t="s">
        <v>569</v>
      </c>
      <c r="H116" s="133" t="s">
        <v>569</v>
      </c>
      <c r="I116" s="133">
        <v>0</v>
      </c>
      <c r="J116" s="133">
        <v>0</v>
      </c>
      <c r="K116" s="133"/>
    </row>
    <row r="117" spans="2:11" outlineLevel="1">
      <c r="B117" s="132" t="s">
        <v>128</v>
      </c>
      <c r="C117" s="133">
        <v>926</v>
      </c>
      <c r="D117" s="133" t="s">
        <v>569</v>
      </c>
      <c r="E117" s="133" t="s">
        <v>569</v>
      </c>
      <c r="F117" s="133">
        <v>926</v>
      </c>
      <c r="G117" s="133">
        <v>250</v>
      </c>
      <c r="H117" s="133" t="s">
        <v>569</v>
      </c>
      <c r="I117" s="133">
        <v>0</v>
      </c>
      <c r="J117" s="133">
        <v>250</v>
      </c>
      <c r="K117" s="133">
        <f t="shared" si="1"/>
        <v>676</v>
      </c>
    </row>
    <row r="118" spans="2:11" outlineLevel="1">
      <c r="B118" s="132" t="s">
        <v>129</v>
      </c>
      <c r="C118" s="133">
        <v>489</v>
      </c>
      <c r="D118" s="133" t="s">
        <v>569</v>
      </c>
      <c r="E118" s="133" t="s">
        <v>569</v>
      </c>
      <c r="F118" s="133">
        <v>489</v>
      </c>
      <c r="G118" s="133">
        <v>484</v>
      </c>
      <c r="H118" s="133" t="s">
        <v>569</v>
      </c>
      <c r="I118" s="133">
        <v>0</v>
      </c>
      <c r="J118" s="133">
        <v>484</v>
      </c>
      <c r="K118" s="133">
        <f t="shared" si="1"/>
        <v>5</v>
      </c>
    </row>
    <row r="119" spans="2:11" outlineLevel="1">
      <c r="B119" s="132" t="s">
        <v>130</v>
      </c>
      <c r="C119" s="133" t="s">
        <v>569</v>
      </c>
      <c r="D119" s="133" t="s">
        <v>569</v>
      </c>
      <c r="E119" s="133" t="s">
        <v>569</v>
      </c>
      <c r="F119" s="133" t="s">
        <v>569</v>
      </c>
      <c r="G119" s="133" t="s">
        <v>569</v>
      </c>
      <c r="H119" s="133" t="s">
        <v>569</v>
      </c>
      <c r="I119" s="133">
        <v>0</v>
      </c>
      <c r="J119" s="133">
        <v>0</v>
      </c>
      <c r="K119" s="133"/>
    </row>
    <row r="120" spans="2:11" outlineLevel="1">
      <c r="B120" s="132" t="s">
        <v>131</v>
      </c>
      <c r="C120" s="133" t="s">
        <v>569</v>
      </c>
      <c r="D120" s="133" t="s">
        <v>569</v>
      </c>
      <c r="E120" s="133" t="s">
        <v>569</v>
      </c>
      <c r="F120" s="133" t="s">
        <v>569</v>
      </c>
      <c r="G120" s="133" t="s">
        <v>569</v>
      </c>
      <c r="H120" s="133" t="s">
        <v>569</v>
      </c>
      <c r="I120" s="133">
        <v>0</v>
      </c>
      <c r="J120" s="133">
        <v>0</v>
      </c>
      <c r="K120" s="133"/>
    </row>
    <row r="121" spans="2:11" outlineLevel="1">
      <c r="B121" s="132" t="s">
        <v>132</v>
      </c>
      <c r="C121" s="133">
        <v>533</v>
      </c>
      <c r="D121" s="133" t="s">
        <v>569</v>
      </c>
      <c r="E121" s="133" t="s">
        <v>569</v>
      </c>
      <c r="F121" s="133">
        <v>533</v>
      </c>
      <c r="G121" s="133">
        <v>-16</v>
      </c>
      <c r="H121" s="133" t="s">
        <v>569</v>
      </c>
      <c r="I121" s="133">
        <v>0</v>
      </c>
      <c r="J121" s="133">
        <v>-16</v>
      </c>
      <c r="K121" s="133">
        <f t="shared" si="1"/>
        <v>549</v>
      </c>
    </row>
    <row r="122" spans="2:11" outlineLevel="1">
      <c r="B122" s="132" t="s">
        <v>133</v>
      </c>
      <c r="C122" s="133" t="s">
        <v>569</v>
      </c>
      <c r="D122" s="133" t="s">
        <v>569</v>
      </c>
      <c r="E122" s="133" t="s">
        <v>569</v>
      </c>
      <c r="F122" s="133" t="s">
        <v>569</v>
      </c>
      <c r="G122" s="133" t="s">
        <v>569</v>
      </c>
      <c r="H122" s="133" t="s">
        <v>569</v>
      </c>
      <c r="I122" s="133">
        <v>0</v>
      </c>
      <c r="J122" s="133">
        <v>0</v>
      </c>
      <c r="K122" s="133"/>
    </row>
    <row r="123" spans="2:11" outlineLevel="1">
      <c r="B123" s="132" t="s">
        <v>135</v>
      </c>
      <c r="C123" s="133">
        <v>-1</v>
      </c>
      <c r="D123" s="133" t="s">
        <v>569</v>
      </c>
      <c r="E123" s="133" t="s">
        <v>569</v>
      </c>
      <c r="F123" s="133">
        <v>-1</v>
      </c>
      <c r="G123" s="133">
        <v>-2</v>
      </c>
      <c r="H123" s="133" t="s">
        <v>569</v>
      </c>
      <c r="I123" s="133">
        <v>0</v>
      </c>
      <c r="J123" s="133">
        <v>-2</v>
      </c>
      <c r="K123" s="133">
        <f t="shared" si="1"/>
        <v>1</v>
      </c>
    </row>
    <row r="124" spans="2:11" outlineLevel="1">
      <c r="B124" s="132" t="s">
        <v>136</v>
      </c>
      <c r="C124" s="133" t="s">
        <v>569</v>
      </c>
      <c r="D124" s="133" t="s">
        <v>569</v>
      </c>
      <c r="E124" s="133" t="s">
        <v>569</v>
      </c>
      <c r="F124" s="133" t="s">
        <v>569</v>
      </c>
      <c r="G124" s="133" t="s">
        <v>569</v>
      </c>
      <c r="H124" s="133" t="s">
        <v>569</v>
      </c>
      <c r="I124" s="133">
        <v>0</v>
      </c>
      <c r="J124" s="133">
        <v>0</v>
      </c>
      <c r="K124" s="133"/>
    </row>
    <row r="125" spans="2:11" outlineLevel="1">
      <c r="B125" s="132" t="s">
        <v>137</v>
      </c>
      <c r="C125" s="133">
        <v>793</v>
      </c>
      <c r="D125" s="133">
        <v>0</v>
      </c>
      <c r="E125" s="133" t="s">
        <v>569</v>
      </c>
      <c r="F125" s="133">
        <v>793</v>
      </c>
      <c r="G125" s="133">
        <v>298</v>
      </c>
      <c r="H125" s="133">
        <v>0</v>
      </c>
      <c r="I125" s="133">
        <v>0</v>
      </c>
      <c r="J125" s="133">
        <v>298</v>
      </c>
      <c r="K125" s="133">
        <f t="shared" si="1"/>
        <v>495</v>
      </c>
    </row>
    <row r="126" spans="2:11" outlineLevel="1">
      <c r="B126" s="132" t="s">
        <v>595</v>
      </c>
      <c r="C126" s="133" t="s">
        <v>569</v>
      </c>
      <c r="D126" s="133" t="s">
        <v>569</v>
      </c>
      <c r="E126" s="133" t="s">
        <v>569</v>
      </c>
      <c r="F126" s="133" t="s">
        <v>569</v>
      </c>
      <c r="G126" s="133" t="s">
        <v>569</v>
      </c>
      <c r="H126" s="133" t="s">
        <v>569</v>
      </c>
      <c r="I126" s="133">
        <v>0</v>
      </c>
      <c r="J126" s="133">
        <v>0</v>
      </c>
      <c r="K126" s="133"/>
    </row>
    <row r="127" spans="2:11" outlineLevel="1">
      <c r="B127" s="132" t="s">
        <v>134</v>
      </c>
      <c r="C127" s="133" t="s">
        <v>569</v>
      </c>
      <c r="D127" s="133" t="s">
        <v>569</v>
      </c>
      <c r="E127" s="133" t="s">
        <v>569</v>
      </c>
      <c r="F127" s="133" t="s">
        <v>569</v>
      </c>
      <c r="G127" s="133" t="s">
        <v>569</v>
      </c>
      <c r="H127" s="133" t="s">
        <v>569</v>
      </c>
      <c r="I127" s="133">
        <v>0</v>
      </c>
      <c r="J127" s="133">
        <v>0</v>
      </c>
      <c r="K127" s="133"/>
    </row>
    <row r="128" spans="2:11" outlineLevel="1">
      <c r="B128" s="132" t="s">
        <v>127</v>
      </c>
      <c r="C128" s="133">
        <v>54</v>
      </c>
      <c r="D128" s="133" t="s">
        <v>569</v>
      </c>
      <c r="E128" s="133" t="s">
        <v>569</v>
      </c>
      <c r="F128" s="133">
        <v>54</v>
      </c>
      <c r="G128" s="133">
        <v>0</v>
      </c>
      <c r="H128" s="133" t="s">
        <v>569</v>
      </c>
      <c r="I128" s="133">
        <v>0</v>
      </c>
      <c r="J128" s="133">
        <v>0</v>
      </c>
      <c r="K128" s="133">
        <f t="shared" si="1"/>
        <v>54</v>
      </c>
    </row>
    <row r="129" spans="1:12" outlineLevel="1">
      <c r="B129" s="132" t="s">
        <v>596</v>
      </c>
      <c r="C129" s="133">
        <v>-4</v>
      </c>
      <c r="D129" s="133" t="s">
        <v>569</v>
      </c>
      <c r="E129" s="133" t="s">
        <v>569</v>
      </c>
      <c r="F129" s="133">
        <v>-4</v>
      </c>
      <c r="G129" s="133">
        <v>-11</v>
      </c>
      <c r="H129" s="133" t="s">
        <v>569</v>
      </c>
      <c r="I129" s="133">
        <v>0</v>
      </c>
      <c r="J129" s="133">
        <v>-11</v>
      </c>
      <c r="K129" s="133">
        <f t="shared" si="1"/>
        <v>7</v>
      </c>
    </row>
    <row r="130" spans="1:12" outlineLevel="1">
      <c r="B130" s="132" t="s">
        <v>546</v>
      </c>
      <c r="C130" s="133">
        <v>0</v>
      </c>
      <c r="D130" s="133" t="s">
        <v>569</v>
      </c>
      <c r="E130" s="133" t="s">
        <v>569</v>
      </c>
      <c r="F130" s="133">
        <v>0</v>
      </c>
      <c r="G130" s="133">
        <v>0</v>
      </c>
      <c r="H130" s="133" t="s">
        <v>569</v>
      </c>
      <c r="I130" s="133">
        <v>0</v>
      </c>
      <c r="J130" s="133">
        <v>0</v>
      </c>
      <c r="K130" s="133">
        <f t="shared" si="1"/>
        <v>0</v>
      </c>
    </row>
    <row r="131" spans="1:12">
      <c r="B131" s="132" t="s">
        <v>358</v>
      </c>
      <c r="C131" s="133" t="s">
        <v>569</v>
      </c>
      <c r="D131" s="133">
        <v>2950</v>
      </c>
      <c r="E131" s="133" t="s">
        <v>569</v>
      </c>
      <c r="F131" s="133">
        <v>2950</v>
      </c>
      <c r="G131" s="133" t="s">
        <v>569</v>
      </c>
      <c r="H131" s="133">
        <v>1877</v>
      </c>
      <c r="I131" s="133">
        <v>0</v>
      </c>
      <c r="J131" s="133">
        <v>1877</v>
      </c>
      <c r="K131" s="133">
        <f t="shared" si="1"/>
        <v>1073</v>
      </c>
    </row>
    <row r="132" spans="1:12">
      <c r="A132" s="129"/>
      <c r="B132" s="130" t="s">
        <v>19</v>
      </c>
      <c r="C132" s="131">
        <v>16971</v>
      </c>
      <c r="D132" s="131">
        <v>35482</v>
      </c>
      <c r="E132" s="131" t="s">
        <v>569</v>
      </c>
      <c r="F132" s="131">
        <v>52452</v>
      </c>
      <c r="G132" s="131">
        <v>14922</v>
      </c>
      <c r="H132" s="131">
        <v>30640</v>
      </c>
      <c r="I132" s="131">
        <v>0</v>
      </c>
      <c r="J132" s="131">
        <v>45563</v>
      </c>
      <c r="K132" s="133">
        <f t="shared" si="1"/>
        <v>6889</v>
      </c>
    </row>
    <row r="133" spans="1:12">
      <c r="A133" s="129" t="s">
        <v>569</v>
      </c>
      <c r="B133" s="130" t="s">
        <v>20</v>
      </c>
      <c r="C133" s="131">
        <v>22567</v>
      </c>
      <c r="D133" s="131">
        <v>36565</v>
      </c>
      <c r="E133" s="131">
        <v>0</v>
      </c>
      <c r="F133" s="131">
        <v>59132</v>
      </c>
      <c r="G133" s="131">
        <v>16281</v>
      </c>
      <c r="H133" s="131">
        <v>31772</v>
      </c>
      <c r="I133" s="131">
        <v>0</v>
      </c>
      <c r="J133" s="131">
        <v>48053</v>
      </c>
      <c r="K133" s="133">
        <f t="shared" si="1"/>
        <v>11079</v>
      </c>
    </row>
    <row r="134" spans="1:12">
      <c r="A134" s="129" t="s">
        <v>569</v>
      </c>
      <c r="B134" s="130" t="s">
        <v>21</v>
      </c>
      <c r="C134" s="131">
        <v>3836</v>
      </c>
      <c r="D134" s="131">
        <v>21016</v>
      </c>
      <c r="E134" s="131">
        <v>0</v>
      </c>
      <c r="F134" s="131">
        <v>24852</v>
      </c>
      <c r="G134" s="131">
        <v>13497</v>
      </c>
      <c r="H134" s="131">
        <v>-1540</v>
      </c>
      <c r="I134" s="131">
        <v>0</v>
      </c>
      <c r="J134" s="131">
        <v>11957</v>
      </c>
      <c r="K134" s="133">
        <f t="shared" si="1"/>
        <v>12895</v>
      </c>
      <c r="L134" s="134"/>
    </row>
    <row r="135" spans="1:12">
      <c r="A135" s="129" t="s">
        <v>569</v>
      </c>
      <c r="B135" s="130" t="s">
        <v>22</v>
      </c>
      <c r="C135" s="131" t="s">
        <v>638</v>
      </c>
      <c r="D135" s="131" t="s">
        <v>637</v>
      </c>
      <c r="E135" s="131">
        <v>0</v>
      </c>
      <c r="F135" s="131" t="s">
        <v>629</v>
      </c>
      <c r="G135" s="131" t="s">
        <v>637</v>
      </c>
      <c r="H135" s="131" t="s">
        <v>646</v>
      </c>
      <c r="I135" s="131">
        <v>0</v>
      </c>
      <c r="J135" s="131" t="s">
        <v>647</v>
      </c>
      <c r="K135" s="133">
        <f t="shared" si="1"/>
        <v>0.05</v>
      </c>
    </row>
    <row r="136" spans="1:12">
      <c r="A136" s="121" t="s">
        <v>569</v>
      </c>
      <c r="B136" s="132" t="s">
        <v>569</v>
      </c>
      <c r="C136" s="133" t="s">
        <v>569</v>
      </c>
      <c r="D136" s="133" t="s">
        <v>569</v>
      </c>
      <c r="E136" s="133" t="s">
        <v>569</v>
      </c>
      <c r="F136" s="133" t="s">
        <v>569</v>
      </c>
      <c r="G136" s="133"/>
      <c r="H136" s="133" t="s">
        <v>569</v>
      </c>
      <c r="I136" s="133" t="s">
        <v>569</v>
      </c>
      <c r="J136" s="133" t="s">
        <v>569</v>
      </c>
      <c r="K136" s="133"/>
    </row>
    <row r="137" spans="1:12" outlineLevel="1">
      <c r="B137" s="130" t="s">
        <v>603</v>
      </c>
      <c r="C137" s="133">
        <v>-3681</v>
      </c>
      <c r="D137" s="133">
        <v>2614</v>
      </c>
      <c r="E137" s="133" t="s">
        <v>569</v>
      </c>
      <c r="F137" s="133">
        <v>-1067</v>
      </c>
      <c r="G137" s="133">
        <v>-6193</v>
      </c>
      <c r="H137" s="133">
        <v>2522</v>
      </c>
      <c r="I137" s="133">
        <v>0</v>
      </c>
      <c r="J137" s="133">
        <v>-3671</v>
      </c>
      <c r="K137" s="133">
        <f t="shared" ref="K137:K153" si="2">F137-J137</f>
        <v>2604</v>
      </c>
    </row>
    <row r="138" spans="1:12" outlineLevel="1">
      <c r="B138" s="132" t="s">
        <v>149</v>
      </c>
      <c r="C138" s="133" t="s">
        <v>569</v>
      </c>
      <c r="D138" s="133" t="s">
        <v>569</v>
      </c>
      <c r="E138" s="133" t="s">
        <v>569</v>
      </c>
      <c r="F138" s="133" t="s">
        <v>569</v>
      </c>
      <c r="G138" s="133" t="s">
        <v>569</v>
      </c>
      <c r="H138" s="133" t="s">
        <v>569</v>
      </c>
      <c r="I138" s="133">
        <v>0</v>
      </c>
      <c r="J138" s="133">
        <v>0</v>
      </c>
      <c r="K138" s="133"/>
    </row>
    <row r="139" spans="1:12" outlineLevel="1">
      <c r="B139" s="132" t="s">
        <v>150</v>
      </c>
      <c r="C139" s="133">
        <v>1</v>
      </c>
      <c r="D139" s="133">
        <v>115</v>
      </c>
      <c r="E139" s="133" t="s">
        <v>569</v>
      </c>
      <c r="F139" s="133">
        <v>116</v>
      </c>
      <c r="G139" s="133">
        <v>8</v>
      </c>
      <c r="H139" s="133">
        <v>15</v>
      </c>
      <c r="I139" s="133">
        <v>0</v>
      </c>
      <c r="J139" s="133">
        <v>23</v>
      </c>
      <c r="K139" s="133">
        <f t="shared" si="2"/>
        <v>93</v>
      </c>
    </row>
    <row r="140" spans="1:12" outlineLevel="1">
      <c r="B140" s="132" t="s">
        <v>151</v>
      </c>
      <c r="C140" s="133">
        <v>-4493</v>
      </c>
      <c r="D140" s="133" t="s">
        <v>569</v>
      </c>
      <c r="E140" s="133" t="s">
        <v>569</v>
      </c>
      <c r="F140" s="133">
        <v>-4493</v>
      </c>
      <c r="G140" s="133">
        <v>-7054</v>
      </c>
      <c r="H140" s="133" t="s">
        <v>569</v>
      </c>
      <c r="I140" s="133">
        <v>0</v>
      </c>
      <c r="J140" s="133">
        <v>-7054</v>
      </c>
      <c r="K140" s="133">
        <f t="shared" si="2"/>
        <v>2561</v>
      </c>
    </row>
    <row r="141" spans="1:12" outlineLevel="1">
      <c r="B141" s="132" t="s">
        <v>152</v>
      </c>
      <c r="C141" s="133" t="s">
        <v>569</v>
      </c>
      <c r="D141" s="133" t="s">
        <v>569</v>
      </c>
      <c r="E141" s="133" t="s">
        <v>569</v>
      </c>
      <c r="F141" s="133" t="s">
        <v>569</v>
      </c>
      <c r="G141" s="133" t="s">
        <v>569</v>
      </c>
      <c r="H141" s="133" t="s">
        <v>569</v>
      </c>
      <c r="I141" s="133">
        <v>0</v>
      </c>
      <c r="J141" s="133">
        <v>0</v>
      </c>
      <c r="K141" s="133"/>
    </row>
    <row r="142" spans="1:12" outlineLevel="1">
      <c r="B142" s="132" t="s">
        <v>154</v>
      </c>
      <c r="C142" s="133" t="s">
        <v>569</v>
      </c>
      <c r="D142" s="133">
        <v>139</v>
      </c>
      <c r="E142" s="133" t="s">
        <v>569</v>
      </c>
      <c r="F142" s="133">
        <v>139</v>
      </c>
      <c r="G142" s="133" t="s">
        <v>569</v>
      </c>
      <c r="H142" s="133">
        <v>147</v>
      </c>
      <c r="I142" s="133">
        <v>0</v>
      </c>
      <c r="J142" s="133">
        <v>147</v>
      </c>
      <c r="K142" s="133">
        <f t="shared" si="2"/>
        <v>-8</v>
      </c>
    </row>
    <row r="143" spans="1:12" outlineLevel="1">
      <c r="B143" s="132" t="s">
        <v>604</v>
      </c>
      <c r="C143" s="133" t="s">
        <v>569</v>
      </c>
      <c r="D143" s="133" t="s">
        <v>569</v>
      </c>
      <c r="E143" s="133" t="s">
        <v>569</v>
      </c>
      <c r="F143" s="133" t="s">
        <v>569</v>
      </c>
      <c r="G143" s="133" t="s">
        <v>569</v>
      </c>
      <c r="H143" s="133" t="s">
        <v>569</v>
      </c>
      <c r="I143" s="133">
        <v>0</v>
      </c>
      <c r="J143" s="133">
        <v>0</v>
      </c>
      <c r="K143" s="133"/>
    </row>
    <row r="144" spans="1:12" outlineLevel="1">
      <c r="B144" s="132" t="s">
        <v>153</v>
      </c>
      <c r="C144" s="133" t="s">
        <v>569</v>
      </c>
      <c r="D144" s="133">
        <v>2360</v>
      </c>
      <c r="E144" s="133" t="s">
        <v>569</v>
      </c>
      <c r="F144" s="133">
        <v>2360</v>
      </c>
      <c r="G144" s="133" t="s">
        <v>569</v>
      </c>
      <c r="H144" s="133">
        <v>2360</v>
      </c>
      <c r="I144" s="133">
        <v>0</v>
      </c>
      <c r="J144" s="133">
        <v>2360</v>
      </c>
      <c r="K144" s="133">
        <f t="shared" si="2"/>
        <v>0</v>
      </c>
    </row>
    <row r="145" spans="1:11">
      <c r="B145" s="132" t="s">
        <v>92</v>
      </c>
      <c r="C145" s="133">
        <v>811</v>
      </c>
      <c r="D145" s="133" t="s">
        <v>569</v>
      </c>
      <c r="E145" s="133" t="s">
        <v>569</v>
      </c>
      <c r="F145" s="133">
        <v>811</v>
      </c>
      <c r="G145" s="133">
        <v>853</v>
      </c>
      <c r="H145" s="133" t="s">
        <v>569</v>
      </c>
      <c r="I145" s="133">
        <v>0</v>
      </c>
      <c r="J145" s="133">
        <v>853</v>
      </c>
      <c r="K145" s="133">
        <f t="shared" si="2"/>
        <v>-42</v>
      </c>
    </row>
    <row r="146" spans="1:11" outlineLevel="1">
      <c r="B146" s="130" t="s">
        <v>605</v>
      </c>
      <c r="C146" s="133">
        <v>1</v>
      </c>
      <c r="D146" s="133">
        <v>0</v>
      </c>
      <c r="E146" s="133" t="s">
        <v>569</v>
      </c>
      <c r="F146" s="133">
        <v>1</v>
      </c>
      <c r="G146" s="133">
        <v>4</v>
      </c>
      <c r="H146" s="133">
        <v>0</v>
      </c>
      <c r="I146" s="133">
        <v>0</v>
      </c>
      <c r="J146" s="133">
        <v>4</v>
      </c>
      <c r="K146" s="133">
        <f t="shared" si="2"/>
        <v>-3</v>
      </c>
    </row>
    <row r="147" spans="1:11" outlineLevel="1">
      <c r="B147" s="132" t="s">
        <v>24</v>
      </c>
      <c r="C147" s="133">
        <v>1</v>
      </c>
      <c r="D147" s="133">
        <v>0</v>
      </c>
      <c r="E147" s="133" t="s">
        <v>569</v>
      </c>
      <c r="F147" s="133">
        <v>1</v>
      </c>
      <c r="G147" s="133">
        <v>4</v>
      </c>
      <c r="H147" s="133">
        <v>0</v>
      </c>
      <c r="I147" s="133">
        <v>0</v>
      </c>
      <c r="J147" s="133">
        <v>4</v>
      </c>
      <c r="K147" s="133">
        <f t="shared" si="2"/>
        <v>-3</v>
      </c>
    </row>
    <row r="148" spans="1:11" outlineLevel="1">
      <c r="B148" s="132" t="s">
        <v>606</v>
      </c>
      <c r="C148" s="133" t="s">
        <v>569</v>
      </c>
      <c r="D148" s="133" t="s">
        <v>569</v>
      </c>
      <c r="E148" s="133" t="s">
        <v>569</v>
      </c>
      <c r="F148" s="133" t="s">
        <v>569</v>
      </c>
      <c r="G148" s="133" t="s">
        <v>569</v>
      </c>
      <c r="H148" s="133" t="s">
        <v>569</v>
      </c>
      <c r="I148" s="133">
        <v>0</v>
      </c>
      <c r="J148" s="133">
        <v>0</v>
      </c>
      <c r="K148" s="133"/>
    </row>
    <row r="149" spans="1:11">
      <c r="B149" s="132" t="s">
        <v>607</v>
      </c>
      <c r="C149" s="133" t="s">
        <v>569</v>
      </c>
      <c r="D149" s="133" t="s">
        <v>569</v>
      </c>
      <c r="E149" s="133" t="s">
        <v>569</v>
      </c>
      <c r="F149" s="133" t="s">
        <v>569</v>
      </c>
      <c r="G149" s="133" t="s">
        <v>569</v>
      </c>
      <c r="H149" s="133" t="s">
        <v>569</v>
      </c>
      <c r="I149" s="133">
        <v>0</v>
      </c>
      <c r="J149" s="133">
        <v>0</v>
      </c>
      <c r="K149" s="133"/>
    </row>
    <row r="150" spans="1:11" outlineLevel="1">
      <c r="B150" s="132" t="s">
        <v>608</v>
      </c>
      <c r="C150" s="133">
        <v>-24</v>
      </c>
      <c r="D150" s="133" t="s">
        <v>569</v>
      </c>
      <c r="E150" s="133" t="s">
        <v>569</v>
      </c>
      <c r="F150" s="133">
        <v>-24</v>
      </c>
      <c r="G150" s="133">
        <v>-61</v>
      </c>
      <c r="H150" s="133" t="s">
        <v>569</v>
      </c>
      <c r="I150" s="133">
        <v>0</v>
      </c>
      <c r="J150" s="133">
        <v>-61</v>
      </c>
      <c r="K150" s="133">
        <f t="shared" si="2"/>
        <v>37</v>
      </c>
    </row>
    <row r="151" spans="1:11">
      <c r="B151" s="132" t="s">
        <v>25</v>
      </c>
      <c r="C151" s="133">
        <v>-24</v>
      </c>
      <c r="D151" s="133" t="s">
        <v>569</v>
      </c>
      <c r="E151" s="133" t="s">
        <v>569</v>
      </c>
      <c r="F151" s="133">
        <v>-24</v>
      </c>
      <c r="G151" s="133">
        <v>-61</v>
      </c>
      <c r="H151" s="133" t="s">
        <v>569</v>
      </c>
      <c r="I151" s="133">
        <v>0</v>
      </c>
      <c r="J151" s="133">
        <v>-61</v>
      </c>
      <c r="K151" s="133">
        <f t="shared" si="2"/>
        <v>37</v>
      </c>
    </row>
    <row r="152" spans="1:11">
      <c r="A152" s="129"/>
      <c r="B152" s="130" t="s">
        <v>609</v>
      </c>
      <c r="C152" s="131">
        <v>-3703</v>
      </c>
      <c r="D152" s="131">
        <v>2614</v>
      </c>
      <c r="E152" s="131" t="s">
        <v>569</v>
      </c>
      <c r="F152" s="131">
        <v>-1090</v>
      </c>
      <c r="G152" s="131">
        <v>-6251</v>
      </c>
      <c r="H152" s="131">
        <v>2522</v>
      </c>
      <c r="I152" s="131">
        <v>0</v>
      </c>
      <c r="J152" s="131">
        <v>-3728</v>
      </c>
      <c r="K152" s="133">
        <f t="shared" si="2"/>
        <v>2638</v>
      </c>
    </row>
    <row r="153" spans="1:11">
      <c r="A153" s="121" t="s">
        <v>569</v>
      </c>
      <c r="B153" s="121" t="s">
        <v>26</v>
      </c>
      <c r="C153" s="122">
        <v>7539</v>
      </c>
      <c r="D153" s="122">
        <v>18403</v>
      </c>
      <c r="E153" s="122">
        <v>0</v>
      </c>
      <c r="F153" s="122">
        <v>25942</v>
      </c>
      <c r="G153" s="122">
        <v>19748</v>
      </c>
      <c r="H153" s="122">
        <v>-4062</v>
      </c>
      <c r="I153" s="122">
        <v>0</v>
      </c>
      <c r="J153" s="122">
        <v>15685</v>
      </c>
      <c r="K153" s="121">
        <f t="shared" si="2"/>
        <v>10257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8B60-69D5-4896-AD4C-B638FF877BA5}">
  <dimension ref="A1:K152"/>
  <sheetViews>
    <sheetView showGridLines="0" topLeftCell="A2" workbookViewId="0">
      <selection activeCell="B149" sqref="B149"/>
    </sheetView>
  </sheetViews>
  <sheetFormatPr defaultRowHeight="14.5" outlineLevelRow="1"/>
  <cols>
    <col min="1" max="1" width="4.58203125" style="10" customWidth="1"/>
    <col min="2" max="2" width="26.75" style="10" customWidth="1"/>
    <col min="3" max="3" width="14.83203125" style="16" bestFit="1" customWidth="1"/>
    <col min="4" max="4" width="12.1640625" style="16" bestFit="1" customWidth="1"/>
    <col min="5" max="5" width="11.75" style="16" customWidth="1"/>
    <col min="6" max="6" width="6.1640625" style="16" bestFit="1" customWidth="1"/>
    <col min="7" max="7" width="15.1640625" style="16" bestFit="1" customWidth="1"/>
    <col min="8" max="8" width="12.1640625" style="16" bestFit="1" customWidth="1"/>
    <col min="9" max="9" width="14.25" style="16" customWidth="1"/>
    <col min="10" max="10" width="6.9140625" style="16" bestFit="1" customWidth="1"/>
    <col min="11" max="16384" width="8.6640625" style="10"/>
  </cols>
  <sheetData>
    <row r="1" spans="1:11" ht="15" hidden="1" customHeight="1"/>
    <row r="2" spans="1:11" ht="18.5">
      <c r="B2" s="17" t="s">
        <v>564</v>
      </c>
      <c r="C2" s="18" t="s">
        <v>632</v>
      </c>
      <c r="D2" s="18"/>
      <c r="E2" s="18"/>
      <c r="F2" s="17"/>
      <c r="G2" s="18" t="s">
        <v>565</v>
      </c>
      <c r="H2" s="18"/>
      <c r="I2" s="18"/>
      <c r="J2" s="17"/>
      <c r="K2" s="19"/>
    </row>
    <row r="3" spans="1:11" ht="18.5">
      <c r="B3" s="18" t="s">
        <v>567</v>
      </c>
      <c r="C3" s="18"/>
      <c r="D3" s="18"/>
      <c r="E3" s="18" t="s">
        <v>568</v>
      </c>
      <c r="F3" s="18"/>
      <c r="G3" s="18"/>
      <c r="H3" s="18"/>
      <c r="I3" s="18" t="s">
        <v>568</v>
      </c>
      <c r="J3" s="18"/>
      <c r="K3" s="19"/>
    </row>
    <row r="4" spans="1:11" ht="15" hidden="1" customHeight="1">
      <c r="B4" s="19"/>
      <c r="C4" s="18"/>
      <c r="D4" s="18"/>
      <c r="E4" s="18"/>
      <c r="F4" s="18"/>
      <c r="G4" s="18"/>
      <c r="H4" s="18"/>
      <c r="I4" s="18"/>
      <c r="J4" s="18"/>
      <c r="K4" s="19"/>
    </row>
    <row r="5" spans="1:11" ht="15" hidden="1" customHeight="1">
      <c r="B5" s="19" t="s">
        <v>569</v>
      </c>
      <c r="C5" s="18"/>
      <c r="D5" s="18"/>
      <c r="E5" s="18"/>
      <c r="F5" s="18"/>
      <c r="G5" s="18"/>
      <c r="H5" s="18"/>
      <c r="I5" s="18"/>
      <c r="J5" s="18"/>
      <c r="K5" s="19"/>
    </row>
    <row r="6" spans="1:11" ht="25" customHeight="1">
      <c r="A6" s="10" t="s">
        <v>569</v>
      </c>
      <c r="B6" s="20" t="s">
        <v>570</v>
      </c>
      <c r="C6" s="21" t="s">
        <v>571</v>
      </c>
      <c r="D6" s="21" t="s">
        <v>564</v>
      </c>
      <c r="E6" s="22" t="s">
        <v>572</v>
      </c>
      <c r="F6" s="21" t="s">
        <v>19</v>
      </c>
      <c r="G6" s="21" t="s">
        <v>571</v>
      </c>
      <c r="H6" s="21" t="s">
        <v>564</v>
      </c>
      <c r="I6" s="22" t="s">
        <v>572</v>
      </c>
      <c r="J6" s="21" t="s">
        <v>19</v>
      </c>
      <c r="K6" s="21" t="s">
        <v>573</v>
      </c>
    </row>
    <row r="7" spans="1:11">
      <c r="A7" s="23" t="s">
        <v>569</v>
      </c>
      <c r="B7" s="24" t="s">
        <v>1</v>
      </c>
      <c r="C7" s="25" t="s">
        <v>569</v>
      </c>
      <c r="D7" s="25" t="s">
        <v>569</v>
      </c>
      <c r="E7" s="25" t="s">
        <v>569</v>
      </c>
      <c r="F7" s="25" t="s">
        <v>569</v>
      </c>
      <c r="G7" s="25" t="s">
        <v>569</v>
      </c>
      <c r="H7" s="25" t="s">
        <v>569</v>
      </c>
      <c r="I7" s="25" t="s">
        <v>569</v>
      </c>
      <c r="J7" s="25" t="s">
        <v>569</v>
      </c>
      <c r="K7" s="25" t="s">
        <v>569</v>
      </c>
    </row>
    <row r="8" spans="1:11">
      <c r="B8" s="24" t="s">
        <v>574</v>
      </c>
      <c r="C8" s="27">
        <v>158437</v>
      </c>
      <c r="D8" s="27">
        <v>209920</v>
      </c>
      <c r="E8" s="27">
        <v>-158439</v>
      </c>
      <c r="F8" s="27">
        <v>209918</v>
      </c>
      <c r="G8" s="27">
        <v>176206</v>
      </c>
      <c r="H8" s="27">
        <v>194902</v>
      </c>
      <c r="I8" s="27">
        <v>-175901</v>
      </c>
      <c r="J8" s="27">
        <v>195207</v>
      </c>
      <c r="K8" s="27">
        <f>F8-J8</f>
        <v>14711</v>
      </c>
    </row>
    <row r="9" spans="1:11" outlineLevel="1">
      <c r="B9" s="26" t="s">
        <v>2</v>
      </c>
      <c r="C9" s="27">
        <v>158439</v>
      </c>
      <c r="D9" s="27">
        <v>209920</v>
      </c>
      <c r="E9" s="27">
        <v>-158439</v>
      </c>
      <c r="F9" s="27">
        <v>209920</v>
      </c>
      <c r="G9" s="27">
        <v>175901</v>
      </c>
      <c r="H9" s="27">
        <v>194902</v>
      </c>
      <c r="I9" s="27">
        <v>-175901</v>
      </c>
      <c r="J9" s="27">
        <v>194902</v>
      </c>
      <c r="K9" s="27">
        <f t="shared" ref="K9:K69" si="0">F9-J9</f>
        <v>15018</v>
      </c>
    </row>
    <row r="10" spans="1:11" outlineLevel="1">
      <c r="B10" s="26" t="s">
        <v>44</v>
      </c>
      <c r="C10" s="27">
        <v>0</v>
      </c>
      <c r="D10" s="27">
        <v>0</v>
      </c>
      <c r="E10" s="27" t="s">
        <v>569</v>
      </c>
      <c r="F10" s="27">
        <v>0</v>
      </c>
      <c r="G10" s="27">
        <v>0</v>
      </c>
      <c r="H10" s="27">
        <v>0</v>
      </c>
      <c r="I10" s="27" t="s">
        <v>569</v>
      </c>
      <c r="J10" s="27">
        <v>0</v>
      </c>
      <c r="K10" s="27">
        <f t="shared" si="0"/>
        <v>0</v>
      </c>
    </row>
    <row r="11" spans="1:11" outlineLevel="1">
      <c r="B11" s="26" t="s">
        <v>45</v>
      </c>
      <c r="C11" s="27" t="s">
        <v>569</v>
      </c>
      <c r="D11" s="27" t="s">
        <v>569</v>
      </c>
      <c r="E11" s="27" t="s">
        <v>569</v>
      </c>
      <c r="F11" s="27" t="s">
        <v>569</v>
      </c>
      <c r="G11" s="27" t="s">
        <v>569</v>
      </c>
      <c r="H11" s="27" t="s">
        <v>569</v>
      </c>
      <c r="I11" s="27" t="s">
        <v>569</v>
      </c>
      <c r="J11" s="27" t="s">
        <v>569</v>
      </c>
      <c r="K11" s="27"/>
    </row>
    <row r="12" spans="1:11" outlineLevel="1">
      <c r="B12" s="26" t="s">
        <v>47</v>
      </c>
      <c r="C12" s="27">
        <v>0</v>
      </c>
      <c r="D12" s="27">
        <v>0</v>
      </c>
      <c r="E12" s="27" t="s">
        <v>569</v>
      </c>
      <c r="F12" s="27">
        <v>0</v>
      </c>
      <c r="G12" s="27">
        <v>16</v>
      </c>
      <c r="H12" s="27">
        <v>0</v>
      </c>
      <c r="I12" s="27" t="s">
        <v>569</v>
      </c>
      <c r="J12" s="27">
        <v>16</v>
      </c>
      <c r="K12" s="27">
        <f t="shared" si="0"/>
        <v>-16</v>
      </c>
    </row>
    <row r="13" spans="1:11" outlineLevel="1">
      <c r="B13" s="26" t="s">
        <v>46</v>
      </c>
      <c r="C13" s="27">
        <v>-2</v>
      </c>
      <c r="D13" s="27" t="s">
        <v>569</v>
      </c>
      <c r="E13" s="27" t="s">
        <v>569</v>
      </c>
      <c r="F13" s="27">
        <v>-2</v>
      </c>
      <c r="G13" s="27">
        <v>289</v>
      </c>
      <c r="H13" s="27" t="s">
        <v>569</v>
      </c>
      <c r="I13" s="27" t="s">
        <v>569</v>
      </c>
      <c r="J13" s="27">
        <v>289</v>
      </c>
      <c r="K13" s="27">
        <f t="shared" si="0"/>
        <v>-291</v>
      </c>
    </row>
    <row r="14" spans="1:11" outlineLevel="1">
      <c r="B14" s="26" t="s">
        <v>3</v>
      </c>
      <c r="C14" s="27">
        <v>158437</v>
      </c>
      <c r="D14" s="27">
        <v>209920</v>
      </c>
      <c r="E14" s="27">
        <v>-158439</v>
      </c>
      <c r="F14" s="27">
        <v>209918</v>
      </c>
      <c r="G14" s="27">
        <v>176206</v>
      </c>
      <c r="H14" s="27">
        <v>194902</v>
      </c>
      <c r="I14" s="27">
        <v>-175901</v>
      </c>
      <c r="J14" s="27">
        <v>195207</v>
      </c>
      <c r="K14" s="27">
        <f t="shared" si="0"/>
        <v>14711</v>
      </c>
    </row>
    <row r="15" spans="1:11">
      <c r="A15" s="23" t="s">
        <v>569</v>
      </c>
      <c r="B15" s="24" t="s">
        <v>4</v>
      </c>
      <c r="C15" s="25" t="s">
        <v>569</v>
      </c>
      <c r="D15" s="25" t="s">
        <v>569</v>
      </c>
      <c r="E15" s="25" t="s">
        <v>569</v>
      </c>
      <c r="F15" s="25" t="s">
        <v>569</v>
      </c>
      <c r="G15" s="25" t="s">
        <v>569</v>
      </c>
      <c r="H15" s="25" t="s">
        <v>569</v>
      </c>
      <c r="I15" s="25" t="s">
        <v>569</v>
      </c>
      <c r="J15" s="25" t="s">
        <v>569</v>
      </c>
      <c r="K15" s="27"/>
    </row>
    <row r="16" spans="1:11">
      <c r="B16" s="24" t="s">
        <v>575</v>
      </c>
      <c r="C16" s="27">
        <v>92642</v>
      </c>
      <c r="D16" s="27">
        <v>158280</v>
      </c>
      <c r="E16" s="27">
        <v>-158439</v>
      </c>
      <c r="F16" s="27">
        <v>92483</v>
      </c>
      <c r="G16" s="27">
        <v>101010</v>
      </c>
      <c r="H16" s="27">
        <v>175901</v>
      </c>
      <c r="I16" s="27">
        <v>-175901</v>
      </c>
      <c r="J16" s="27">
        <v>101010</v>
      </c>
      <c r="K16" s="27">
        <f t="shared" si="0"/>
        <v>-8527</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0</v>
      </c>
      <c r="E18" s="27" t="s">
        <v>569</v>
      </c>
      <c r="F18" s="27">
        <v>0</v>
      </c>
      <c r="G18" s="27" t="s">
        <v>569</v>
      </c>
      <c r="H18" s="27">
        <v>0</v>
      </c>
      <c r="I18" s="27" t="s">
        <v>569</v>
      </c>
      <c r="J18" s="27">
        <v>0</v>
      </c>
      <c r="K18" s="27">
        <f t="shared" si="0"/>
        <v>0</v>
      </c>
    </row>
    <row r="19" spans="2:11" outlineLevel="1">
      <c r="B19" s="26" t="s">
        <v>50</v>
      </c>
      <c r="C19" s="27">
        <v>57391</v>
      </c>
      <c r="D19" s="27" t="s">
        <v>569</v>
      </c>
      <c r="E19" s="27" t="s">
        <v>569</v>
      </c>
      <c r="F19" s="27">
        <v>57391</v>
      </c>
      <c r="G19" s="27">
        <v>62706</v>
      </c>
      <c r="H19" s="27" t="s">
        <v>569</v>
      </c>
      <c r="I19" s="27" t="s">
        <v>569</v>
      </c>
      <c r="J19" s="27">
        <v>62706</v>
      </c>
      <c r="K19" s="27">
        <f t="shared" si="0"/>
        <v>-5315</v>
      </c>
    </row>
    <row r="20" spans="2:11" outlineLevel="1">
      <c r="B20" s="26" t="s">
        <v>51</v>
      </c>
      <c r="C20" s="27">
        <v>35040</v>
      </c>
      <c r="D20" s="27" t="s">
        <v>569</v>
      </c>
      <c r="E20" s="27" t="s">
        <v>569</v>
      </c>
      <c r="F20" s="27">
        <v>35040</v>
      </c>
      <c r="G20" s="27">
        <v>38087</v>
      </c>
      <c r="H20" s="27" t="s">
        <v>569</v>
      </c>
      <c r="I20" s="27" t="s">
        <v>569</v>
      </c>
      <c r="J20" s="27">
        <v>38087</v>
      </c>
      <c r="K20" s="27">
        <f t="shared" si="0"/>
        <v>-3047</v>
      </c>
    </row>
    <row r="21" spans="2:11" outlineLevel="1">
      <c r="B21" s="26" t="s">
        <v>52</v>
      </c>
      <c r="C21" s="27">
        <v>212</v>
      </c>
      <c r="D21" s="27">
        <v>158280</v>
      </c>
      <c r="E21" s="27">
        <v>-158439</v>
      </c>
      <c r="F21" s="27">
        <v>53</v>
      </c>
      <c r="G21" s="27">
        <v>217</v>
      </c>
      <c r="H21" s="27">
        <v>175901</v>
      </c>
      <c r="I21" s="27">
        <v>-175901</v>
      </c>
      <c r="J21" s="27">
        <v>217</v>
      </c>
      <c r="K21" s="27">
        <f t="shared" si="0"/>
        <v>-164</v>
      </c>
    </row>
    <row r="22" spans="2:11" outlineLevel="1">
      <c r="B22" s="26" t="s">
        <v>53</v>
      </c>
      <c r="C22" s="27">
        <v>-1</v>
      </c>
      <c r="D22" s="27" t="s">
        <v>569</v>
      </c>
      <c r="E22" s="27" t="s">
        <v>569</v>
      </c>
      <c r="F22" s="27">
        <v>-1</v>
      </c>
      <c r="G22" s="27">
        <v>0</v>
      </c>
      <c r="H22" s="27" t="s">
        <v>569</v>
      </c>
      <c r="I22" s="27" t="s">
        <v>569</v>
      </c>
      <c r="J22" s="27">
        <v>0</v>
      </c>
      <c r="K22" s="27">
        <f t="shared" si="0"/>
        <v>-1</v>
      </c>
    </row>
    <row r="23" spans="2:11">
      <c r="B23" s="24" t="s">
        <v>576</v>
      </c>
      <c r="C23" s="27">
        <v>10965</v>
      </c>
      <c r="D23" s="27" t="s">
        <v>569</v>
      </c>
      <c r="E23" s="27" t="s">
        <v>569</v>
      </c>
      <c r="F23" s="27">
        <v>10965</v>
      </c>
      <c r="G23" s="27">
        <v>11375</v>
      </c>
      <c r="H23" s="27" t="s">
        <v>569</v>
      </c>
      <c r="I23" s="27" t="s">
        <v>569</v>
      </c>
      <c r="J23" s="27">
        <v>11375</v>
      </c>
      <c r="K23" s="27">
        <f t="shared" si="0"/>
        <v>-410</v>
      </c>
    </row>
    <row r="24" spans="2:11" outlineLevel="1">
      <c r="B24" s="26" t="s">
        <v>55</v>
      </c>
      <c r="C24" s="27" t="s">
        <v>569</v>
      </c>
      <c r="D24" s="27" t="s">
        <v>569</v>
      </c>
      <c r="E24" s="27" t="s">
        <v>569</v>
      </c>
      <c r="F24" s="27" t="s">
        <v>569</v>
      </c>
      <c r="G24" s="27" t="s">
        <v>569</v>
      </c>
      <c r="H24" s="27" t="s">
        <v>569</v>
      </c>
      <c r="I24" s="27" t="s">
        <v>569</v>
      </c>
      <c r="J24" s="27" t="s">
        <v>569</v>
      </c>
      <c r="K24" s="27"/>
    </row>
    <row r="25" spans="2:11" outlineLevel="1">
      <c r="B25" s="26" t="s">
        <v>56</v>
      </c>
      <c r="C25" s="27">
        <v>381</v>
      </c>
      <c r="D25" s="27" t="s">
        <v>569</v>
      </c>
      <c r="E25" s="27" t="s">
        <v>569</v>
      </c>
      <c r="F25" s="27">
        <v>381</v>
      </c>
      <c r="G25" s="27">
        <v>415</v>
      </c>
      <c r="H25" s="27" t="s">
        <v>569</v>
      </c>
      <c r="I25" s="27" t="s">
        <v>569</v>
      </c>
      <c r="J25" s="27">
        <v>415</v>
      </c>
      <c r="K25" s="27">
        <f t="shared" si="0"/>
        <v>-34</v>
      </c>
    </row>
    <row r="26" spans="2:11" outlineLevel="1">
      <c r="B26" s="26" t="s">
        <v>57</v>
      </c>
      <c r="C26" s="27">
        <v>9488</v>
      </c>
      <c r="D26" s="27" t="s">
        <v>569</v>
      </c>
      <c r="E26" s="27" t="s">
        <v>569</v>
      </c>
      <c r="F26" s="27">
        <v>9488</v>
      </c>
      <c r="G26" s="27">
        <v>9958</v>
      </c>
      <c r="H26" s="27" t="s">
        <v>569</v>
      </c>
      <c r="I26" s="27" t="s">
        <v>569</v>
      </c>
      <c r="J26" s="27">
        <v>9958</v>
      </c>
      <c r="K26" s="27">
        <f t="shared" si="0"/>
        <v>-470</v>
      </c>
    </row>
    <row r="27" spans="2:11" outlineLevel="1">
      <c r="B27" s="26" t="s">
        <v>58</v>
      </c>
      <c r="C27" s="27">
        <v>365</v>
      </c>
      <c r="D27" s="27" t="s">
        <v>569</v>
      </c>
      <c r="E27" s="27" t="s">
        <v>569</v>
      </c>
      <c r="F27" s="27">
        <v>365</v>
      </c>
      <c r="G27" s="27">
        <v>391</v>
      </c>
      <c r="H27" s="27" t="s">
        <v>569</v>
      </c>
      <c r="I27" s="27" t="s">
        <v>569</v>
      </c>
      <c r="J27" s="27">
        <v>391</v>
      </c>
      <c r="K27" s="27">
        <f t="shared" si="0"/>
        <v>-26</v>
      </c>
    </row>
    <row r="28" spans="2:11" outlineLevel="1">
      <c r="B28" s="26" t="s">
        <v>59</v>
      </c>
      <c r="C28" s="27" t="s">
        <v>569</v>
      </c>
      <c r="D28" s="27" t="s">
        <v>569</v>
      </c>
      <c r="E28" s="27" t="s">
        <v>569</v>
      </c>
      <c r="F28" s="27" t="s">
        <v>569</v>
      </c>
      <c r="G28" s="27" t="s">
        <v>569</v>
      </c>
      <c r="H28" s="27" t="s">
        <v>569</v>
      </c>
      <c r="I28" s="27" t="s">
        <v>569</v>
      </c>
      <c r="J28" s="27" t="s">
        <v>569</v>
      </c>
      <c r="K28" s="27"/>
    </row>
    <row r="29" spans="2:11" outlineLevel="1">
      <c r="B29" s="26" t="s">
        <v>60</v>
      </c>
      <c r="C29" s="27">
        <v>597</v>
      </c>
      <c r="D29" s="27" t="s">
        <v>569</v>
      </c>
      <c r="E29" s="27" t="s">
        <v>569</v>
      </c>
      <c r="F29" s="27">
        <v>597</v>
      </c>
      <c r="G29" s="27">
        <v>610</v>
      </c>
      <c r="H29" s="27" t="s">
        <v>569</v>
      </c>
      <c r="I29" s="27" t="s">
        <v>569</v>
      </c>
      <c r="J29" s="27">
        <v>610</v>
      </c>
      <c r="K29" s="27">
        <f t="shared" si="0"/>
        <v>-13</v>
      </c>
    </row>
    <row r="30" spans="2:11" outlineLevel="1">
      <c r="B30" s="26" t="s">
        <v>61</v>
      </c>
      <c r="C30" s="27">
        <v>8</v>
      </c>
      <c r="D30" s="27" t="s">
        <v>569</v>
      </c>
      <c r="E30" s="27" t="s">
        <v>569</v>
      </c>
      <c r="F30" s="27">
        <v>8</v>
      </c>
      <c r="G30" s="27" t="s">
        <v>569</v>
      </c>
      <c r="H30" s="27" t="s">
        <v>569</v>
      </c>
      <c r="I30" s="27" t="s">
        <v>569</v>
      </c>
      <c r="J30" s="27" t="s">
        <v>569</v>
      </c>
      <c r="K30" s="27"/>
    </row>
    <row r="31" spans="2:11" outlineLevel="1">
      <c r="B31" s="26" t="s">
        <v>62</v>
      </c>
      <c r="C31" s="27" t="s">
        <v>569</v>
      </c>
      <c r="D31" s="27" t="s">
        <v>569</v>
      </c>
      <c r="E31" s="27" t="s">
        <v>569</v>
      </c>
      <c r="F31" s="27" t="s">
        <v>569</v>
      </c>
      <c r="G31" s="27" t="s">
        <v>569</v>
      </c>
      <c r="H31" s="27" t="s">
        <v>569</v>
      </c>
      <c r="I31" s="27" t="s">
        <v>569</v>
      </c>
      <c r="J31" s="27" t="s">
        <v>569</v>
      </c>
      <c r="K31" s="27"/>
    </row>
    <row r="32" spans="2:11" outlineLevel="1">
      <c r="B32" s="26" t="s">
        <v>557</v>
      </c>
      <c r="C32" s="27">
        <v>127</v>
      </c>
      <c r="D32" s="27" t="s">
        <v>569</v>
      </c>
      <c r="E32" s="27" t="s">
        <v>569</v>
      </c>
      <c r="F32" s="27">
        <v>127</v>
      </c>
      <c r="G32" s="27" t="s">
        <v>569</v>
      </c>
      <c r="H32" s="27" t="s">
        <v>569</v>
      </c>
      <c r="I32" s="27" t="s">
        <v>569</v>
      </c>
      <c r="J32" s="27" t="s">
        <v>569</v>
      </c>
      <c r="K32" s="27"/>
    </row>
    <row r="33" spans="2:11">
      <c r="B33" s="24" t="s">
        <v>577</v>
      </c>
      <c r="C33" s="27">
        <v>14229</v>
      </c>
      <c r="D33" s="27">
        <v>3000</v>
      </c>
      <c r="E33" s="27" t="s">
        <v>569</v>
      </c>
      <c r="F33" s="27">
        <v>17229</v>
      </c>
      <c r="G33" s="27">
        <v>14894</v>
      </c>
      <c r="H33" s="27">
        <v>0</v>
      </c>
      <c r="I33" s="27" t="s">
        <v>569</v>
      </c>
      <c r="J33" s="27">
        <v>14894</v>
      </c>
      <c r="K33" s="27">
        <f t="shared" si="0"/>
        <v>2335</v>
      </c>
    </row>
    <row r="34" spans="2:11" outlineLevel="1">
      <c r="B34" s="26" t="s">
        <v>64</v>
      </c>
      <c r="C34" s="27" t="s">
        <v>569</v>
      </c>
      <c r="D34" s="27" t="s">
        <v>569</v>
      </c>
      <c r="E34" s="27" t="s">
        <v>569</v>
      </c>
      <c r="F34" s="27" t="s">
        <v>569</v>
      </c>
      <c r="G34" s="27" t="s">
        <v>569</v>
      </c>
      <c r="H34" s="27" t="s">
        <v>569</v>
      </c>
      <c r="I34" s="27" t="s">
        <v>569</v>
      </c>
      <c r="J34" s="27" t="s">
        <v>569</v>
      </c>
      <c r="K34" s="27"/>
    </row>
    <row r="35" spans="2:11" outlineLevel="1">
      <c r="B35" s="26" t="s">
        <v>65</v>
      </c>
      <c r="C35" s="27">
        <v>2663</v>
      </c>
      <c r="D35" s="27" t="s">
        <v>569</v>
      </c>
      <c r="E35" s="27" t="s">
        <v>569</v>
      </c>
      <c r="F35" s="27">
        <v>2663</v>
      </c>
      <c r="G35" s="27">
        <v>2980</v>
      </c>
      <c r="H35" s="27" t="s">
        <v>569</v>
      </c>
      <c r="I35" s="27" t="s">
        <v>569</v>
      </c>
      <c r="J35" s="27">
        <v>2980</v>
      </c>
      <c r="K35" s="27">
        <f t="shared" si="0"/>
        <v>-317</v>
      </c>
    </row>
    <row r="36" spans="2:11" outlineLevel="1">
      <c r="B36" s="26" t="s">
        <v>66</v>
      </c>
      <c r="C36" s="27" t="s">
        <v>569</v>
      </c>
      <c r="D36" s="27" t="s">
        <v>569</v>
      </c>
      <c r="E36" s="27" t="s">
        <v>569</v>
      </c>
      <c r="F36" s="27" t="s">
        <v>569</v>
      </c>
      <c r="G36" s="27" t="s">
        <v>569</v>
      </c>
      <c r="H36" s="27" t="s">
        <v>569</v>
      </c>
      <c r="I36" s="27" t="s">
        <v>569</v>
      </c>
      <c r="J36" s="27" t="s">
        <v>569</v>
      </c>
      <c r="K36" s="27"/>
    </row>
    <row r="37" spans="2:11" outlineLevel="1">
      <c r="B37" s="26" t="s">
        <v>67</v>
      </c>
      <c r="C37" s="27">
        <v>719</v>
      </c>
      <c r="D37" s="27" t="s">
        <v>569</v>
      </c>
      <c r="E37" s="27" t="s">
        <v>569</v>
      </c>
      <c r="F37" s="27">
        <v>719</v>
      </c>
      <c r="G37" s="27">
        <v>743</v>
      </c>
      <c r="H37" s="27" t="s">
        <v>569</v>
      </c>
      <c r="I37" s="27" t="s">
        <v>569</v>
      </c>
      <c r="J37" s="27">
        <v>743</v>
      </c>
      <c r="K37" s="27">
        <f t="shared" si="0"/>
        <v>-24</v>
      </c>
    </row>
    <row r="38" spans="2:11" outlineLevel="1">
      <c r="B38" s="26" t="s">
        <v>68</v>
      </c>
      <c r="C38" s="27">
        <v>4162</v>
      </c>
      <c r="D38" s="27" t="s">
        <v>569</v>
      </c>
      <c r="E38" s="27" t="s">
        <v>569</v>
      </c>
      <c r="F38" s="27">
        <v>4162</v>
      </c>
      <c r="G38" s="27">
        <v>4302</v>
      </c>
      <c r="H38" s="27" t="s">
        <v>569</v>
      </c>
      <c r="I38" s="27" t="s">
        <v>569</v>
      </c>
      <c r="J38" s="27">
        <v>4302</v>
      </c>
      <c r="K38" s="27">
        <f t="shared" si="0"/>
        <v>-140</v>
      </c>
    </row>
    <row r="39" spans="2:11" outlineLevel="1">
      <c r="B39" s="26" t="s">
        <v>69</v>
      </c>
      <c r="C39" s="27">
        <v>1924</v>
      </c>
      <c r="D39" s="27" t="s">
        <v>569</v>
      </c>
      <c r="E39" s="27" t="s">
        <v>569</v>
      </c>
      <c r="F39" s="27">
        <v>1924</v>
      </c>
      <c r="G39" s="27">
        <v>1964</v>
      </c>
      <c r="H39" s="27" t="s">
        <v>569</v>
      </c>
      <c r="I39" s="27" t="s">
        <v>569</v>
      </c>
      <c r="J39" s="27">
        <v>1964</v>
      </c>
      <c r="K39" s="27">
        <f t="shared" si="0"/>
        <v>-40</v>
      </c>
    </row>
    <row r="40" spans="2:11" outlineLevel="1">
      <c r="B40" s="26" t="s">
        <v>71</v>
      </c>
      <c r="C40" s="27">
        <v>290</v>
      </c>
      <c r="D40" s="27" t="s">
        <v>569</v>
      </c>
      <c r="E40" s="27" t="s">
        <v>569</v>
      </c>
      <c r="F40" s="27">
        <v>290</v>
      </c>
      <c r="G40" s="27">
        <v>285</v>
      </c>
      <c r="H40" s="27" t="s">
        <v>569</v>
      </c>
      <c r="I40" s="27" t="s">
        <v>569</v>
      </c>
      <c r="J40" s="27">
        <v>285</v>
      </c>
      <c r="K40" s="27">
        <f t="shared" si="0"/>
        <v>5</v>
      </c>
    </row>
    <row r="41" spans="2:11" outlineLevel="1">
      <c r="B41" s="26" t="s">
        <v>72</v>
      </c>
      <c r="C41" s="27">
        <v>4207</v>
      </c>
      <c r="D41" s="27" t="s">
        <v>569</v>
      </c>
      <c r="E41" s="27" t="s">
        <v>569</v>
      </c>
      <c r="F41" s="27">
        <v>4207</v>
      </c>
      <c r="G41" s="27">
        <v>4348</v>
      </c>
      <c r="H41" s="27" t="s">
        <v>569</v>
      </c>
      <c r="I41" s="27" t="s">
        <v>569</v>
      </c>
      <c r="J41" s="27">
        <v>4348</v>
      </c>
      <c r="K41" s="27">
        <f t="shared" si="0"/>
        <v>-141</v>
      </c>
    </row>
    <row r="42" spans="2:11" outlineLevel="1">
      <c r="B42" s="26" t="s">
        <v>73</v>
      </c>
      <c r="C42" s="27">
        <v>263</v>
      </c>
      <c r="D42" s="27">
        <v>3000</v>
      </c>
      <c r="E42" s="27" t="s">
        <v>569</v>
      </c>
      <c r="F42" s="27">
        <v>3263</v>
      </c>
      <c r="G42" s="27">
        <v>272</v>
      </c>
      <c r="H42" s="27">
        <v>0</v>
      </c>
      <c r="I42" s="27" t="s">
        <v>569</v>
      </c>
      <c r="J42" s="27">
        <v>272</v>
      </c>
      <c r="K42" s="27">
        <f t="shared" si="0"/>
        <v>2991</v>
      </c>
    </row>
    <row r="43" spans="2:11" outlineLevel="1">
      <c r="B43" s="26" t="s">
        <v>70</v>
      </c>
      <c r="C43" s="27" t="s">
        <v>569</v>
      </c>
      <c r="D43" s="27" t="s">
        <v>569</v>
      </c>
      <c r="E43" s="27" t="s">
        <v>569</v>
      </c>
      <c r="F43" s="27" t="s">
        <v>569</v>
      </c>
      <c r="G43" s="27" t="s">
        <v>569</v>
      </c>
      <c r="H43" s="27" t="s">
        <v>569</v>
      </c>
      <c r="I43" s="27" t="s">
        <v>569</v>
      </c>
      <c r="J43" s="27" t="s">
        <v>569</v>
      </c>
      <c r="K43" s="27"/>
    </row>
    <row r="44" spans="2:11">
      <c r="B44" s="24" t="s">
        <v>578</v>
      </c>
      <c r="C44" s="27">
        <v>1464</v>
      </c>
      <c r="D44" s="27">
        <v>505</v>
      </c>
      <c r="E44" s="27" t="s">
        <v>569</v>
      </c>
      <c r="F44" s="27">
        <v>1969</v>
      </c>
      <c r="G44" s="27">
        <v>1496</v>
      </c>
      <c r="H44" s="27">
        <v>638</v>
      </c>
      <c r="I44" s="27" t="s">
        <v>569</v>
      </c>
      <c r="J44" s="27">
        <v>2134</v>
      </c>
      <c r="K44" s="27">
        <f t="shared" si="0"/>
        <v>-165</v>
      </c>
    </row>
    <row r="45" spans="2:11" outlineLevel="1">
      <c r="B45" s="26" t="s">
        <v>75</v>
      </c>
      <c r="C45" s="27" t="s">
        <v>569</v>
      </c>
      <c r="D45" s="27">
        <v>285</v>
      </c>
      <c r="E45" s="27" t="s">
        <v>569</v>
      </c>
      <c r="F45" s="27">
        <v>285</v>
      </c>
      <c r="G45" s="27" t="s">
        <v>569</v>
      </c>
      <c r="H45" s="27">
        <v>285</v>
      </c>
      <c r="I45" s="27" t="s">
        <v>569</v>
      </c>
      <c r="J45" s="27">
        <v>285</v>
      </c>
      <c r="K45" s="27">
        <f t="shared" si="0"/>
        <v>0</v>
      </c>
    </row>
    <row r="46" spans="2:11" outlineLevel="1">
      <c r="B46" s="26" t="s">
        <v>76</v>
      </c>
      <c r="C46" s="27" t="s">
        <v>569</v>
      </c>
      <c r="D46" s="27">
        <v>220</v>
      </c>
      <c r="E46" s="27" t="s">
        <v>569</v>
      </c>
      <c r="F46" s="27">
        <v>220</v>
      </c>
      <c r="G46" s="27" t="s">
        <v>569</v>
      </c>
      <c r="H46" s="27">
        <v>352</v>
      </c>
      <c r="I46" s="27" t="s">
        <v>569</v>
      </c>
      <c r="J46" s="27">
        <v>352</v>
      </c>
      <c r="K46" s="27">
        <f t="shared" si="0"/>
        <v>-132</v>
      </c>
    </row>
    <row r="47" spans="2:11" outlineLevel="1">
      <c r="B47" s="26" t="s">
        <v>79</v>
      </c>
      <c r="C47" s="27">
        <v>688</v>
      </c>
      <c r="D47" s="27">
        <v>0</v>
      </c>
      <c r="E47" s="27" t="s">
        <v>569</v>
      </c>
      <c r="F47" s="27">
        <v>688</v>
      </c>
      <c r="G47" s="27">
        <v>479</v>
      </c>
      <c r="H47" s="27">
        <v>0</v>
      </c>
      <c r="I47" s="27" t="s">
        <v>569</v>
      </c>
      <c r="J47" s="27">
        <v>479</v>
      </c>
      <c r="K47" s="27">
        <f t="shared" si="0"/>
        <v>209</v>
      </c>
    </row>
    <row r="48" spans="2:11" outlineLevel="1">
      <c r="B48" s="26" t="s">
        <v>74</v>
      </c>
      <c r="C48" s="27">
        <v>27</v>
      </c>
      <c r="D48" s="27" t="s">
        <v>569</v>
      </c>
      <c r="E48" s="27" t="s">
        <v>569</v>
      </c>
      <c r="F48" s="27">
        <v>27</v>
      </c>
      <c r="G48" s="27">
        <v>29</v>
      </c>
      <c r="H48" s="27" t="s">
        <v>569</v>
      </c>
      <c r="I48" s="27" t="s">
        <v>569</v>
      </c>
      <c r="J48" s="27">
        <v>29</v>
      </c>
      <c r="K48" s="27">
        <f t="shared" si="0"/>
        <v>-2</v>
      </c>
    </row>
    <row r="49" spans="2:11" outlineLevel="1">
      <c r="B49" s="26" t="s">
        <v>80</v>
      </c>
      <c r="C49" s="27">
        <v>210</v>
      </c>
      <c r="D49" s="27" t="s">
        <v>569</v>
      </c>
      <c r="E49" s="27" t="s">
        <v>569</v>
      </c>
      <c r="F49" s="27">
        <v>210</v>
      </c>
      <c r="G49" s="27">
        <v>213</v>
      </c>
      <c r="H49" s="27" t="s">
        <v>569</v>
      </c>
      <c r="I49" s="27" t="s">
        <v>569</v>
      </c>
      <c r="J49" s="27">
        <v>213</v>
      </c>
      <c r="K49" s="27">
        <f t="shared" si="0"/>
        <v>-3</v>
      </c>
    </row>
    <row r="50" spans="2:11" outlineLevel="1">
      <c r="B50" s="26" t="s">
        <v>579</v>
      </c>
      <c r="C50" s="27">
        <v>539</v>
      </c>
      <c r="D50" s="27" t="s">
        <v>569</v>
      </c>
      <c r="E50" s="27" t="s">
        <v>569</v>
      </c>
      <c r="F50" s="27">
        <v>539</v>
      </c>
      <c r="G50" s="27">
        <v>775</v>
      </c>
      <c r="H50" s="27" t="s">
        <v>569</v>
      </c>
      <c r="I50" s="27" t="s">
        <v>569</v>
      </c>
      <c r="J50" s="27">
        <v>775</v>
      </c>
      <c r="K50" s="27">
        <f t="shared" si="0"/>
        <v>-236</v>
      </c>
    </row>
    <row r="51" spans="2:11">
      <c r="B51" s="24" t="s">
        <v>580</v>
      </c>
      <c r="C51" s="27">
        <v>4254</v>
      </c>
      <c r="D51" s="27" t="s">
        <v>569</v>
      </c>
      <c r="E51" s="27" t="s">
        <v>569</v>
      </c>
      <c r="F51" s="27">
        <v>4254</v>
      </c>
      <c r="G51" s="27">
        <v>4084</v>
      </c>
      <c r="H51" s="27" t="s">
        <v>569</v>
      </c>
      <c r="I51" s="27" t="s">
        <v>569</v>
      </c>
      <c r="J51" s="27">
        <v>4084</v>
      </c>
      <c r="K51" s="27">
        <f t="shared" si="0"/>
        <v>170</v>
      </c>
    </row>
    <row r="52" spans="2:11" outlineLevel="1">
      <c r="B52" s="26" t="s">
        <v>82</v>
      </c>
      <c r="C52" s="27">
        <v>4254</v>
      </c>
      <c r="D52" s="27" t="s">
        <v>569</v>
      </c>
      <c r="E52" s="27" t="s">
        <v>569</v>
      </c>
      <c r="F52" s="27">
        <v>4254</v>
      </c>
      <c r="G52" s="27">
        <v>4084</v>
      </c>
      <c r="H52" s="27" t="s">
        <v>569</v>
      </c>
      <c r="I52" s="27" t="s">
        <v>569</v>
      </c>
      <c r="J52" s="27">
        <v>4084</v>
      </c>
      <c r="K52" s="27">
        <f t="shared" si="0"/>
        <v>170</v>
      </c>
    </row>
    <row r="53" spans="2:11">
      <c r="B53" s="24" t="s">
        <v>581</v>
      </c>
      <c r="C53" s="27">
        <v>5117</v>
      </c>
      <c r="D53" s="27">
        <v>12533</v>
      </c>
      <c r="E53" s="27" t="s">
        <v>569</v>
      </c>
      <c r="F53" s="27">
        <v>17650</v>
      </c>
      <c r="G53" s="27">
        <v>5091</v>
      </c>
      <c r="H53" s="27">
        <v>16922</v>
      </c>
      <c r="I53" s="27" t="s">
        <v>569</v>
      </c>
      <c r="J53" s="27">
        <v>22012</v>
      </c>
      <c r="K53" s="27">
        <f t="shared" si="0"/>
        <v>-4362</v>
      </c>
    </row>
    <row r="54" spans="2:11" outlineLevel="1">
      <c r="B54" s="26" t="s">
        <v>84</v>
      </c>
      <c r="C54" s="27" t="s">
        <v>569</v>
      </c>
      <c r="D54" s="27" t="s">
        <v>569</v>
      </c>
      <c r="E54" s="27" t="s">
        <v>569</v>
      </c>
      <c r="F54" s="27" t="s">
        <v>569</v>
      </c>
      <c r="G54" s="27" t="s">
        <v>569</v>
      </c>
      <c r="H54" s="27" t="s">
        <v>569</v>
      </c>
      <c r="I54" s="27" t="s">
        <v>569</v>
      </c>
      <c r="J54" s="27" t="s">
        <v>569</v>
      </c>
      <c r="K54" s="27"/>
    </row>
    <row r="55" spans="2:11" outlineLevel="1">
      <c r="B55" s="26" t="s">
        <v>85</v>
      </c>
      <c r="C55" s="27" t="s">
        <v>569</v>
      </c>
      <c r="D55" s="27" t="s">
        <v>569</v>
      </c>
      <c r="E55" s="27" t="s">
        <v>569</v>
      </c>
      <c r="F55" s="27" t="s">
        <v>569</v>
      </c>
      <c r="G55" s="27" t="s">
        <v>569</v>
      </c>
      <c r="H55" s="27" t="s">
        <v>569</v>
      </c>
      <c r="I55" s="27" t="s">
        <v>569</v>
      </c>
      <c r="J55" s="27" t="s">
        <v>569</v>
      </c>
      <c r="K55" s="27"/>
    </row>
    <row r="56" spans="2:11" outlineLevel="1">
      <c r="B56" s="26" t="s">
        <v>86</v>
      </c>
      <c r="C56" s="27" t="s">
        <v>569</v>
      </c>
      <c r="D56" s="27" t="s">
        <v>569</v>
      </c>
      <c r="E56" s="27" t="s">
        <v>569</v>
      </c>
      <c r="F56" s="27" t="s">
        <v>569</v>
      </c>
      <c r="G56" s="27" t="s">
        <v>569</v>
      </c>
      <c r="H56" s="27" t="s">
        <v>569</v>
      </c>
      <c r="I56" s="27" t="s">
        <v>569</v>
      </c>
      <c r="J56" s="27" t="s">
        <v>569</v>
      </c>
      <c r="K56" s="27"/>
    </row>
    <row r="57" spans="2:11" outlineLevel="1">
      <c r="B57" s="26" t="s">
        <v>88</v>
      </c>
      <c r="C57" s="27">
        <v>427</v>
      </c>
      <c r="D57" s="27" t="s">
        <v>569</v>
      </c>
      <c r="E57" s="27" t="s">
        <v>569</v>
      </c>
      <c r="F57" s="27">
        <v>427</v>
      </c>
      <c r="G57" s="27">
        <v>163</v>
      </c>
      <c r="H57" s="27" t="s">
        <v>569</v>
      </c>
      <c r="I57" s="27" t="s">
        <v>569</v>
      </c>
      <c r="J57" s="27">
        <v>163</v>
      </c>
      <c r="K57" s="27">
        <f t="shared" si="0"/>
        <v>264</v>
      </c>
    </row>
    <row r="58" spans="2:11" outlineLevel="1">
      <c r="B58" s="26" t="s">
        <v>89</v>
      </c>
      <c r="C58" s="27" t="s">
        <v>569</v>
      </c>
      <c r="D58" s="27" t="s">
        <v>569</v>
      </c>
      <c r="E58" s="27" t="s">
        <v>569</v>
      </c>
      <c r="F58" s="27" t="s">
        <v>569</v>
      </c>
      <c r="G58" s="27" t="s">
        <v>569</v>
      </c>
      <c r="H58" s="27" t="s">
        <v>569</v>
      </c>
      <c r="I58" s="27" t="s">
        <v>569</v>
      </c>
      <c r="J58" s="27" t="s">
        <v>569</v>
      </c>
      <c r="K58" s="27"/>
    </row>
    <row r="59" spans="2:11" outlineLevel="1">
      <c r="B59" s="26" t="s">
        <v>90</v>
      </c>
      <c r="C59" s="27" t="s">
        <v>569</v>
      </c>
      <c r="D59" s="27" t="s">
        <v>569</v>
      </c>
      <c r="E59" s="27" t="s">
        <v>569</v>
      </c>
      <c r="F59" s="27" t="s">
        <v>569</v>
      </c>
      <c r="G59" s="27" t="s">
        <v>569</v>
      </c>
      <c r="H59" s="27" t="s">
        <v>569</v>
      </c>
      <c r="I59" s="27" t="s">
        <v>569</v>
      </c>
      <c r="J59" s="27" t="s">
        <v>569</v>
      </c>
      <c r="K59" s="27"/>
    </row>
    <row r="60" spans="2:11" outlineLevel="1">
      <c r="B60" s="26" t="s">
        <v>91</v>
      </c>
      <c r="C60" s="27">
        <v>1873</v>
      </c>
      <c r="D60" s="27" t="s">
        <v>569</v>
      </c>
      <c r="E60" s="27" t="s">
        <v>569</v>
      </c>
      <c r="F60" s="27">
        <v>1873</v>
      </c>
      <c r="G60" s="27">
        <v>1977</v>
      </c>
      <c r="H60" s="27" t="s">
        <v>569</v>
      </c>
      <c r="I60" s="27" t="s">
        <v>569</v>
      </c>
      <c r="J60" s="27">
        <v>1977</v>
      </c>
      <c r="K60" s="27">
        <f t="shared" si="0"/>
        <v>-104</v>
      </c>
    </row>
    <row r="61" spans="2:11" outlineLevel="1">
      <c r="B61" s="26" t="s">
        <v>93</v>
      </c>
      <c r="C61" s="27" t="s">
        <v>569</v>
      </c>
      <c r="D61" s="27" t="s">
        <v>569</v>
      </c>
      <c r="E61" s="27" t="s">
        <v>569</v>
      </c>
      <c r="F61" s="27" t="s">
        <v>569</v>
      </c>
      <c r="G61" s="27" t="s">
        <v>569</v>
      </c>
      <c r="H61" s="27" t="s">
        <v>569</v>
      </c>
      <c r="I61" s="27" t="s">
        <v>569</v>
      </c>
      <c r="J61" s="27" t="s">
        <v>569</v>
      </c>
      <c r="K61" s="27"/>
    </row>
    <row r="62" spans="2:11" outlineLevel="1">
      <c r="B62" s="26" t="s">
        <v>94</v>
      </c>
      <c r="C62" s="27" t="s">
        <v>569</v>
      </c>
      <c r="D62" s="27" t="s">
        <v>569</v>
      </c>
      <c r="E62" s="27" t="s">
        <v>569</v>
      </c>
      <c r="F62" s="27" t="s">
        <v>569</v>
      </c>
      <c r="G62" s="27" t="s">
        <v>569</v>
      </c>
      <c r="H62" s="27" t="s">
        <v>569</v>
      </c>
      <c r="I62" s="27" t="s">
        <v>569</v>
      </c>
      <c r="J62" s="27" t="s">
        <v>569</v>
      </c>
      <c r="K62" s="27"/>
    </row>
    <row r="63" spans="2:11" outlineLevel="1">
      <c r="B63" s="26" t="s">
        <v>95</v>
      </c>
      <c r="C63" s="27">
        <v>2818</v>
      </c>
      <c r="D63" s="27" t="s">
        <v>569</v>
      </c>
      <c r="E63" s="27" t="s">
        <v>569</v>
      </c>
      <c r="F63" s="27">
        <v>2818</v>
      </c>
      <c r="G63" s="27">
        <v>2951</v>
      </c>
      <c r="H63" s="27" t="s">
        <v>569</v>
      </c>
      <c r="I63" s="27" t="s">
        <v>569</v>
      </c>
      <c r="J63" s="27">
        <v>2951</v>
      </c>
      <c r="K63" s="27">
        <f t="shared" si="0"/>
        <v>-133</v>
      </c>
    </row>
    <row r="64" spans="2:11" outlineLevel="1">
      <c r="B64" s="26" t="s">
        <v>77</v>
      </c>
      <c r="C64" s="27" t="s">
        <v>569</v>
      </c>
      <c r="D64" s="27">
        <v>12533</v>
      </c>
      <c r="E64" s="27"/>
      <c r="F64" s="27">
        <v>12533</v>
      </c>
      <c r="G64" s="27" t="s">
        <v>569</v>
      </c>
      <c r="H64" s="27">
        <v>16922</v>
      </c>
      <c r="I64" s="27" t="s">
        <v>569</v>
      </c>
      <c r="J64" s="27">
        <v>16922</v>
      </c>
      <c r="K64" s="27">
        <f t="shared" si="0"/>
        <v>-4389</v>
      </c>
    </row>
    <row r="65" spans="1:11">
      <c r="B65" s="26" t="s">
        <v>10</v>
      </c>
      <c r="C65" s="27">
        <v>128671</v>
      </c>
      <c r="D65" s="27">
        <v>174318</v>
      </c>
      <c r="E65" s="27">
        <v>-158439</v>
      </c>
      <c r="F65" s="27">
        <f>F53+F44+F33+F23+F16+F51</f>
        <v>144550</v>
      </c>
      <c r="G65" s="27">
        <v>137951</v>
      </c>
      <c r="H65" s="27">
        <v>193460</v>
      </c>
      <c r="I65" s="27">
        <v>-175901</v>
      </c>
      <c r="J65" s="27">
        <v>155510</v>
      </c>
      <c r="K65" s="27">
        <f t="shared" si="0"/>
        <v>-10960</v>
      </c>
    </row>
    <row r="66" spans="1:11">
      <c r="A66" s="23" t="s">
        <v>569</v>
      </c>
      <c r="B66" s="24" t="s">
        <v>582</v>
      </c>
      <c r="C66" s="25">
        <v>29766</v>
      </c>
      <c r="D66" s="25">
        <v>35602</v>
      </c>
      <c r="E66" s="25"/>
      <c r="F66" s="25">
        <v>65368</v>
      </c>
      <c r="G66" s="25">
        <v>38256</v>
      </c>
      <c r="H66" s="25">
        <v>1442</v>
      </c>
      <c r="I66" s="25">
        <v>0</v>
      </c>
      <c r="J66" s="25">
        <v>39697</v>
      </c>
      <c r="K66" s="27">
        <f t="shared" si="0"/>
        <v>25671</v>
      </c>
    </row>
    <row r="67" spans="1:11">
      <c r="A67" s="23" t="s">
        <v>569</v>
      </c>
      <c r="B67" s="24" t="s">
        <v>12</v>
      </c>
      <c r="C67" s="25" t="s">
        <v>633</v>
      </c>
      <c r="D67" s="25" t="s">
        <v>634</v>
      </c>
      <c r="E67" s="25">
        <v>0</v>
      </c>
      <c r="F67" s="25" t="s">
        <v>635</v>
      </c>
      <c r="G67" s="25" t="s">
        <v>583</v>
      </c>
      <c r="H67" s="25" t="s">
        <v>584</v>
      </c>
      <c r="I67" s="25">
        <v>0</v>
      </c>
      <c r="J67" s="25" t="s">
        <v>636</v>
      </c>
      <c r="K67" s="27">
        <f t="shared" si="0"/>
        <v>0.10999999999999999</v>
      </c>
    </row>
    <row r="68" spans="1:11">
      <c r="A68" s="23" t="s">
        <v>569</v>
      </c>
      <c r="B68" s="24" t="s">
        <v>13</v>
      </c>
      <c r="C68" s="25" t="s">
        <v>569</v>
      </c>
      <c r="D68" s="25" t="s">
        <v>569</v>
      </c>
      <c r="E68" s="25" t="s">
        <v>569</v>
      </c>
      <c r="F68" s="25" t="s">
        <v>569</v>
      </c>
      <c r="G68" s="25" t="s">
        <v>569</v>
      </c>
      <c r="H68" s="25" t="s">
        <v>569</v>
      </c>
      <c r="I68" s="25" t="s">
        <v>569</v>
      </c>
      <c r="J68" s="25" t="s">
        <v>569</v>
      </c>
      <c r="K68" s="27"/>
    </row>
    <row r="69" spans="1:11">
      <c r="B69" s="24" t="s">
        <v>589</v>
      </c>
      <c r="C69" s="27">
        <v>1358</v>
      </c>
      <c r="D69" s="27">
        <v>49</v>
      </c>
      <c r="E69" s="27" t="s">
        <v>569</v>
      </c>
      <c r="F69" s="27">
        <v>1407</v>
      </c>
      <c r="G69" s="27">
        <v>1354</v>
      </c>
      <c r="H69" s="27">
        <v>2076</v>
      </c>
      <c r="I69" s="27" t="s">
        <v>569</v>
      </c>
      <c r="J69" s="27">
        <v>3430</v>
      </c>
      <c r="K69" s="27">
        <f t="shared" si="0"/>
        <v>-2023</v>
      </c>
    </row>
    <row r="70" spans="1:11" outlineLevel="1">
      <c r="B70" s="26" t="s">
        <v>96</v>
      </c>
      <c r="C70" s="27" t="s">
        <v>569</v>
      </c>
      <c r="D70" s="27" t="s">
        <v>569</v>
      </c>
      <c r="E70" s="27" t="s">
        <v>569</v>
      </c>
      <c r="F70" s="27" t="s">
        <v>569</v>
      </c>
      <c r="G70" s="27" t="s">
        <v>569</v>
      </c>
      <c r="H70" s="27" t="s">
        <v>569</v>
      </c>
      <c r="I70" s="27" t="s">
        <v>569</v>
      </c>
      <c r="J70" s="27" t="s">
        <v>569</v>
      </c>
      <c r="K70" s="27"/>
    </row>
    <row r="71" spans="1:11" outlineLevel="1">
      <c r="B71" s="26" t="s">
        <v>97</v>
      </c>
      <c r="C71" s="27" t="s">
        <v>569</v>
      </c>
      <c r="D71" s="27" t="s">
        <v>569</v>
      </c>
      <c r="E71" s="27" t="s">
        <v>569</v>
      </c>
      <c r="F71" s="27" t="s">
        <v>569</v>
      </c>
      <c r="G71" s="27" t="s">
        <v>569</v>
      </c>
      <c r="H71" s="27" t="s">
        <v>569</v>
      </c>
      <c r="I71" s="27" t="s">
        <v>569</v>
      </c>
      <c r="J71" s="27" t="s">
        <v>569</v>
      </c>
      <c r="K71" s="27"/>
    </row>
    <row r="72" spans="1:11" outlineLevel="1">
      <c r="B72" s="26" t="s">
        <v>98</v>
      </c>
      <c r="C72" s="27" t="s">
        <v>569</v>
      </c>
      <c r="D72" s="27" t="s">
        <v>569</v>
      </c>
      <c r="E72" s="27" t="s">
        <v>569</v>
      </c>
      <c r="F72" s="27" t="s">
        <v>569</v>
      </c>
      <c r="G72" s="27" t="s">
        <v>569</v>
      </c>
      <c r="H72" s="27" t="s">
        <v>569</v>
      </c>
      <c r="I72" s="27" t="s">
        <v>569</v>
      </c>
      <c r="J72" s="27" t="s">
        <v>569</v>
      </c>
      <c r="K72" s="27"/>
    </row>
    <row r="73" spans="1:11" outlineLevel="1">
      <c r="B73" s="26" t="s">
        <v>99</v>
      </c>
      <c r="C73" s="27">
        <v>269</v>
      </c>
      <c r="D73" s="27">
        <v>49</v>
      </c>
      <c r="E73" s="27" t="s">
        <v>569</v>
      </c>
      <c r="F73" s="27">
        <v>318</v>
      </c>
      <c r="G73" s="27">
        <v>107</v>
      </c>
      <c r="H73" s="27">
        <v>888</v>
      </c>
      <c r="I73" s="27" t="s">
        <v>569</v>
      </c>
      <c r="J73" s="27">
        <v>994</v>
      </c>
      <c r="K73" s="27">
        <f t="shared" ref="K73:K136" si="1">F73-J73</f>
        <v>-676</v>
      </c>
    </row>
    <row r="74" spans="1:11" outlineLevel="1">
      <c r="B74" s="26" t="s">
        <v>100</v>
      </c>
      <c r="C74" s="27" t="s">
        <v>569</v>
      </c>
      <c r="D74" s="27" t="s">
        <v>569</v>
      </c>
      <c r="E74" s="27" t="s">
        <v>569</v>
      </c>
      <c r="F74" s="27" t="s">
        <v>569</v>
      </c>
      <c r="G74" s="27" t="s">
        <v>569</v>
      </c>
      <c r="H74" s="27" t="s">
        <v>569</v>
      </c>
      <c r="I74" s="27" t="s">
        <v>569</v>
      </c>
      <c r="J74" s="27" t="s">
        <v>569</v>
      </c>
      <c r="K74" s="27"/>
    </row>
    <row r="75" spans="1:11" outlineLevel="1">
      <c r="B75" s="26" t="s">
        <v>590</v>
      </c>
      <c r="C75" s="27" t="s">
        <v>569</v>
      </c>
      <c r="D75" s="27" t="s">
        <v>569</v>
      </c>
      <c r="E75" s="27" t="s">
        <v>569</v>
      </c>
      <c r="F75" s="27" t="s">
        <v>569</v>
      </c>
      <c r="G75" s="27" t="s">
        <v>569</v>
      </c>
      <c r="H75" s="27" t="s">
        <v>569</v>
      </c>
      <c r="I75" s="27" t="s">
        <v>569</v>
      </c>
      <c r="J75" s="27" t="s">
        <v>569</v>
      </c>
      <c r="K75" s="27"/>
    </row>
    <row r="76" spans="1:11" outlineLevel="1">
      <c r="B76" s="26" t="s">
        <v>102</v>
      </c>
      <c r="C76" s="27" t="s">
        <v>569</v>
      </c>
      <c r="D76" s="27" t="s">
        <v>569</v>
      </c>
      <c r="E76" s="27" t="s">
        <v>569</v>
      </c>
      <c r="F76" s="27" t="s">
        <v>569</v>
      </c>
      <c r="G76" s="27" t="s">
        <v>569</v>
      </c>
      <c r="H76" s="27" t="s">
        <v>569</v>
      </c>
      <c r="I76" s="27" t="s">
        <v>569</v>
      </c>
      <c r="J76" s="27" t="s">
        <v>569</v>
      </c>
      <c r="K76" s="27"/>
    </row>
    <row r="77" spans="1:11" outlineLevel="1">
      <c r="B77" s="26" t="s">
        <v>104</v>
      </c>
      <c r="C77" s="27" t="s">
        <v>569</v>
      </c>
      <c r="D77" s="27">
        <v>0</v>
      </c>
      <c r="E77" s="27" t="s">
        <v>569</v>
      </c>
      <c r="F77" s="27">
        <v>0</v>
      </c>
      <c r="G77" s="27" t="s">
        <v>569</v>
      </c>
      <c r="H77" s="27">
        <v>1188</v>
      </c>
      <c r="I77" s="27" t="s">
        <v>569</v>
      </c>
      <c r="J77" s="27">
        <v>1188</v>
      </c>
      <c r="K77" s="27">
        <f t="shared" si="1"/>
        <v>-1188</v>
      </c>
    </row>
    <row r="78" spans="1:11" outlineLevel="1">
      <c r="B78" s="26" t="s">
        <v>105</v>
      </c>
      <c r="C78" s="27" t="s">
        <v>569</v>
      </c>
      <c r="D78" s="27" t="s">
        <v>569</v>
      </c>
      <c r="E78" s="27" t="s">
        <v>569</v>
      </c>
      <c r="F78" s="27" t="s">
        <v>569</v>
      </c>
      <c r="G78" s="27" t="s">
        <v>569</v>
      </c>
      <c r="H78" s="27" t="s">
        <v>569</v>
      </c>
      <c r="I78" s="27" t="s">
        <v>569</v>
      </c>
      <c r="J78" s="27" t="s">
        <v>569</v>
      </c>
      <c r="K78" s="27"/>
    </row>
    <row r="79" spans="1:11" outlineLevel="1">
      <c r="B79" s="26" t="s">
        <v>106</v>
      </c>
      <c r="C79" s="27">
        <v>1093</v>
      </c>
      <c r="D79" s="27" t="s">
        <v>569</v>
      </c>
      <c r="E79" s="27" t="s">
        <v>569</v>
      </c>
      <c r="F79" s="27">
        <v>1093</v>
      </c>
      <c r="G79" s="27">
        <v>1247</v>
      </c>
      <c r="H79" s="27" t="s">
        <v>569</v>
      </c>
      <c r="I79" s="27" t="s">
        <v>569</v>
      </c>
      <c r="J79" s="27">
        <v>1247</v>
      </c>
      <c r="K79" s="27">
        <f t="shared" si="1"/>
        <v>-154</v>
      </c>
    </row>
    <row r="80" spans="1:11" outlineLevel="1">
      <c r="B80" s="26" t="s">
        <v>107</v>
      </c>
      <c r="C80" s="27">
        <v>-4</v>
      </c>
      <c r="D80" s="27" t="s">
        <v>569</v>
      </c>
      <c r="E80" s="27" t="s">
        <v>569</v>
      </c>
      <c r="F80" s="27">
        <v>-4</v>
      </c>
      <c r="G80" s="27">
        <v>0</v>
      </c>
      <c r="H80" s="27" t="s">
        <v>569</v>
      </c>
      <c r="I80" s="27" t="s">
        <v>569</v>
      </c>
      <c r="J80" s="27">
        <v>0</v>
      </c>
      <c r="K80" s="27">
        <f t="shared" si="1"/>
        <v>-4</v>
      </c>
    </row>
    <row r="81" spans="1:11" outlineLevel="1">
      <c r="B81" s="26" t="s">
        <v>108</v>
      </c>
      <c r="C81" s="27" t="s">
        <v>569</v>
      </c>
      <c r="D81" s="27" t="s">
        <v>569</v>
      </c>
      <c r="E81" s="27" t="s">
        <v>569</v>
      </c>
      <c r="F81" s="27" t="s">
        <v>569</v>
      </c>
      <c r="G81" s="27" t="s">
        <v>569</v>
      </c>
      <c r="H81" s="27" t="s">
        <v>569</v>
      </c>
      <c r="I81" s="27" t="s">
        <v>569</v>
      </c>
      <c r="J81" s="27" t="s">
        <v>569</v>
      </c>
      <c r="K81" s="27"/>
    </row>
    <row r="82" spans="1:11" outlineLevel="1">
      <c r="B82" s="26" t="s">
        <v>103</v>
      </c>
      <c r="C82" s="27" t="s">
        <v>569</v>
      </c>
      <c r="D82" s="27" t="s">
        <v>569</v>
      </c>
      <c r="E82" s="27" t="s">
        <v>569</v>
      </c>
      <c r="F82" s="27" t="s">
        <v>569</v>
      </c>
      <c r="G82" s="27" t="s">
        <v>569</v>
      </c>
      <c r="H82" s="27" t="s">
        <v>569</v>
      </c>
      <c r="I82" s="27" t="s">
        <v>569</v>
      </c>
      <c r="J82" s="27" t="s">
        <v>569</v>
      </c>
      <c r="K82" s="27"/>
    </row>
    <row r="83" spans="1:11">
      <c r="A83" s="23" t="s">
        <v>569</v>
      </c>
      <c r="B83" s="24" t="s">
        <v>15</v>
      </c>
      <c r="C83" s="25" t="s">
        <v>569</v>
      </c>
      <c r="D83" s="25" t="s">
        <v>569</v>
      </c>
      <c r="E83" s="25" t="s">
        <v>569</v>
      </c>
      <c r="F83" s="25" t="s">
        <v>569</v>
      </c>
      <c r="G83" s="25" t="s">
        <v>569</v>
      </c>
      <c r="H83" s="25" t="s">
        <v>569</v>
      </c>
      <c r="I83" s="25" t="s">
        <v>569</v>
      </c>
      <c r="J83" s="25" t="s">
        <v>569</v>
      </c>
      <c r="K83" s="27"/>
    </row>
    <row r="84" spans="1:11">
      <c r="B84" s="24" t="s">
        <v>591</v>
      </c>
      <c r="C84" s="27">
        <v>9326</v>
      </c>
      <c r="D84" s="27">
        <v>16293</v>
      </c>
      <c r="E84" s="27" t="s">
        <v>569</v>
      </c>
      <c r="F84" s="27">
        <v>25618</v>
      </c>
      <c r="G84" s="27">
        <v>9641</v>
      </c>
      <c r="H84" s="27">
        <v>23165</v>
      </c>
      <c r="I84" s="27" t="s">
        <v>569</v>
      </c>
      <c r="J84" s="27">
        <v>32806</v>
      </c>
      <c r="K84" s="27">
        <f t="shared" si="1"/>
        <v>-7188</v>
      </c>
    </row>
    <row r="85" spans="1:11" outlineLevel="1">
      <c r="B85" s="26" t="s">
        <v>148</v>
      </c>
      <c r="C85" s="27">
        <v>-1</v>
      </c>
      <c r="D85" s="27" t="s">
        <v>569</v>
      </c>
      <c r="E85" s="27" t="s">
        <v>569</v>
      </c>
      <c r="F85" s="27">
        <v>-1</v>
      </c>
      <c r="G85" s="27">
        <v>0</v>
      </c>
      <c r="H85" s="27" t="s">
        <v>569</v>
      </c>
      <c r="I85" s="27" t="s">
        <v>569</v>
      </c>
      <c r="J85" s="27">
        <v>0</v>
      </c>
      <c r="K85" s="27">
        <f t="shared" si="1"/>
        <v>-1</v>
      </c>
    </row>
    <row r="86" spans="1:11" outlineLevel="1">
      <c r="B86" s="26" t="s">
        <v>147</v>
      </c>
      <c r="C86" s="27">
        <v>9327</v>
      </c>
      <c r="D86" s="27">
        <v>16293</v>
      </c>
      <c r="E86" s="27" t="s">
        <v>569</v>
      </c>
      <c r="F86" s="27">
        <v>25619</v>
      </c>
      <c r="G86" s="27">
        <v>9641</v>
      </c>
      <c r="H86" s="27">
        <v>23165</v>
      </c>
      <c r="I86" s="27" t="s">
        <v>569</v>
      </c>
      <c r="J86" s="27">
        <v>32806</v>
      </c>
      <c r="K86" s="27">
        <f t="shared" si="1"/>
        <v>-7187</v>
      </c>
    </row>
    <row r="87" spans="1:11">
      <c r="B87" s="24" t="s">
        <v>592</v>
      </c>
      <c r="C87" s="27">
        <v>1315</v>
      </c>
      <c r="D87" s="27">
        <v>1025</v>
      </c>
      <c r="E87" s="27" t="s">
        <v>569</v>
      </c>
      <c r="F87" s="27">
        <v>2340</v>
      </c>
      <c r="G87" s="27">
        <v>1359</v>
      </c>
      <c r="H87" s="27">
        <v>2326</v>
      </c>
      <c r="I87" s="27" t="s">
        <v>569</v>
      </c>
      <c r="J87" s="27">
        <v>3685</v>
      </c>
      <c r="K87" s="27">
        <f t="shared" si="1"/>
        <v>-1345</v>
      </c>
    </row>
    <row r="88" spans="1:11" outlineLevel="1">
      <c r="B88" s="26" t="s">
        <v>144</v>
      </c>
      <c r="C88" s="27" t="s">
        <v>569</v>
      </c>
      <c r="D88" s="27" t="s">
        <v>569</v>
      </c>
      <c r="E88" s="27" t="s">
        <v>569</v>
      </c>
      <c r="F88" s="27" t="s">
        <v>569</v>
      </c>
      <c r="G88" s="27" t="s">
        <v>569</v>
      </c>
      <c r="H88" s="27" t="s">
        <v>569</v>
      </c>
      <c r="I88" s="27" t="s">
        <v>569</v>
      </c>
      <c r="J88" s="27" t="s">
        <v>569</v>
      </c>
      <c r="K88" s="27"/>
    </row>
    <row r="89" spans="1:11" outlineLevel="1">
      <c r="B89" s="26" t="s">
        <v>146</v>
      </c>
      <c r="C89" s="27">
        <v>1315</v>
      </c>
      <c r="D89" s="27" t="s">
        <v>569</v>
      </c>
      <c r="E89" s="27" t="s">
        <v>569</v>
      </c>
      <c r="F89" s="27">
        <v>1315</v>
      </c>
      <c r="G89" s="27">
        <v>1359</v>
      </c>
      <c r="H89" s="27" t="s">
        <v>569</v>
      </c>
      <c r="I89" s="27" t="s">
        <v>569</v>
      </c>
      <c r="J89" s="27">
        <v>1359</v>
      </c>
      <c r="K89" s="27">
        <f t="shared" si="1"/>
        <v>-44</v>
      </c>
    </row>
    <row r="90" spans="1:11" outlineLevel="1">
      <c r="B90" s="26" t="s">
        <v>145</v>
      </c>
      <c r="C90" s="27" t="s">
        <v>569</v>
      </c>
      <c r="D90" s="27">
        <v>1025</v>
      </c>
      <c r="E90" s="27" t="s">
        <v>569</v>
      </c>
      <c r="F90" s="27">
        <v>1025</v>
      </c>
      <c r="G90" s="27" t="s">
        <v>569</v>
      </c>
      <c r="H90" s="27">
        <v>2326</v>
      </c>
      <c r="I90" s="27" t="s">
        <v>569</v>
      </c>
      <c r="J90" s="27">
        <v>2326</v>
      </c>
      <c r="K90" s="27">
        <f t="shared" si="1"/>
        <v>-1301</v>
      </c>
    </row>
    <row r="91" spans="1:11" outlineLevel="1">
      <c r="B91" s="26" t="s">
        <v>143</v>
      </c>
      <c r="C91" s="27" t="s">
        <v>569</v>
      </c>
      <c r="D91" s="27" t="s">
        <v>569</v>
      </c>
      <c r="E91" s="27" t="s">
        <v>569</v>
      </c>
      <c r="F91" s="27" t="s">
        <v>569</v>
      </c>
      <c r="G91" s="27" t="s">
        <v>569</v>
      </c>
      <c r="H91" s="27" t="s">
        <v>569</v>
      </c>
      <c r="I91" s="27" t="s">
        <v>569</v>
      </c>
      <c r="J91" s="27" t="s">
        <v>569</v>
      </c>
      <c r="K91" s="27"/>
    </row>
    <row r="92" spans="1:11">
      <c r="B92" s="24" t="s">
        <v>593</v>
      </c>
      <c r="C92" s="27">
        <v>2028</v>
      </c>
      <c r="D92" s="27">
        <v>5513</v>
      </c>
      <c r="E92" s="27" t="s">
        <v>569</v>
      </c>
      <c r="F92" s="27">
        <v>7541</v>
      </c>
      <c r="G92" s="27">
        <v>2242</v>
      </c>
      <c r="H92" s="27">
        <v>3675</v>
      </c>
      <c r="I92" s="27" t="s">
        <v>569</v>
      </c>
      <c r="J92" s="27">
        <v>5917</v>
      </c>
      <c r="K92" s="27">
        <f t="shared" si="1"/>
        <v>1624</v>
      </c>
    </row>
    <row r="93" spans="1:11" outlineLevel="1">
      <c r="B93" s="26" t="s">
        <v>138</v>
      </c>
      <c r="C93" s="27" t="s">
        <v>569</v>
      </c>
      <c r="D93" s="27">
        <v>5513</v>
      </c>
      <c r="E93" s="27" t="s">
        <v>569</v>
      </c>
      <c r="F93" s="27">
        <v>5513</v>
      </c>
      <c r="G93" s="27" t="s">
        <v>569</v>
      </c>
      <c r="H93" s="27">
        <v>3675</v>
      </c>
      <c r="I93" s="27" t="s">
        <v>569</v>
      </c>
      <c r="J93" s="27">
        <v>3675</v>
      </c>
      <c r="K93" s="27">
        <f t="shared" si="1"/>
        <v>1838</v>
      </c>
    </row>
    <row r="94" spans="1:11" outlineLevel="1">
      <c r="B94" s="26" t="s">
        <v>139</v>
      </c>
      <c r="C94" s="27">
        <v>557</v>
      </c>
      <c r="D94" s="27" t="s">
        <v>569</v>
      </c>
      <c r="E94" s="27" t="s">
        <v>569</v>
      </c>
      <c r="F94" s="27">
        <v>557</v>
      </c>
      <c r="G94" s="27">
        <v>632</v>
      </c>
      <c r="H94" s="27" t="s">
        <v>569</v>
      </c>
      <c r="I94" s="27" t="s">
        <v>569</v>
      </c>
      <c r="J94" s="27">
        <v>632</v>
      </c>
      <c r="K94" s="27">
        <f t="shared" si="1"/>
        <v>-75</v>
      </c>
    </row>
    <row r="95" spans="1:11" outlineLevel="1">
      <c r="B95" s="26" t="s">
        <v>140</v>
      </c>
      <c r="C95" s="27">
        <v>693</v>
      </c>
      <c r="D95" s="27" t="s">
        <v>569</v>
      </c>
      <c r="E95" s="27" t="s">
        <v>569</v>
      </c>
      <c r="F95" s="27">
        <v>693</v>
      </c>
      <c r="G95" s="27">
        <v>774</v>
      </c>
      <c r="H95" s="27" t="s">
        <v>569</v>
      </c>
      <c r="I95" s="27" t="s">
        <v>569</v>
      </c>
      <c r="J95" s="27">
        <v>774</v>
      </c>
      <c r="K95" s="27">
        <f t="shared" si="1"/>
        <v>-81</v>
      </c>
    </row>
    <row r="96" spans="1:11" outlineLevel="1">
      <c r="B96" s="26" t="s">
        <v>141</v>
      </c>
      <c r="C96" s="27">
        <v>777</v>
      </c>
      <c r="D96" s="27" t="s">
        <v>569</v>
      </c>
      <c r="E96" s="27" t="s">
        <v>569</v>
      </c>
      <c r="F96" s="27">
        <v>777</v>
      </c>
      <c r="G96" s="27">
        <v>836</v>
      </c>
      <c r="H96" s="27" t="s">
        <v>569</v>
      </c>
      <c r="I96" s="27" t="s">
        <v>569</v>
      </c>
      <c r="J96" s="27">
        <v>836</v>
      </c>
      <c r="K96" s="27">
        <f t="shared" si="1"/>
        <v>-59</v>
      </c>
    </row>
    <row r="97" spans="2:11" outlineLevel="1">
      <c r="B97" s="26" t="s">
        <v>142</v>
      </c>
      <c r="C97" s="27" t="s">
        <v>569</v>
      </c>
      <c r="D97" s="27" t="s">
        <v>569</v>
      </c>
      <c r="E97" s="27" t="s">
        <v>569</v>
      </c>
      <c r="F97" s="27" t="s">
        <v>569</v>
      </c>
      <c r="G97" s="27" t="s">
        <v>569</v>
      </c>
      <c r="H97" s="27" t="s">
        <v>569</v>
      </c>
      <c r="I97" s="27" t="s">
        <v>569</v>
      </c>
      <c r="J97" s="27" t="s">
        <v>569</v>
      </c>
      <c r="K97" s="27"/>
    </row>
    <row r="98" spans="2:11">
      <c r="B98" s="24" t="s">
        <v>594</v>
      </c>
      <c r="C98" s="27">
        <v>2255</v>
      </c>
      <c r="D98" s="27">
        <v>7785</v>
      </c>
      <c r="E98" s="27" t="s">
        <v>569</v>
      </c>
      <c r="F98" s="27">
        <v>10040</v>
      </c>
      <c r="G98" s="27">
        <v>2776</v>
      </c>
      <c r="H98" s="27">
        <v>6780</v>
      </c>
      <c r="I98" s="27" t="s">
        <v>569</v>
      </c>
      <c r="J98" s="27">
        <v>9556</v>
      </c>
      <c r="K98" s="27">
        <f t="shared" si="1"/>
        <v>484</v>
      </c>
    </row>
    <row r="99" spans="2:11" outlineLevel="1">
      <c r="B99" s="26" t="s">
        <v>110</v>
      </c>
      <c r="C99" s="27" t="s">
        <v>569</v>
      </c>
      <c r="D99" s="27" t="s">
        <v>569</v>
      </c>
      <c r="E99" s="27" t="s">
        <v>569</v>
      </c>
      <c r="F99" s="27" t="s">
        <v>569</v>
      </c>
      <c r="G99" s="27" t="s">
        <v>569</v>
      </c>
      <c r="H99" s="27" t="s">
        <v>569</v>
      </c>
      <c r="I99" s="27" t="s">
        <v>569</v>
      </c>
      <c r="J99" s="27" t="s">
        <v>569</v>
      </c>
      <c r="K99" s="27"/>
    </row>
    <row r="100" spans="2:11" outlineLevel="1">
      <c r="B100" s="26" t="s">
        <v>111</v>
      </c>
      <c r="C100" s="27" t="s">
        <v>569</v>
      </c>
      <c r="D100" s="27" t="s">
        <v>569</v>
      </c>
      <c r="E100" s="27" t="s">
        <v>569</v>
      </c>
      <c r="F100" s="27" t="s">
        <v>569</v>
      </c>
      <c r="G100" s="27" t="s">
        <v>569</v>
      </c>
      <c r="H100" s="27" t="s">
        <v>569</v>
      </c>
      <c r="I100" s="27" t="s">
        <v>569</v>
      </c>
      <c r="J100" s="27" t="s">
        <v>569</v>
      </c>
      <c r="K100" s="27"/>
    </row>
    <row r="101" spans="2:11" outlineLevel="1">
      <c r="B101" s="26" t="s">
        <v>112</v>
      </c>
      <c r="C101" s="27" t="s">
        <v>569</v>
      </c>
      <c r="D101" s="27" t="s">
        <v>569</v>
      </c>
      <c r="E101" s="27" t="s">
        <v>569</v>
      </c>
      <c r="F101" s="27" t="s">
        <v>569</v>
      </c>
      <c r="G101" s="27" t="s">
        <v>569</v>
      </c>
      <c r="H101" s="27" t="s">
        <v>569</v>
      </c>
      <c r="I101" s="27" t="s">
        <v>569</v>
      </c>
      <c r="J101" s="27" t="s">
        <v>569</v>
      </c>
      <c r="K101" s="27"/>
    </row>
    <row r="102" spans="2:11" outlineLevel="1">
      <c r="B102" s="26" t="s">
        <v>113</v>
      </c>
      <c r="C102" s="27" t="s">
        <v>569</v>
      </c>
      <c r="D102" s="27" t="s">
        <v>569</v>
      </c>
      <c r="E102" s="27" t="s">
        <v>569</v>
      </c>
      <c r="F102" s="27" t="s">
        <v>569</v>
      </c>
      <c r="G102" s="27" t="s">
        <v>569</v>
      </c>
      <c r="H102" s="27" t="s">
        <v>569</v>
      </c>
      <c r="I102" s="27" t="s">
        <v>569</v>
      </c>
      <c r="J102" s="27" t="s">
        <v>569</v>
      </c>
      <c r="K102" s="27"/>
    </row>
    <row r="103" spans="2:11" outlineLevel="1">
      <c r="B103" s="26" t="s">
        <v>114</v>
      </c>
      <c r="C103" s="27" t="s">
        <v>569</v>
      </c>
      <c r="D103" s="27">
        <v>0</v>
      </c>
      <c r="E103" s="27" t="s">
        <v>569</v>
      </c>
      <c r="F103" s="27">
        <v>0</v>
      </c>
      <c r="G103" s="27" t="s">
        <v>569</v>
      </c>
      <c r="H103" s="27">
        <v>212</v>
      </c>
      <c r="I103" s="27" t="s">
        <v>569</v>
      </c>
      <c r="J103" s="27">
        <v>212</v>
      </c>
      <c r="K103" s="27">
        <f t="shared" si="1"/>
        <v>-212</v>
      </c>
    </row>
    <row r="104" spans="2:11" outlineLevel="1">
      <c r="B104" s="26" t="s">
        <v>115</v>
      </c>
      <c r="C104" s="27" t="s">
        <v>569</v>
      </c>
      <c r="D104" s="27">
        <v>537</v>
      </c>
      <c r="E104" s="27" t="s">
        <v>569</v>
      </c>
      <c r="F104" s="27">
        <v>537</v>
      </c>
      <c r="G104" s="27" t="s">
        <v>569</v>
      </c>
      <c r="H104" s="27">
        <v>523</v>
      </c>
      <c r="I104" s="27" t="s">
        <v>569</v>
      </c>
      <c r="J104" s="27">
        <v>523</v>
      </c>
      <c r="K104" s="27">
        <f t="shared" si="1"/>
        <v>14</v>
      </c>
    </row>
    <row r="105" spans="2:11" outlineLevel="1">
      <c r="B105" s="26" t="s">
        <v>116</v>
      </c>
      <c r="C105" s="27" t="s">
        <v>569</v>
      </c>
      <c r="D105" s="27" t="s">
        <v>569</v>
      </c>
      <c r="E105" s="27" t="s">
        <v>569</v>
      </c>
      <c r="F105" s="27" t="s">
        <v>569</v>
      </c>
      <c r="G105" s="27" t="s">
        <v>569</v>
      </c>
      <c r="H105" s="27" t="s">
        <v>569</v>
      </c>
      <c r="I105" s="27" t="s">
        <v>569</v>
      </c>
      <c r="J105" s="27" t="s">
        <v>569</v>
      </c>
      <c r="K105" s="27"/>
    </row>
    <row r="106" spans="2:11" outlineLevel="1">
      <c r="B106" s="26" t="s">
        <v>117</v>
      </c>
      <c r="C106" s="27" t="s">
        <v>569</v>
      </c>
      <c r="D106" s="27">
        <v>0</v>
      </c>
      <c r="E106" s="27" t="s">
        <v>569</v>
      </c>
      <c r="F106" s="27">
        <v>0</v>
      </c>
      <c r="G106" s="27" t="s">
        <v>569</v>
      </c>
      <c r="H106" s="27">
        <v>25</v>
      </c>
      <c r="I106" s="27" t="s">
        <v>569</v>
      </c>
      <c r="J106" s="27">
        <v>25</v>
      </c>
      <c r="K106" s="27">
        <f t="shared" si="1"/>
        <v>-25</v>
      </c>
    </row>
    <row r="107" spans="2:11" outlineLevel="1">
      <c r="B107" s="26" t="s">
        <v>118</v>
      </c>
      <c r="C107" s="27">
        <v>241</v>
      </c>
      <c r="D107" s="27">
        <v>-79</v>
      </c>
      <c r="E107" s="27" t="s">
        <v>569</v>
      </c>
      <c r="F107" s="27">
        <v>162</v>
      </c>
      <c r="G107" s="27">
        <v>175</v>
      </c>
      <c r="H107" s="27">
        <v>480</v>
      </c>
      <c r="I107" s="27" t="s">
        <v>569</v>
      </c>
      <c r="J107" s="27">
        <v>655</v>
      </c>
      <c r="K107" s="27">
        <f t="shared" si="1"/>
        <v>-493</v>
      </c>
    </row>
    <row r="108" spans="2:11" outlineLevel="1">
      <c r="B108" s="26" t="s">
        <v>119</v>
      </c>
      <c r="C108" s="27">
        <v>731</v>
      </c>
      <c r="D108" s="27">
        <v>5450</v>
      </c>
      <c r="E108" s="27" t="s">
        <v>569</v>
      </c>
      <c r="F108" s="27">
        <v>6181</v>
      </c>
      <c r="G108" s="27">
        <v>756</v>
      </c>
      <c r="H108" s="27">
        <v>3025</v>
      </c>
      <c r="I108" s="27" t="s">
        <v>569</v>
      </c>
      <c r="J108" s="27">
        <v>3781</v>
      </c>
      <c r="K108" s="27">
        <f t="shared" si="1"/>
        <v>2400</v>
      </c>
    </row>
    <row r="109" spans="2:11" outlineLevel="1">
      <c r="B109" s="26" t="s">
        <v>120</v>
      </c>
      <c r="C109" s="27" t="s">
        <v>569</v>
      </c>
      <c r="D109" s="27">
        <v>0</v>
      </c>
      <c r="E109" s="27" t="s">
        <v>569</v>
      </c>
      <c r="F109" s="27">
        <v>0</v>
      </c>
      <c r="G109" s="27" t="s">
        <v>569</v>
      </c>
      <c r="H109" s="27">
        <v>15</v>
      </c>
      <c r="I109" s="27" t="s">
        <v>569</v>
      </c>
      <c r="J109" s="27">
        <v>15</v>
      </c>
      <c r="K109" s="27">
        <f t="shared" si="1"/>
        <v>-15</v>
      </c>
    </row>
    <row r="110" spans="2:11" outlineLevel="1">
      <c r="B110" s="26" t="s">
        <v>121</v>
      </c>
      <c r="C110" s="27">
        <v>0</v>
      </c>
      <c r="D110" s="27" t="s">
        <v>569</v>
      </c>
      <c r="E110" s="27" t="s">
        <v>569</v>
      </c>
      <c r="F110" s="27">
        <v>0</v>
      </c>
      <c r="G110" s="27">
        <v>0</v>
      </c>
      <c r="H110" s="27" t="s">
        <v>569</v>
      </c>
      <c r="I110" s="27" t="s">
        <v>569</v>
      </c>
      <c r="J110" s="27">
        <v>0</v>
      </c>
      <c r="K110" s="27">
        <f t="shared" si="1"/>
        <v>0</v>
      </c>
    </row>
    <row r="111" spans="2:11" outlineLevel="1">
      <c r="B111" s="26" t="s">
        <v>122</v>
      </c>
      <c r="C111" s="27" t="s">
        <v>569</v>
      </c>
      <c r="D111" s="27" t="s">
        <v>569</v>
      </c>
      <c r="E111" s="27" t="s">
        <v>569</v>
      </c>
      <c r="F111" s="27" t="s">
        <v>569</v>
      </c>
      <c r="G111" s="27" t="s">
        <v>569</v>
      </c>
      <c r="H111" s="27" t="s">
        <v>569</v>
      </c>
      <c r="I111" s="27" t="s">
        <v>569</v>
      </c>
      <c r="J111" s="27" t="s">
        <v>569</v>
      </c>
      <c r="K111" s="27"/>
    </row>
    <row r="112" spans="2:11" outlineLevel="1">
      <c r="B112" s="26" t="s">
        <v>123</v>
      </c>
      <c r="C112" s="27">
        <v>-2</v>
      </c>
      <c r="D112" s="27" t="s">
        <v>569</v>
      </c>
      <c r="E112" s="27" t="s">
        <v>569</v>
      </c>
      <c r="F112" s="27">
        <v>-2</v>
      </c>
      <c r="G112" s="27">
        <v>0</v>
      </c>
      <c r="H112" s="27" t="s">
        <v>569</v>
      </c>
      <c r="I112" s="27" t="s">
        <v>569</v>
      </c>
      <c r="J112" s="27">
        <v>0</v>
      </c>
      <c r="K112" s="27">
        <f t="shared" si="1"/>
        <v>-2</v>
      </c>
    </row>
    <row r="113" spans="2:11" outlineLevel="1">
      <c r="B113" s="26" t="s">
        <v>124</v>
      </c>
      <c r="C113" s="27">
        <v>281</v>
      </c>
      <c r="D113" s="27" t="s">
        <v>569</v>
      </c>
      <c r="E113" s="27" t="s">
        <v>569</v>
      </c>
      <c r="F113" s="27">
        <v>281</v>
      </c>
      <c r="G113" s="27">
        <v>294</v>
      </c>
      <c r="H113" s="27" t="s">
        <v>569</v>
      </c>
      <c r="I113" s="27" t="s">
        <v>569</v>
      </c>
      <c r="J113" s="27">
        <v>294</v>
      </c>
      <c r="K113" s="27">
        <f t="shared" si="1"/>
        <v>-13</v>
      </c>
    </row>
    <row r="114" spans="2:11" outlineLevel="1">
      <c r="B114" s="26" t="s">
        <v>125</v>
      </c>
      <c r="C114" s="27" t="s">
        <v>569</v>
      </c>
      <c r="D114" s="27" t="s">
        <v>569</v>
      </c>
      <c r="E114" s="27" t="s">
        <v>569</v>
      </c>
      <c r="F114" s="27" t="s">
        <v>569</v>
      </c>
      <c r="G114" s="27" t="s">
        <v>569</v>
      </c>
      <c r="H114" s="27" t="s">
        <v>569</v>
      </c>
      <c r="I114" s="27" t="s">
        <v>569</v>
      </c>
      <c r="J114" s="27" t="s">
        <v>569</v>
      </c>
      <c r="K114" s="27"/>
    </row>
    <row r="115" spans="2:11" outlineLevel="1">
      <c r="B115" s="26" t="s">
        <v>126</v>
      </c>
      <c r="C115" s="27" t="s">
        <v>569</v>
      </c>
      <c r="D115" s="27" t="s">
        <v>569</v>
      </c>
      <c r="E115" s="27" t="s">
        <v>569</v>
      </c>
      <c r="F115" s="27" t="s">
        <v>569</v>
      </c>
      <c r="G115" s="27" t="s">
        <v>569</v>
      </c>
      <c r="H115" s="27" t="s">
        <v>569</v>
      </c>
      <c r="I115" s="27" t="s">
        <v>569</v>
      </c>
      <c r="J115" s="27" t="s">
        <v>569</v>
      </c>
      <c r="K115" s="27"/>
    </row>
    <row r="116" spans="2:11" outlineLevel="1">
      <c r="B116" s="26" t="s">
        <v>128</v>
      </c>
      <c r="C116" s="27">
        <v>250</v>
      </c>
      <c r="D116" s="27" t="s">
        <v>569</v>
      </c>
      <c r="E116" s="27" t="s">
        <v>569</v>
      </c>
      <c r="F116" s="27">
        <v>250</v>
      </c>
      <c r="G116" s="27">
        <v>236</v>
      </c>
      <c r="H116" s="27" t="s">
        <v>569</v>
      </c>
      <c r="I116" s="27" t="s">
        <v>569</v>
      </c>
      <c r="J116" s="27">
        <v>236</v>
      </c>
      <c r="K116" s="27">
        <f t="shared" si="1"/>
        <v>14</v>
      </c>
    </row>
    <row r="117" spans="2:11" outlineLevel="1">
      <c r="B117" s="26" t="s">
        <v>129</v>
      </c>
      <c r="C117" s="27">
        <v>484</v>
      </c>
      <c r="D117" s="27" t="s">
        <v>569</v>
      </c>
      <c r="E117" s="27" t="s">
        <v>569</v>
      </c>
      <c r="F117" s="27">
        <v>484</v>
      </c>
      <c r="G117" s="27">
        <v>495</v>
      </c>
      <c r="H117" s="27" t="s">
        <v>569</v>
      </c>
      <c r="I117" s="27" t="s">
        <v>569</v>
      </c>
      <c r="J117" s="27">
        <v>495</v>
      </c>
      <c r="K117" s="27">
        <f t="shared" si="1"/>
        <v>-11</v>
      </c>
    </row>
    <row r="118" spans="2:11" outlineLevel="1">
      <c r="B118" s="26" t="s">
        <v>130</v>
      </c>
      <c r="C118" s="27" t="s">
        <v>569</v>
      </c>
      <c r="D118" s="27" t="s">
        <v>569</v>
      </c>
      <c r="E118" s="27" t="s">
        <v>569</v>
      </c>
      <c r="F118" s="27" t="s">
        <v>569</v>
      </c>
      <c r="G118" s="27" t="s">
        <v>569</v>
      </c>
      <c r="H118" s="27" t="s">
        <v>569</v>
      </c>
      <c r="I118" s="27" t="s">
        <v>569</v>
      </c>
      <c r="J118" s="27" t="s">
        <v>569</v>
      </c>
      <c r="K118" s="27"/>
    </row>
    <row r="119" spans="2:11" outlineLevel="1">
      <c r="B119" s="26" t="s">
        <v>131</v>
      </c>
      <c r="C119" s="27" t="s">
        <v>569</v>
      </c>
      <c r="D119" s="27" t="s">
        <v>569</v>
      </c>
      <c r="E119" s="27" t="s">
        <v>569</v>
      </c>
      <c r="F119" s="27" t="s">
        <v>569</v>
      </c>
      <c r="G119" s="27" t="s">
        <v>569</v>
      </c>
      <c r="H119" s="27" t="s">
        <v>569</v>
      </c>
      <c r="I119" s="27" t="s">
        <v>569</v>
      </c>
      <c r="J119" s="27" t="s">
        <v>569</v>
      </c>
      <c r="K119" s="27"/>
    </row>
    <row r="120" spans="2:11" outlineLevel="1">
      <c r="B120" s="26" t="s">
        <v>132</v>
      </c>
      <c r="C120" s="27">
        <v>-16</v>
      </c>
      <c r="D120" s="27" t="s">
        <v>569</v>
      </c>
      <c r="E120" s="27" t="s">
        <v>569</v>
      </c>
      <c r="F120" s="27">
        <v>-16</v>
      </c>
      <c r="G120" s="27">
        <v>0</v>
      </c>
      <c r="H120" s="27" t="s">
        <v>569</v>
      </c>
      <c r="I120" s="27" t="s">
        <v>569</v>
      </c>
      <c r="J120" s="27">
        <v>0</v>
      </c>
      <c r="K120" s="27">
        <f t="shared" si="1"/>
        <v>-16</v>
      </c>
    </row>
    <row r="121" spans="2:11" outlineLevel="1">
      <c r="B121" s="26" t="s">
        <v>133</v>
      </c>
      <c r="C121" s="27" t="s">
        <v>569</v>
      </c>
      <c r="D121" s="27" t="s">
        <v>569</v>
      </c>
      <c r="E121" s="27" t="s">
        <v>569</v>
      </c>
      <c r="F121" s="27" t="s">
        <v>569</v>
      </c>
      <c r="G121" s="27" t="s">
        <v>569</v>
      </c>
      <c r="H121" s="27" t="s">
        <v>569</v>
      </c>
      <c r="I121" s="27" t="s">
        <v>569</v>
      </c>
      <c r="J121" s="27" t="s">
        <v>569</v>
      </c>
      <c r="K121" s="27"/>
    </row>
    <row r="122" spans="2:11" outlineLevel="1">
      <c r="B122" s="26" t="s">
        <v>135</v>
      </c>
      <c r="C122" s="27">
        <v>-2</v>
      </c>
      <c r="D122" s="27" t="s">
        <v>569</v>
      </c>
      <c r="E122" s="27" t="s">
        <v>569</v>
      </c>
      <c r="F122" s="27">
        <v>-2</v>
      </c>
      <c r="G122" s="27">
        <v>0</v>
      </c>
      <c r="H122" s="27" t="s">
        <v>569</v>
      </c>
      <c r="I122" s="27" t="s">
        <v>569</v>
      </c>
      <c r="J122" s="27">
        <v>0</v>
      </c>
      <c r="K122" s="27">
        <f t="shared" si="1"/>
        <v>-2</v>
      </c>
    </row>
    <row r="123" spans="2:11" outlineLevel="1">
      <c r="B123" s="26" t="s">
        <v>136</v>
      </c>
      <c r="C123" s="27" t="s">
        <v>569</v>
      </c>
      <c r="D123" s="27" t="s">
        <v>569</v>
      </c>
      <c r="E123" s="27" t="s">
        <v>569</v>
      </c>
      <c r="F123" s="27" t="s">
        <v>569</v>
      </c>
      <c r="G123" s="27" t="s">
        <v>569</v>
      </c>
      <c r="H123" s="27" t="s">
        <v>569</v>
      </c>
      <c r="I123" s="27" t="s">
        <v>569</v>
      </c>
      <c r="J123" s="27" t="s">
        <v>569</v>
      </c>
      <c r="K123" s="27"/>
    </row>
    <row r="124" spans="2:11" outlineLevel="1">
      <c r="B124" s="26" t="s">
        <v>137</v>
      </c>
      <c r="C124" s="27">
        <v>298</v>
      </c>
      <c r="D124" s="27">
        <v>0</v>
      </c>
      <c r="E124" s="27" t="s">
        <v>569</v>
      </c>
      <c r="F124" s="27">
        <v>298</v>
      </c>
      <c r="G124" s="27">
        <v>777</v>
      </c>
      <c r="H124" s="27">
        <v>0</v>
      </c>
      <c r="I124" s="27" t="s">
        <v>569</v>
      </c>
      <c r="J124" s="27">
        <v>777</v>
      </c>
      <c r="K124" s="27">
        <f t="shared" si="1"/>
        <v>-479</v>
      </c>
    </row>
    <row r="125" spans="2:11" outlineLevel="1">
      <c r="B125" s="26" t="s">
        <v>595</v>
      </c>
      <c r="C125" s="27" t="s">
        <v>569</v>
      </c>
      <c r="D125" s="27" t="s">
        <v>569</v>
      </c>
      <c r="E125" s="27" t="s">
        <v>569</v>
      </c>
      <c r="F125" s="27" t="s">
        <v>569</v>
      </c>
      <c r="G125" s="27" t="s">
        <v>569</v>
      </c>
      <c r="H125" s="27" t="s">
        <v>569</v>
      </c>
      <c r="I125" s="27" t="s">
        <v>569</v>
      </c>
      <c r="J125" s="27" t="s">
        <v>569</v>
      </c>
      <c r="K125" s="27"/>
    </row>
    <row r="126" spans="2:11" outlineLevel="1">
      <c r="B126" s="26" t="s">
        <v>134</v>
      </c>
      <c r="C126" s="27" t="s">
        <v>569</v>
      </c>
      <c r="D126" s="27" t="s">
        <v>569</v>
      </c>
      <c r="E126" s="27" t="s">
        <v>569</v>
      </c>
      <c r="F126" s="27" t="s">
        <v>569</v>
      </c>
      <c r="G126" s="27" t="s">
        <v>569</v>
      </c>
      <c r="H126" s="27" t="s">
        <v>569</v>
      </c>
      <c r="I126" s="27" t="s">
        <v>569</v>
      </c>
      <c r="J126" s="27" t="s">
        <v>569</v>
      </c>
      <c r="K126" s="27"/>
    </row>
    <row r="127" spans="2:11" outlineLevel="1">
      <c r="B127" s="26" t="s">
        <v>127</v>
      </c>
      <c r="C127" s="27">
        <v>0</v>
      </c>
      <c r="D127" s="27" t="s">
        <v>569</v>
      </c>
      <c r="E127" s="27" t="s">
        <v>569</v>
      </c>
      <c r="F127" s="27">
        <v>0</v>
      </c>
      <c r="G127" s="27">
        <v>0</v>
      </c>
      <c r="H127" s="27" t="s">
        <v>569</v>
      </c>
      <c r="I127" s="27" t="s">
        <v>569</v>
      </c>
      <c r="J127" s="27">
        <v>0</v>
      </c>
      <c r="K127" s="27">
        <f t="shared" si="1"/>
        <v>0</v>
      </c>
    </row>
    <row r="128" spans="2:11" outlineLevel="1">
      <c r="B128" s="26" t="s">
        <v>596</v>
      </c>
      <c r="C128" s="27">
        <v>-11</v>
      </c>
      <c r="D128" s="27" t="s">
        <v>569</v>
      </c>
      <c r="E128" s="27" t="s">
        <v>569</v>
      </c>
      <c r="F128" s="27">
        <v>-11</v>
      </c>
      <c r="G128" s="27">
        <v>0</v>
      </c>
      <c r="H128" s="27" t="s">
        <v>569</v>
      </c>
      <c r="I128" s="27" t="s">
        <v>569</v>
      </c>
      <c r="J128" s="27">
        <v>0</v>
      </c>
      <c r="K128" s="27">
        <f t="shared" si="1"/>
        <v>-11</v>
      </c>
    </row>
    <row r="129" spans="1:11" outlineLevel="1">
      <c r="B129" s="26" t="s">
        <v>546</v>
      </c>
      <c r="C129" s="27">
        <v>0</v>
      </c>
      <c r="D129" s="27" t="s">
        <v>569</v>
      </c>
      <c r="E129" s="27" t="s">
        <v>569</v>
      </c>
      <c r="F129" s="27">
        <v>0</v>
      </c>
      <c r="G129" s="27">
        <v>44</v>
      </c>
      <c r="H129" s="27" t="s">
        <v>569</v>
      </c>
      <c r="I129" s="27" t="s">
        <v>569</v>
      </c>
      <c r="J129" s="27">
        <v>44</v>
      </c>
      <c r="K129" s="27">
        <f t="shared" si="1"/>
        <v>-44</v>
      </c>
    </row>
    <row r="130" spans="1:11" outlineLevel="1">
      <c r="B130" s="26" t="s">
        <v>358</v>
      </c>
      <c r="C130" s="27" t="s">
        <v>569</v>
      </c>
      <c r="D130" s="27">
        <v>1877</v>
      </c>
      <c r="E130" s="27" t="s">
        <v>569</v>
      </c>
      <c r="F130" s="27">
        <v>1877</v>
      </c>
      <c r="G130" s="27" t="s">
        <v>569</v>
      </c>
      <c r="H130" s="27">
        <v>2500</v>
      </c>
      <c r="I130" s="27" t="s">
        <v>569</v>
      </c>
      <c r="J130" s="27">
        <v>2500</v>
      </c>
      <c r="K130" s="27">
        <f t="shared" si="1"/>
        <v>-623</v>
      </c>
    </row>
    <row r="131" spans="1:11">
      <c r="B131" s="26" t="s">
        <v>19</v>
      </c>
      <c r="C131" s="27">
        <v>14922</v>
      </c>
      <c r="D131" s="27">
        <v>30615</v>
      </c>
      <c r="E131" s="27" t="s">
        <v>569</v>
      </c>
      <c r="F131" s="27">
        <v>45538</v>
      </c>
      <c r="G131" s="27">
        <v>16017</v>
      </c>
      <c r="H131" s="27">
        <v>35947</v>
      </c>
      <c r="I131" s="27" t="s">
        <v>569</v>
      </c>
      <c r="J131" s="27">
        <v>51964</v>
      </c>
      <c r="K131" s="27">
        <f t="shared" si="1"/>
        <v>-6426</v>
      </c>
    </row>
    <row r="132" spans="1:11">
      <c r="A132" s="23" t="s">
        <v>569</v>
      </c>
      <c r="B132" s="24" t="s">
        <v>20</v>
      </c>
      <c r="C132" s="25">
        <v>16281</v>
      </c>
      <c r="D132" s="25">
        <v>30664</v>
      </c>
      <c r="E132" s="25">
        <v>0</v>
      </c>
      <c r="F132" s="25">
        <v>46945</v>
      </c>
      <c r="G132" s="25">
        <v>17370</v>
      </c>
      <c r="H132" s="25">
        <v>38023</v>
      </c>
      <c r="I132" s="25">
        <v>0</v>
      </c>
      <c r="J132" s="25">
        <v>55394</v>
      </c>
      <c r="K132" s="27">
        <f t="shared" si="1"/>
        <v>-8449</v>
      </c>
    </row>
    <row r="133" spans="1:11">
      <c r="A133" s="23" t="s">
        <v>569</v>
      </c>
      <c r="B133" s="24" t="s">
        <v>21</v>
      </c>
      <c r="C133" s="25">
        <v>13485</v>
      </c>
      <c r="D133" s="25">
        <v>4938</v>
      </c>
      <c r="E133" s="25">
        <v>0</v>
      </c>
      <c r="F133" s="25">
        <v>18423</v>
      </c>
      <c r="G133" s="25">
        <v>20885</v>
      </c>
      <c r="H133" s="25">
        <v>-36582</v>
      </c>
      <c r="I133" s="25">
        <v>0</v>
      </c>
      <c r="J133" s="25">
        <v>-15696</v>
      </c>
      <c r="K133" s="27">
        <f t="shared" si="1"/>
        <v>34119</v>
      </c>
    </row>
    <row r="134" spans="1:11">
      <c r="A134" s="23" t="s">
        <v>569</v>
      </c>
      <c r="B134" s="24" t="s">
        <v>22</v>
      </c>
      <c r="C134" s="25" t="s">
        <v>637</v>
      </c>
      <c r="D134" s="25" t="s">
        <v>638</v>
      </c>
      <c r="E134" s="25">
        <v>0</v>
      </c>
      <c r="F134" s="25" t="s">
        <v>637</v>
      </c>
      <c r="G134" s="25" t="s">
        <v>597</v>
      </c>
      <c r="H134" s="25" t="s">
        <v>639</v>
      </c>
      <c r="I134" s="25">
        <v>0</v>
      </c>
      <c r="J134" s="25" t="s">
        <v>640</v>
      </c>
      <c r="K134" s="27">
        <f t="shared" si="1"/>
        <v>0.16999999999999998</v>
      </c>
    </row>
    <row r="135" spans="1:11">
      <c r="A135" s="23" t="s">
        <v>569</v>
      </c>
      <c r="B135" s="24" t="s">
        <v>569</v>
      </c>
      <c r="C135" s="25" t="s">
        <v>569</v>
      </c>
      <c r="D135" s="25" t="s">
        <v>569</v>
      </c>
      <c r="E135" s="25" t="s">
        <v>569</v>
      </c>
      <c r="F135" s="25" t="s">
        <v>569</v>
      </c>
      <c r="G135" s="25" t="s">
        <v>569</v>
      </c>
      <c r="H135" s="25" t="s">
        <v>569</v>
      </c>
      <c r="I135" s="25" t="s">
        <v>569</v>
      </c>
      <c r="J135" s="25" t="s">
        <v>569</v>
      </c>
      <c r="K135" s="27"/>
    </row>
    <row r="136" spans="1:11">
      <c r="B136" s="24" t="s">
        <v>603</v>
      </c>
      <c r="C136" s="27">
        <v>-6193</v>
      </c>
      <c r="D136" s="27">
        <v>2522</v>
      </c>
      <c r="E136" s="27" t="s">
        <v>569</v>
      </c>
      <c r="F136" s="27">
        <v>-3671</v>
      </c>
      <c r="G136" s="27">
        <v>-3227</v>
      </c>
      <c r="H136" s="27">
        <v>2607</v>
      </c>
      <c r="I136" s="27" t="s">
        <v>569</v>
      </c>
      <c r="J136" s="27">
        <v>-620</v>
      </c>
      <c r="K136" s="27">
        <f t="shared" si="1"/>
        <v>-3051</v>
      </c>
    </row>
    <row r="137" spans="1:11" outlineLevel="1">
      <c r="B137" s="26" t="s">
        <v>149</v>
      </c>
      <c r="C137" s="27" t="s">
        <v>569</v>
      </c>
      <c r="D137" s="27" t="s">
        <v>569</v>
      </c>
      <c r="E137" s="27" t="s">
        <v>569</v>
      </c>
      <c r="F137" s="27" t="s">
        <v>569</v>
      </c>
      <c r="G137" s="27" t="s">
        <v>569</v>
      </c>
      <c r="H137" s="27" t="s">
        <v>569</v>
      </c>
      <c r="I137" s="27" t="s">
        <v>569</v>
      </c>
      <c r="J137" s="27" t="s">
        <v>569</v>
      </c>
      <c r="K137" s="27"/>
    </row>
    <row r="138" spans="1:11" outlineLevel="1">
      <c r="B138" s="26" t="s">
        <v>150</v>
      </c>
      <c r="C138" s="27">
        <v>8</v>
      </c>
      <c r="D138" s="27">
        <v>15</v>
      </c>
      <c r="E138" s="27" t="s">
        <v>569</v>
      </c>
      <c r="F138" s="27">
        <v>23</v>
      </c>
      <c r="G138" s="27">
        <v>1</v>
      </c>
      <c r="H138" s="27">
        <v>108</v>
      </c>
      <c r="I138" s="27" t="s">
        <v>569</v>
      </c>
      <c r="J138" s="27">
        <v>109</v>
      </c>
      <c r="K138" s="27">
        <f t="shared" ref="K138:K152" si="2">F138-J138</f>
        <v>-86</v>
      </c>
    </row>
    <row r="139" spans="1:11" outlineLevel="1">
      <c r="B139" s="26" t="s">
        <v>151</v>
      </c>
      <c r="C139" s="27">
        <v>-7054</v>
      </c>
      <c r="D139" s="27" t="s">
        <v>569</v>
      </c>
      <c r="E139" s="27" t="s">
        <v>569</v>
      </c>
      <c r="F139" s="27">
        <v>-7054</v>
      </c>
      <c r="G139" s="27">
        <v>-4176</v>
      </c>
      <c r="H139" s="27" t="s">
        <v>569</v>
      </c>
      <c r="I139" s="27" t="s">
        <v>569</v>
      </c>
      <c r="J139" s="27">
        <v>-4176</v>
      </c>
      <c r="K139" s="27">
        <f t="shared" si="2"/>
        <v>-2878</v>
      </c>
    </row>
    <row r="140" spans="1:11" outlineLevel="1">
      <c r="B140" s="26" t="s">
        <v>152</v>
      </c>
      <c r="C140" s="27" t="s">
        <v>569</v>
      </c>
      <c r="D140" s="27" t="s">
        <v>569</v>
      </c>
      <c r="E140" s="27" t="s">
        <v>569</v>
      </c>
      <c r="F140" s="27" t="s">
        <v>569</v>
      </c>
      <c r="G140" s="27" t="s">
        <v>569</v>
      </c>
      <c r="H140" s="27" t="s">
        <v>569</v>
      </c>
      <c r="I140" s="27" t="s">
        <v>569</v>
      </c>
      <c r="J140" s="27" t="s">
        <v>569</v>
      </c>
      <c r="K140" s="27"/>
    </row>
    <row r="141" spans="1:11" outlineLevel="1">
      <c r="B141" s="26" t="s">
        <v>154</v>
      </c>
      <c r="C141" s="27" t="s">
        <v>569</v>
      </c>
      <c r="D141" s="27">
        <v>147</v>
      </c>
      <c r="E141" s="27" t="s">
        <v>569</v>
      </c>
      <c r="F141" s="27">
        <v>147</v>
      </c>
      <c r="G141" s="27" t="s">
        <v>569</v>
      </c>
      <c r="H141" s="27">
        <v>139</v>
      </c>
      <c r="I141" s="27" t="s">
        <v>569</v>
      </c>
      <c r="J141" s="27">
        <v>139</v>
      </c>
      <c r="K141" s="27">
        <f t="shared" si="2"/>
        <v>8</v>
      </c>
    </row>
    <row r="142" spans="1:11" outlineLevel="1">
      <c r="B142" s="26" t="s">
        <v>604</v>
      </c>
      <c r="C142" s="27" t="s">
        <v>569</v>
      </c>
      <c r="D142" s="27" t="s">
        <v>569</v>
      </c>
      <c r="E142" s="27" t="s">
        <v>569</v>
      </c>
      <c r="F142" s="27" t="s">
        <v>569</v>
      </c>
      <c r="G142" s="27" t="s">
        <v>569</v>
      </c>
      <c r="H142" s="27" t="s">
        <v>569</v>
      </c>
      <c r="I142" s="27" t="s">
        <v>569</v>
      </c>
      <c r="J142" s="27" t="s">
        <v>569</v>
      </c>
      <c r="K142" s="27"/>
    </row>
    <row r="143" spans="1:11" outlineLevel="1">
      <c r="B143" s="26" t="s">
        <v>153</v>
      </c>
      <c r="C143" s="27" t="s">
        <v>569</v>
      </c>
      <c r="D143" s="27">
        <v>2360</v>
      </c>
      <c r="E143" s="27" t="s">
        <v>569</v>
      </c>
      <c r="F143" s="27">
        <v>2360</v>
      </c>
      <c r="G143" s="27" t="s">
        <v>569</v>
      </c>
      <c r="H143" s="27">
        <v>2360</v>
      </c>
      <c r="I143" s="27" t="s">
        <v>569</v>
      </c>
      <c r="J143" s="27">
        <v>2360</v>
      </c>
      <c r="K143" s="27">
        <f t="shared" si="2"/>
        <v>0</v>
      </c>
    </row>
    <row r="144" spans="1:11" outlineLevel="1">
      <c r="B144" s="26" t="s">
        <v>92</v>
      </c>
      <c r="C144" s="27">
        <v>853</v>
      </c>
      <c r="D144" s="27" t="s">
        <v>569</v>
      </c>
      <c r="E144" s="27" t="s">
        <v>569</v>
      </c>
      <c r="F144" s="27">
        <v>853</v>
      </c>
      <c r="G144" s="27">
        <v>949</v>
      </c>
      <c r="H144" s="27" t="s">
        <v>569</v>
      </c>
      <c r="I144" s="27" t="s">
        <v>569</v>
      </c>
      <c r="J144" s="27">
        <v>949</v>
      </c>
      <c r="K144" s="27">
        <f t="shared" si="2"/>
        <v>-96</v>
      </c>
    </row>
    <row r="145" spans="1:11">
      <c r="B145" s="24" t="s">
        <v>605</v>
      </c>
      <c r="C145" s="27" t="s">
        <v>569</v>
      </c>
      <c r="D145" s="27">
        <v>0</v>
      </c>
      <c r="E145" s="27" t="s">
        <v>569</v>
      </c>
      <c r="F145" s="27">
        <v>0</v>
      </c>
      <c r="G145" s="27" t="s">
        <v>569</v>
      </c>
      <c r="H145" s="27">
        <v>709</v>
      </c>
      <c r="I145" s="27" t="s">
        <v>569</v>
      </c>
      <c r="J145" s="27">
        <v>709</v>
      </c>
      <c r="K145" s="27">
        <f t="shared" si="2"/>
        <v>-709</v>
      </c>
    </row>
    <row r="146" spans="1:11" outlineLevel="1">
      <c r="B146" s="26" t="s">
        <v>24</v>
      </c>
      <c r="C146" s="27" t="s">
        <v>569</v>
      </c>
      <c r="D146" s="27">
        <v>0</v>
      </c>
      <c r="E146" s="27" t="s">
        <v>569</v>
      </c>
      <c r="F146" s="27">
        <v>0</v>
      </c>
      <c r="G146" s="27" t="s">
        <v>569</v>
      </c>
      <c r="H146" s="27">
        <v>709</v>
      </c>
      <c r="I146" s="27" t="s">
        <v>569</v>
      </c>
      <c r="J146" s="27">
        <v>709</v>
      </c>
      <c r="K146" s="27">
        <f t="shared" si="2"/>
        <v>-709</v>
      </c>
    </row>
    <row r="147" spans="1:11" outlineLevel="1">
      <c r="B147" s="26" t="s">
        <v>606</v>
      </c>
      <c r="C147" s="27" t="s">
        <v>569</v>
      </c>
      <c r="D147" s="27" t="s">
        <v>569</v>
      </c>
      <c r="E147" s="27" t="s">
        <v>569</v>
      </c>
      <c r="F147" s="27" t="s">
        <v>569</v>
      </c>
      <c r="G147" s="27" t="s">
        <v>569</v>
      </c>
      <c r="H147" s="27" t="s">
        <v>569</v>
      </c>
      <c r="I147" s="27" t="s">
        <v>569</v>
      </c>
      <c r="J147" s="27" t="s">
        <v>569</v>
      </c>
      <c r="K147" s="27"/>
    </row>
    <row r="148" spans="1:11" outlineLevel="1">
      <c r="B148" s="26" t="s">
        <v>607</v>
      </c>
      <c r="C148" s="27" t="s">
        <v>569</v>
      </c>
      <c r="D148" s="27" t="s">
        <v>569</v>
      </c>
      <c r="E148" s="27" t="s">
        <v>569</v>
      </c>
      <c r="F148" s="27" t="s">
        <v>569</v>
      </c>
      <c r="G148" s="27" t="s">
        <v>569</v>
      </c>
      <c r="H148" s="27" t="s">
        <v>569</v>
      </c>
      <c r="I148" s="27" t="s">
        <v>569</v>
      </c>
      <c r="J148" s="27" t="s">
        <v>569</v>
      </c>
      <c r="K148" s="27"/>
    </row>
    <row r="149" spans="1:11">
      <c r="B149" s="24" t="s">
        <v>608</v>
      </c>
      <c r="C149" s="27">
        <v>-61</v>
      </c>
      <c r="D149" s="27" t="s">
        <v>569</v>
      </c>
      <c r="E149" s="27" t="s">
        <v>569</v>
      </c>
      <c r="F149" s="27">
        <v>-61</v>
      </c>
      <c r="G149" s="27">
        <v>0</v>
      </c>
      <c r="H149" s="27" t="s">
        <v>569</v>
      </c>
      <c r="I149" s="27" t="s">
        <v>569</v>
      </c>
      <c r="J149" s="27">
        <v>0</v>
      </c>
      <c r="K149" s="27">
        <f t="shared" si="2"/>
        <v>-61</v>
      </c>
    </row>
    <row r="150" spans="1:11" outlineLevel="1">
      <c r="B150" s="26" t="s">
        <v>25</v>
      </c>
      <c r="C150" s="27">
        <v>-61</v>
      </c>
      <c r="D150" s="27" t="s">
        <v>569</v>
      </c>
      <c r="E150" s="27" t="s">
        <v>569</v>
      </c>
      <c r="F150" s="27">
        <v>-61</v>
      </c>
      <c r="G150" s="27">
        <v>0</v>
      </c>
      <c r="H150" s="27" t="s">
        <v>569</v>
      </c>
      <c r="I150" s="27" t="s">
        <v>569</v>
      </c>
      <c r="J150" s="27">
        <v>0</v>
      </c>
      <c r="K150" s="27">
        <f t="shared" si="2"/>
        <v>-61</v>
      </c>
    </row>
    <row r="151" spans="1:11">
      <c r="B151" s="26" t="s">
        <v>609</v>
      </c>
      <c r="C151" s="27">
        <v>-6254</v>
      </c>
      <c r="D151" s="27">
        <v>2522</v>
      </c>
      <c r="E151" s="27" t="s">
        <v>569</v>
      </c>
      <c r="F151" s="27">
        <v>-3732</v>
      </c>
      <c r="G151" s="27">
        <v>-3227</v>
      </c>
      <c r="H151" s="27">
        <v>3316</v>
      </c>
      <c r="I151" s="27" t="s">
        <v>569</v>
      </c>
      <c r="J151" s="27">
        <v>89</v>
      </c>
      <c r="K151" s="27">
        <f t="shared" si="2"/>
        <v>-3821</v>
      </c>
    </row>
    <row r="152" spans="1:11">
      <c r="A152" s="23" t="s">
        <v>569</v>
      </c>
      <c r="B152" s="24" t="s">
        <v>26</v>
      </c>
      <c r="C152" s="25">
        <v>19739</v>
      </c>
      <c r="D152" s="25">
        <v>2415</v>
      </c>
      <c r="E152" s="25">
        <v>0</v>
      </c>
      <c r="F152" s="25">
        <v>22155</v>
      </c>
      <c r="G152" s="25">
        <v>24112</v>
      </c>
      <c r="H152" s="25">
        <v>-39898</v>
      </c>
      <c r="I152" s="25">
        <v>0</v>
      </c>
      <c r="J152" s="25">
        <v>-15785</v>
      </c>
      <c r="K152" s="27">
        <f t="shared" si="2"/>
        <v>37940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B02C-3AE3-4EF3-8BEF-7B144C7385FC}">
  <dimension ref="A1:K151"/>
  <sheetViews>
    <sheetView showGridLines="0" topLeftCell="A2" workbookViewId="0">
      <selection activeCell="B97" sqref="B97"/>
    </sheetView>
  </sheetViews>
  <sheetFormatPr defaultRowHeight="14.5" outlineLevelRow="1"/>
  <cols>
    <col min="1" max="1" width="4.58203125" style="10" customWidth="1"/>
    <col min="2" max="2" width="32.25" style="10" bestFit="1" customWidth="1"/>
    <col min="3" max="3" width="15.1640625" style="16" bestFit="1" customWidth="1"/>
    <col min="4" max="4" width="12.1640625" style="16" bestFit="1" customWidth="1"/>
    <col min="5" max="5" width="17.83203125" style="16" customWidth="1"/>
    <col min="6" max="6" width="6.9140625" style="16" bestFit="1" customWidth="1"/>
    <col min="7" max="7" width="16.5" style="16" bestFit="1" customWidth="1"/>
    <col min="8" max="8" width="12.1640625" style="16" bestFit="1" customWidth="1"/>
    <col min="9" max="9" width="14.5" style="16" customWidth="1"/>
    <col min="10" max="10" width="6.25" style="16" bestFit="1" customWidth="1"/>
    <col min="11" max="16384" width="8.6640625" style="10"/>
  </cols>
  <sheetData>
    <row r="1" spans="1:11" ht="15" hidden="1" customHeight="1"/>
    <row r="2" spans="1:11" ht="18.5">
      <c r="B2" s="17" t="s">
        <v>564</v>
      </c>
      <c r="C2" s="18" t="s">
        <v>565</v>
      </c>
      <c r="D2" s="18"/>
      <c r="E2" s="18"/>
      <c r="F2" s="17"/>
      <c r="G2" s="18" t="s">
        <v>566</v>
      </c>
      <c r="H2" s="18"/>
      <c r="I2" s="18"/>
      <c r="J2" s="17"/>
      <c r="K2" s="19"/>
    </row>
    <row r="3" spans="1:11" ht="18.5">
      <c r="B3" s="18" t="s">
        <v>567</v>
      </c>
      <c r="C3" s="18"/>
      <c r="D3" s="18"/>
      <c r="E3" s="18" t="s">
        <v>568</v>
      </c>
      <c r="F3" s="18"/>
      <c r="G3" s="18"/>
      <c r="H3" s="18"/>
      <c r="I3" s="18" t="s">
        <v>568</v>
      </c>
      <c r="J3" s="18"/>
      <c r="K3" s="19"/>
    </row>
    <row r="4" spans="1:11" ht="15" hidden="1" customHeight="1">
      <c r="B4" s="19"/>
      <c r="C4" s="18"/>
      <c r="D4" s="18"/>
      <c r="E4" s="18"/>
      <c r="F4" s="18"/>
      <c r="G4" s="18"/>
      <c r="H4" s="18"/>
      <c r="I4" s="18"/>
      <c r="J4" s="18"/>
    </row>
    <row r="5" spans="1:11" ht="15" hidden="1" customHeight="1">
      <c r="B5" s="19" t="s">
        <v>569</v>
      </c>
      <c r="C5" s="18"/>
      <c r="D5" s="18"/>
      <c r="E5" s="18"/>
      <c r="F5" s="18"/>
      <c r="G5" s="18"/>
      <c r="H5" s="18"/>
      <c r="I5" s="18"/>
      <c r="J5" s="18"/>
    </row>
    <row r="6" spans="1:11" ht="25" customHeight="1">
      <c r="A6" s="10" t="s">
        <v>569</v>
      </c>
      <c r="B6" s="20" t="s">
        <v>570</v>
      </c>
      <c r="C6" s="21" t="s">
        <v>571</v>
      </c>
      <c r="D6" s="21" t="s">
        <v>564</v>
      </c>
      <c r="E6" s="22" t="s">
        <v>572</v>
      </c>
      <c r="F6" s="21" t="s">
        <v>19</v>
      </c>
      <c r="G6" s="21" t="s">
        <v>571</v>
      </c>
      <c r="H6" s="21" t="s">
        <v>564</v>
      </c>
      <c r="I6" s="22" t="s">
        <v>572</v>
      </c>
      <c r="J6" s="21" t="s">
        <v>19</v>
      </c>
      <c r="K6" s="21" t="s">
        <v>573</v>
      </c>
    </row>
    <row r="7" spans="1:11">
      <c r="A7" s="23" t="s">
        <v>569</v>
      </c>
      <c r="B7" s="24" t="s">
        <v>1</v>
      </c>
      <c r="C7" s="25" t="s">
        <v>569</v>
      </c>
      <c r="D7" s="25" t="s">
        <v>569</v>
      </c>
      <c r="E7" s="25" t="s">
        <v>569</v>
      </c>
      <c r="F7" s="25" t="s">
        <v>569</v>
      </c>
      <c r="G7" s="25" t="s">
        <v>569</v>
      </c>
      <c r="H7" s="25" t="s">
        <v>569</v>
      </c>
      <c r="I7" s="25" t="s">
        <v>569</v>
      </c>
      <c r="J7" s="25" t="s">
        <v>569</v>
      </c>
      <c r="K7" s="25"/>
    </row>
    <row r="8" spans="1:11">
      <c r="B8" s="26" t="s">
        <v>574</v>
      </c>
      <c r="C8" s="27">
        <v>176206</v>
      </c>
      <c r="D8" s="27">
        <v>194902</v>
      </c>
      <c r="E8" s="27">
        <v>-175901</v>
      </c>
      <c r="F8" s="27">
        <v>195207</v>
      </c>
      <c r="G8" s="27">
        <v>75319</v>
      </c>
      <c r="H8" s="27">
        <v>237839</v>
      </c>
      <c r="I8" s="27">
        <v>-75319</v>
      </c>
      <c r="J8" s="27">
        <v>237839</v>
      </c>
      <c r="K8" s="27">
        <f>F8-J8</f>
        <v>-42632</v>
      </c>
    </row>
    <row r="9" spans="1:11" hidden="1" outlineLevel="1">
      <c r="B9" s="26" t="s">
        <v>2</v>
      </c>
      <c r="C9" s="27">
        <v>175901</v>
      </c>
      <c r="D9" s="27">
        <v>194902</v>
      </c>
      <c r="E9" s="27">
        <v>-175901</v>
      </c>
      <c r="F9" s="27">
        <v>194902</v>
      </c>
      <c r="G9" s="27">
        <v>75319</v>
      </c>
      <c r="H9" s="27">
        <v>237839</v>
      </c>
      <c r="I9" s="27">
        <v>-75319</v>
      </c>
      <c r="J9" s="27">
        <v>237839</v>
      </c>
      <c r="K9" s="27">
        <f>F9-J9</f>
        <v>-42937</v>
      </c>
    </row>
    <row r="10" spans="1:11" hidden="1" outlineLevel="1">
      <c r="B10" s="26" t="s">
        <v>44</v>
      </c>
      <c r="C10" s="27">
        <v>0</v>
      </c>
      <c r="D10" s="27">
        <v>0</v>
      </c>
      <c r="E10" s="27" t="s">
        <v>569</v>
      </c>
      <c r="F10" s="27">
        <v>0</v>
      </c>
      <c r="G10" s="27">
        <v>0</v>
      </c>
      <c r="H10" s="27">
        <v>0</v>
      </c>
      <c r="I10" s="27" t="s">
        <v>569</v>
      </c>
      <c r="J10" s="27">
        <v>0</v>
      </c>
      <c r="K10" s="27">
        <f t="shared" ref="K10:K72" si="0">F10-J10</f>
        <v>0</v>
      </c>
    </row>
    <row r="11" spans="1:11" hidden="1" outlineLevel="1">
      <c r="B11" s="26" t="s">
        <v>45</v>
      </c>
      <c r="C11" s="27" t="s">
        <v>569</v>
      </c>
      <c r="D11" s="27" t="s">
        <v>569</v>
      </c>
      <c r="E11" s="27" t="s">
        <v>569</v>
      </c>
      <c r="F11" s="27" t="s">
        <v>569</v>
      </c>
      <c r="G11" s="27" t="s">
        <v>569</v>
      </c>
      <c r="H11" s="27" t="s">
        <v>569</v>
      </c>
      <c r="I11" s="27" t="s">
        <v>569</v>
      </c>
      <c r="J11" s="27" t="s">
        <v>569</v>
      </c>
      <c r="K11" s="27"/>
    </row>
    <row r="12" spans="1:11" hidden="1" outlineLevel="1">
      <c r="B12" s="26" t="s">
        <v>47</v>
      </c>
      <c r="C12" s="27">
        <v>16</v>
      </c>
      <c r="D12" s="27">
        <v>0</v>
      </c>
      <c r="E12" s="27" t="s">
        <v>569</v>
      </c>
      <c r="F12" s="27">
        <v>16</v>
      </c>
      <c r="G12" s="27" t="s">
        <v>569</v>
      </c>
      <c r="H12" s="27">
        <v>0</v>
      </c>
      <c r="I12" s="27" t="s">
        <v>569</v>
      </c>
      <c r="J12" s="27">
        <v>0</v>
      </c>
      <c r="K12" s="27">
        <f t="shared" si="0"/>
        <v>16</v>
      </c>
    </row>
    <row r="13" spans="1:11" hidden="1" outlineLevel="1">
      <c r="B13" s="26" t="s">
        <v>46</v>
      </c>
      <c r="C13" s="27">
        <v>289</v>
      </c>
      <c r="D13" s="27" t="s">
        <v>569</v>
      </c>
      <c r="E13" s="27" t="s">
        <v>569</v>
      </c>
      <c r="F13" s="27">
        <v>289</v>
      </c>
      <c r="G13" s="27" t="s">
        <v>569</v>
      </c>
      <c r="H13" s="27" t="s">
        <v>569</v>
      </c>
      <c r="I13" s="27" t="s">
        <v>569</v>
      </c>
      <c r="J13" s="27" t="s">
        <v>569</v>
      </c>
      <c r="K13" s="27"/>
    </row>
    <row r="14" spans="1:11" hidden="1" outlineLevel="1">
      <c r="B14" s="26" t="s">
        <v>3</v>
      </c>
      <c r="C14" s="27">
        <v>176206</v>
      </c>
      <c r="D14" s="27">
        <v>194902</v>
      </c>
      <c r="E14" s="27">
        <v>-175901</v>
      </c>
      <c r="F14" s="27">
        <v>195207</v>
      </c>
      <c r="G14" s="27">
        <v>75319</v>
      </c>
      <c r="H14" s="27">
        <v>237839</v>
      </c>
      <c r="I14" s="27">
        <v>-75319</v>
      </c>
      <c r="J14" s="27">
        <v>237839</v>
      </c>
      <c r="K14" s="27">
        <f t="shared" si="0"/>
        <v>-42632</v>
      </c>
    </row>
    <row r="15" spans="1:11" collapsed="1">
      <c r="A15" s="23" t="s">
        <v>569</v>
      </c>
      <c r="B15" s="24" t="s">
        <v>4</v>
      </c>
      <c r="C15" s="25" t="s">
        <v>569</v>
      </c>
      <c r="D15" s="25" t="s">
        <v>569</v>
      </c>
      <c r="E15" s="25" t="s">
        <v>569</v>
      </c>
      <c r="F15" s="25" t="s">
        <v>569</v>
      </c>
      <c r="G15" s="25" t="s">
        <v>569</v>
      </c>
      <c r="H15" s="25" t="s">
        <v>569</v>
      </c>
      <c r="I15" s="25" t="s">
        <v>569</v>
      </c>
      <c r="J15" s="25" t="s">
        <v>569</v>
      </c>
      <c r="K15" s="25"/>
    </row>
    <row r="16" spans="1:11">
      <c r="B16" s="24" t="s">
        <v>575</v>
      </c>
      <c r="C16" s="27">
        <v>100793</v>
      </c>
      <c r="D16" s="27">
        <v>175901</v>
      </c>
      <c r="E16" s="27">
        <v>-175901</v>
      </c>
      <c r="F16" s="27">
        <v>100793</v>
      </c>
      <c r="G16" s="27">
        <v>104521</v>
      </c>
      <c r="H16" s="27">
        <v>75394</v>
      </c>
      <c r="I16" s="27">
        <v>-75319</v>
      </c>
      <c r="J16" s="27">
        <v>104596</v>
      </c>
      <c r="K16" s="27">
        <f t="shared" si="0"/>
        <v>-3803</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0</v>
      </c>
      <c r="E18" s="27" t="s">
        <v>569</v>
      </c>
      <c r="F18" s="27">
        <v>0</v>
      </c>
      <c r="G18" s="27" t="s">
        <v>569</v>
      </c>
      <c r="H18" s="27">
        <v>75</v>
      </c>
      <c r="I18" s="27" t="s">
        <v>569</v>
      </c>
      <c r="J18" s="27">
        <v>75</v>
      </c>
      <c r="K18" s="27">
        <f t="shared" si="0"/>
        <v>-75</v>
      </c>
    </row>
    <row r="19" spans="2:11" outlineLevel="1">
      <c r="B19" s="26" t="s">
        <v>50</v>
      </c>
      <c r="C19" s="27">
        <v>62706</v>
      </c>
      <c r="D19" s="27" t="s">
        <v>569</v>
      </c>
      <c r="E19" s="27" t="s">
        <v>569</v>
      </c>
      <c r="F19" s="27">
        <v>62706</v>
      </c>
      <c r="G19" s="27">
        <v>65666</v>
      </c>
      <c r="H19" s="27" t="s">
        <v>569</v>
      </c>
      <c r="I19" s="27" t="s">
        <v>569</v>
      </c>
      <c r="J19" s="27">
        <v>65666</v>
      </c>
      <c r="K19" s="27">
        <f t="shared" si="0"/>
        <v>-2960</v>
      </c>
    </row>
    <row r="20" spans="2:11" outlineLevel="1">
      <c r="B20" s="26" t="s">
        <v>51</v>
      </c>
      <c r="C20" s="27">
        <v>38087</v>
      </c>
      <c r="D20" s="27" t="s">
        <v>569</v>
      </c>
      <c r="E20" s="27" t="s">
        <v>569</v>
      </c>
      <c r="F20" s="27">
        <v>38087</v>
      </c>
      <c r="G20" s="27">
        <v>38517</v>
      </c>
      <c r="H20" s="27" t="s">
        <v>569</v>
      </c>
      <c r="I20" s="27" t="s">
        <v>569</v>
      </c>
      <c r="J20" s="27">
        <v>38517</v>
      </c>
      <c r="K20" s="27">
        <f t="shared" si="0"/>
        <v>-430</v>
      </c>
    </row>
    <row r="21" spans="2:11" outlineLevel="1">
      <c r="B21" s="26" t="s">
        <v>52</v>
      </c>
      <c r="C21" s="27">
        <v>0</v>
      </c>
      <c r="D21" s="27">
        <v>175901</v>
      </c>
      <c r="E21" s="27">
        <v>-175901</v>
      </c>
      <c r="F21" s="27">
        <v>0</v>
      </c>
      <c r="G21" s="27">
        <v>217</v>
      </c>
      <c r="H21" s="27">
        <v>75319</v>
      </c>
      <c r="I21" s="27">
        <v>-75319</v>
      </c>
      <c r="J21" s="27">
        <v>217</v>
      </c>
      <c r="K21" s="27">
        <f t="shared" si="0"/>
        <v>-217</v>
      </c>
    </row>
    <row r="22" spans="2:11" outlineLevel="1">
      <c r="B22" s="26" t="s">
        <v>53</v>
      </c>
      <c r="C22" s="27">
        <v>0</v>
      </c>
      <c r="D22" s="27" t="s">
        <v>569</v>
      </c>
      <c r="E22" s="27" t="s">
        <v>569</v>
      </c>
      <c r="F22" s="27">
        <v>0</v>
      </c>
      <c r="G22" s="27">
        <v>121</v>
      </c>
      <c r="H22" s="27" t="s">
        <v>569</v>
      </c>
      <c r="I22" s="27" t="s">
        <v>569</v>
      </c>
      <c r="J22" s="27">
        <v>121</v>
      </c>
      <c r="K22" s="27">
        <f t="shared" si="0"/>
        <v>-121</v>
      </c>
    </row>
    <row r="23" spans="2:11">
      <c r="B23" s="24" t="s">
        <v>576</v>
      </c>
      <c r="C23" s="27">
        <v>11371</v>
      </c>
      <c r="D23" s="27" t="s">
        <v>569</v>
      </c>
      <c r="E23" s="27" t="s">
        <v>569</v>
      </c>
      <c r="F23" s="27">
        <v>11371</v>
      </c>
      <c r="G23" s="27">
        <v>10999</v>
      </c>
      <c r="H23" s="27" t="s">
        <v>569</v>
      </c>
      <c r="I23" s="27" t="s">
        <v>569</v>
      </c>
      <c r="J23" s="27">
        <v>10999</v>
      </c>
      <c r="K23" s="27">
        <f t="shared" si="0"/>
        <v>372</v>
      </c>
    </row>
    <row r="24" spans="2:11" outlineLevel="1">
      <c r="B24" s="26" t="s">
        <v>55</v>
      </c>
      <c r="C24" s="27" t="s">
        <v>569</v>
      </c>
      <c r="D24" s="27" t="s">
        <v>569</v>
      </c>
      <c r="E24" s="27" t="s">
        <v>569</v>
      </c>
      <c r="F24" s="27" t="s">
        <v>569</v>
      </c>
      <c r="G24" s="27" t="s">
        <v>569</v>
      </c>
      <c r="H24" s="27" t="s">
        <v>569</v>
      </c>
      <c r="I24" s="27" t="s">
        <v>569</v>
      </c>
      <c r="J24" s="27" t="s">
        <v>569</v>
      </c>
      <c r="K24" s="27"/>
    </row>
    <row r="25" spans="2:11" outlineLevel="1">
      <c r="B25" s="26" t="s">
        <v>56</v>
      </c>
      <c r="C25" s="27">
        <v>411</v>
      </c>
      <c r="D25" s="27" t="s">
        <v>569</v>
      </c>
      <c r="E25" s="27" t="s">
        <v>569</v>
      </c>
      <c r="F25" s="27">
        <v>411</v>
      </c>
      <c r="G25" s="27">
        <v>383</v>
      </c>
      <c r="H25" s="27" t="s">
        <v>569</v>
      </c>
      <c r="I25" s="27" t="s">
        <v>569</v>
      </c>
      <c r="J25" s="27">
        <v>383</v>
      </c>
      <c r="K25" s="27">
        <f t="shared" si="0"/>
        <v>28</v>
      </c>
    </row>
    <row r="26" spans="2:11" outlineLevel="1">
      <c r="B26" s="26" t="s">
        <v>57</v>
      </c>
      <c r="C26" s="27">
        <v>9958</v>
      </c>
      <c r="D26" s="27" t="s">
        <v>569</v>
      </c>
      <c r="E26" s="27" t="s">
        <v>569</v>
      </c>
      <c r="F26" s="27">
        <v>9958</v>
      </c>
      <c r="G26" s="27">
        <v>9573</v>
      </c>
      <c r="H26" s="27" t="s">
        <v>569</v>
      </c>
      <c r="I26" s="27" t="s">
        <v>569</v>
      </c>
      <c r="J26" s="27">
        <v>9573</v>
      </c>
      <c r="K26" s="27">
        <f t="shared" si="0"/>
        <v>385</v>
      </c>
    </row>
    <row r="27" spans="2:11" outlineLevel="1">
      <c r="B27" s="26" t="s">
        <v>58</v>
      </c>
      <c r="C27" s="27">
        <v>391</v>
      </c>
      <c r="D27" s="27" t="s">
        <v>569</v>
      </c>
      <c r="E27" s="27" t="s">
        <v>569</v>
      </c>
      <c r="F27" s="27">
        <v>391</v>
      </c>
      <c r="G27" s="27">
        <v>404</v>
      </c>
      <c r="H27" s="27" t="s">
        <v>569</v>
      </c>
      <c r="I27" s="27" t="s">
        <v>569</v>
      </c>
      <c r="J27" s="27">
        <v>404</v>
      </c>
      <c r="K27" s="27">
        <f t="shared" si="0"/>
        <v>-13</v>
      </c>
    </row>
    <row r="28" spans="2:11" outlineLevel="1">
      <c r="B28" s="26" t="s">
        <v>59</v>
      </c>
      <c r="C28" s="27" t="s">
        <v>569</v>
      </c>
      <c r="D28" s="27" t="s">
        <v>569</v>
      </c>
      <c r="E28" s="27" t="s">
        <v>569</v>
      </c>
      <c r="F28" s="27" t="s">
        <v>569</v>
      </c>
      <c r="G28" s="27" t="s">
        <v>569</v>
      </c>
      <c r="H28" s="27" t="s">
        <v>569</v>
      </c>
      <c r="I28" s="27" t="s">
        <v>569</v>
      </c>
      <c r="J28" s="27" t="s">
        <v>569</v>
      </c>
      <c r="K28" s="27"/>
    </row>
    <row r="29" spans="2:11" outlineLevel="1">
      <c r="B29" s="26" t="s">
        <v>60</v>
      </c>
      <c r="C29" s="27">
        <v>610</v>
      </c>
      <c r="D29" s="27" t="s">
        <v>569</v>
      </c>
      <c r="E29" s="27" t="s">
        <v>569</v>
      </c>
      <c r="F29" s="27">
        <v>610</v>
      </c>
      <c r="G29" s="27">
        <v>639</v>
      </c>
      <c r="H29" s="27" t="s">
        <v>569</v>
      </c>
      <c r="I29" s="27" t="s">
        <v>569</v>
      </c>
      <c r="J29" s="27">
        <v>639</v>
      </c>
      <c r="K29" s="27">
        <f t="shared" si="0"/>
        <v>-29</v>
      </c>
    </row>
    <row r="30" spans="2:11" outlineLevel="1">
      <c r="B30" s="26" t="s">
        <v>61</v>
      </c>
      <c r="C30" s="27" t="s">
        <v>569</v>
      </c>
      <c r="D30" s="27" t="s">
        <v>569</v>
      </c>
      <c r="E30" s="27" t="s">
        <v>569</v>
      </c>
      <c r="F30" s="27" t="s">
        <v>569</v>
      </c>
      <c r="G30" s="27" t="s">
        <v>569</v>
      </c>
      <c r="H30" s="27" t="s">
        <v>569</v>
      </c>
      <c r="I30" s="27" t="s">
        <v>569</v>
      </c>
      <c r="J30" s="27" t="s">
        <v>569</v>
      </c>
      <c r="K30" s="27"/>
    </row>
    <row r="31" spans="2:11" outlineLevel="1">
      <c r="B31" s="26" t="s">
        <v>62</v>
      </c>
      <c r="C31" s="27" t="s">
        <v>569</v>
      </c>
      <c r="D31" s="27" t="s">
        <v>569</v>
      </c>
      <c r="E31" s="27" t="s">
        <v>569</v>
      </c>
      <c r="F31" s="27" t="s">
        <v>569</v>
      </c>
      <c r="G31" s="27" t="s">
        <v>569</v>
      </c>
      <c r="H31" s="27" t="s">
        <v>569</v>
      </c>
      <c r="I31" s="27" t="s">
        <v>569</v>
      </c>
      <c r="J31" s="27" t="s">
        <v>569</v>
      </c>
      <c r="K31" s="27"/>
    </row>
    <row r="32" spans="2:11">
      <c r="B32" s="24" t="s">
        <v>577</v>
      </c>
      <c r="C32" s="27">
        <v>14894</v>
      </c>
      <c r="D32" s="27">
        <v>0</v>
      </c>
      <c r="E32" s="27" t="s">
        <v>569</v>
      </c>
      <c r="F32" s="27">
        <v>14894</v>
      </c>
      <c r="G32" s="27">
        <v>14533</v>
      </c>
      <c r="H32" s="27">
        <v>1000</v>
      </c>
      <c r="I32" s="27" t="s">
        <v>569</v>
      </c>
      <c r="J32" s="27">
        <v>15533</v>
      </c>
      <c r="K32" s="27">
        <f t="shared" si="0"/>
        <v>-639</v>
      </c>
    </row>
    <row r="33" spans="2:11" outlineLevel="1">
      <c r="B33" s="26" t="s">
        <v>64</v>
      </c>
      <c r="C33" s="27" t="s">
        <v>569</v>
      </c>
      <c r="D33" s="27" t="s">
        <v>569</v>
      </c>
      <c r="E33" s="27" t="s">
        <v>569</v>
      </c>
      <c r="F33" s="27" t="s">
        <v>569</v>
      </c>
      <c r="G33" s="27" t="s">
        <v>569</v>
      </c>
      <c r="H33" s="27" t="s">
        <v>569</v>
      </c>
      <c r="I33" s="27" t="s">
        <v>569</v>
      </c>
      <c r="J33" s="27" t="s">
        <v>569</v>
      </c>
      <c r="K33" s="27"/>
    </row>
    <row r="34" spans="2:11" outlineLevel="1">
      <c r="B34" s="26" t="s">
        <v>65</v>
      </c>
      <c r="C34" s="27">
        <v>2980</v>
      </c>
      <c r="D34" s="27" t="s">
        <v>569</v>
      </c>
      <c r="E34" s="27" t="s">
        <v>569</v>
      </c>
      <c r="F34" s="27">
        <v>2980</v>
      </c>
      <c r="G34" s="27">
        <v>2676</v>
      </c>
      <c r="H34" s="27" t="s">
        <v>569</v>
      </c>
      <c r="I34" s="27" t="s">
        <v>569</v>
      </c>
      <c r="J34" s="27">
        <v>2676</v>
      </c>
      <c r="K34" s="27">
        <f t="shared" si="0"/>
        <v>304</v>
      </c>
    </row>
    <row r="35" spans="2:11" outlineLevel="1">
      <c r="B35" s="26" t="s">
        <v>66</v>
      </c>
      <c r="C35" s="27" t="s">
        <v>569</v>
      </c>
      <c r="D35" s="27" t="s">
        <v>569</v>
      </c>
      <c r="E35" s="27" t="s">
        <v>569</v>
      </c>
      <c r="F35" s="27" t="s">
        <v>569</v>
      </c>
      <c r="G35" s="27" t="s">
        <v>569</v>
      </c>
      <c r="H35" s="27" t="s">
        <v>569</v>
      </c>
      <c r="I35" s="27" t="s">
        <v>569</v>
      </c>
      <c r="J35" s="27" t="s">
        <v>569</v>
      </c>
      <c r="K35" s="27"/>
    </row>
    <row r="36" spans="2:11" outlineLevel="1">
      <c r="B36" s="26" t="s">
        <v>67</v>
      </c>
      <c r="C36" s="27">
        <v>743</v>
      </c>
      <c r="D36" s="27" t="s">
        <v>569</v>
      </c>
      <c r="E36" s="27" t="s">
        <v>569</v>
      </c>
      <c r="F36" s="27">
        <v>743</v>
      </c>
      <c r="G36" s="27">
        <v>743</v>
      </c>
      <c r="H36" s="27" t="s">
        <v>569</v>
      </c>
      <c r="I36" s="27" t="s">
        <v>569</v>
      </c>
      <c r="J36" s="27">
        <v>743</v>
      </c>
      <c r="K36" s="27">
        <f t="shared" si="0"/>
        <v>0</v>
      </c>
    </row>
    <row r="37" spans="2:11" outlineLevel="1">
      <c r="B37" s="26" t="s">
        <v>68</v>
      </c>
      <c r="C37" s="27">
        <v>4302</v>
      </c>
      <c r="D37" s="27" t="s">
        <v>569</v>
      </c>
      <c r="E37" s="27" t="s">
        <v>569</v>
      </c>
      <c r="F37" s="27">
        <v>4302</v>
      </c>
      <c r="G37" s="27">
        <v>4302</v>
      </c>
      <c r="H37" s="27" t="s">
        <v>569</v>
      </c>
      <c r="I37" s="27" t="s">
        <v>569</v>
      </c>
      <c r="J37" s="27">
        <v>4302</v>
      </c>
      <c r="K37" s="27">
        <f t="shared" si="0"/>
        <v>0</v>
      </c>
    </row>
    <row r="38" spans="2:11" outlineLevel="1">
      <c r="B38" s="26" t="s">
        <v>69</v>
      </c>
      <c r="C38" s="27">
        <v>1964</v>
      </c>
      <c r="D38" s="27" t="s">
        <v>569</v>
      </c>
      <c r="E38" s="27" t="s">
        <v>569</v>
      </c>
      <c r="F38" s="27">
        <v>1964</v>
      </c>
      <c r="G38" s="27">
        <v>1907</v>
      </c>
      <c r="H38" s="27" t="s">
        <v>569</v>
      </c>
      <c r="I38" s="27" t="s">
        <v>569</v>
      </c>
      <c r="J38" s="27">
        <v>1907</v>
      </c>
      <c r="K38" s="27">
        <f t="shared" si="0"/>
        <v>57</v>
      </c>
    </row>
    <row r="39" spans="2:11" outlineLevel="1">
      <c r="B39" s="26" t="s">
        <v>71</v>
      </c>
      <c r="C39" s="27">
        <v>285</v>
      </c>
      <c r="D39" s="27" t="s">
        <v>569</v>
      </c>
      <c r="E39" s="27" t="s">
        <v>569</v>
      </c>
      <c r="F39" s="27">
        <v>285</v>
      </c>
      <c r="G39" s="27">
        <v>285</v>
      </c>
      <c r="H39" s="27" t="s">
        <v>569</v>
      </c>
      <c r="I39" s="27" t="s">
        <v>569</v>
      </c>
      <c r="J39" s="27">
        <v>285</v>
      </c>
      <c r="K39" s="27">
        <f t="shared" si="0"/>
        <v>0</v>
      </c>
    </row>
    <row r="40" spans="2:11" outlineLevel="1">
      <c r="B40" s="26" t="s">
        <v>72</v>
      </c>
      <c r="C40" s="27">
        <v>4348</v>
      </c>
      <c r="D40" s="27" t="s">
        <v>569</v>
      </c>
      <c r="E40" s="27" t="s">
        <v>569</v>
      </c>
      <c r="F40" s="27">
        <v>4348</v>
      </c>
      <c r="G40" s="27">
        <v>4348</v>
      </c>
      <c r="H40" s="27" t="s">
        <v>569</v>
      </c>
      <c r="I40" s="27" t="s">
        <v>569</v>
      </c>
      <c r="J40" s="27">
        <v>4348</v>
      </c>
      <c r="K40" s="27">
        <f t="shared" si="0"/>
        <v>0</v>
      </c>
    </row>
    <row r="41" spans="2:11" outlineLevel="1">
      <c r="B41" s="26" t="s">
        <v>73</v>
      </c>
      <c r="C41" s="27">
        <v>272</v>
      </c>
      <c r="D41" s="27">
        <v>0</v>
      </c>
      <c r="E41" s="27" t="s">
        <v>569</v>
      </c>
      <c r="F41" s="27">
        <v>272</v>
      </c>
      <c r="G41" s="27">
        <v>272</v>
      </c>
      <c r="H41" s="27">
        <v>1000</v>
      </c>
      <c r="I41" s="27" t="s">
        <v>569</v>
      </c>
      <c r="J41" s="27">
        <v>1272</v>
      </c>
      <c r="K41" s="27">
        <f t="shared" si="0"/>
        <v>-1000</v>
      </c>
    </row>
    <row r="42" spans="2:11" outlineLevel="1">
      <c r="B42" s="26" t="s">
        <v>70</v>
      </c>
      <c r="C42" s="27" t="s">
        <v>569</v>
      </c>
      <c r="D42" s="27" t="s">
        <v>569</v>
      </c>
      <c r="E42" s="27" t="s">
        <v>569</v>
      </c>
      <c r="F42" s="27" t="s">
        <v>569</v>
      </c>
      <c r="G42" s="27" t="s">
        <v>569</v>
      </c>
      <c r="H42" s="27" t="s">
        <v>569</v>
      </c>
      <c r="I42" s="27" t="s">
        <v>569</v>
      </c>
      <c r="J42" s="27" t="s">
        <v>569</v>
      </c>
      <c r="K42" s="27"/>
    </row>
    <row r="43" spans="2:11">
      <c r="B43" s="24" t="s">
        <v>578</v>
      </c>
      <c r="C43" s="27">
        <v>1475</v>
      </c>
      <c r="D43" s="27">
        <v>506</v>
      </c>
      <c r="E43" s="27" t="s">
        <v>569</v>
      </c>
      <c r="F43" s="27">
        <v>1981</v>
      </c>
      <c r="G43" s="27">
        <v>1603</v>
      </c>
      <c r="H43" s="27">
        <v>1255</v>
      </c>
      <c r="I43" s="27" t="s">
        <v>569</v>
      </c>
      <c r="J43" s="27">
        <v>2858</v>
      </c>
      <c r="K43" s="27">
        <f t="shared" si="0"/>
        <v>-877</v>
      </c>
    </row>
    <row r="44" spans="2:11" outlineLevel="1">
      <c r="B44" s="26" t="s">
        <v>75</v>
      </c>
      <c r="C44" s="27" t="s">
        <v>569</v>
      </c>
      <c r="D44" s="27">
        <v>285</v>
      </c>
      <c r="E44" s="27" t="s">
        <v>569</v>
      </c>
      <c r="F44" s="27">
        <v>285</v>
      </c>
      <c r="G44" s="27" t="s">
        <v>569</v>
      </c>
      <c r="H44" s="27">
        <v>295</v>
      </c>
      <c r="I44" s="27" t="s">
        <v>569</v>
      </c>
      <c r="J44" s="27">
        <v>295</v>
      </c>
      <c r="K44" s="27">
        <f t="shared" si="0"/>
        <v>-10</v>
      </c>
    </row>
    <row r="45" spans="2:11" outlineLevel="1">
      <c r="B45" s="26" t="s">
        <v>76</v>
      </c>
      <c r="C45" s="27" t="s">
        <v>569</v>
      </c>
      <c r="D45" s="27">
        <v>220</v>
      </c>
      <c r="E45" s="27" t="s">
        <v>569</v>
      </c>
      <c r="F45" s="27">
        <v>220</v>
      </c>
      <c r="G45" s="27" t="s">
        <v>569</v>
      </c>
      <c r="H45" s="27">
        <v>459</v>
      </c>
      <c r="I45" s="27" t="s">
        <v>569</v>
      </c>
      <c r="J45" s="27">
        <v>459</v>
      </c>
      <c r="K45" s="27">
        <f t="shared" si="0"/>
        <v>-239</v>
      </c>
    </row>
    <row r="46" spans="2:11" outlineLevel="1">
      <c r="B46" s="26" t="s">
        <v>79</v>
      </c>
      <c r="C46" s="27">
        <v>479</v>
      </c>
      <c r="D46" s="27">
        <v>0</v>
      </c>
      <c r="E46" s="27" t="s">
        <v>569</v>
      </c>
      <c r="F46" s="27">
        <v>479</v>
      </c>
      <c r="G46" s="27">
        <v>485</v>
      </c>
      <c r="H46" s="27">
        <v>501</v>
      </c>
      <c r="I46" s="27" t="s">
        <v>569</v>
      </c>
      <c r="J46" s="27">
        <v>985</v>
      </c>
      <c r="K46" s="27">
        <f t="shared" si="0"/>
        <v>-506</v>
      </c>
    </row>
    <row r="47" spans="2:11" outlineLevel="1">
      <c r="B47" s="26" t="s">
        <v>74</v>
      </c>
      <c r="C47" s="27">
        <v>29</v>
      </c>
      <c r="D47" s="27" t="s">
        <v>569</v>
      </c>
      <c r="E47" s="27" t="s">
        <v>569</v>
      </c>
      <c r="F47" s="27">
        <v>29</v>
      </c>
      <c r="G47" s="27">
        <v>41</v>
      </c>
      <c r="H47" s="27" t="s">
        <v>569</v>
      </c>
      <c r="I47" s="27" t="s">
        <v>569</v>
      </c>
      <c r="J47" s="27">
        <v>41</v>
      </c>
      <c r="K47" s="27">
        <f t="shared" si="0"/>
        <v>-12</v>
      </c>
    </row>
    <row r="48" spans="2:11" outlineLevel="1">
      <c r="B48" s="26" t="s">
        <v>80</v>
      </c>
      <c r="C48" s="27">
        <v>213</v>
      </c>
      <c r="D48" s="27" t="s">
        <v>569</v>
      </c>
      <c r="E48" s="27" t="s">
        <v>569</v>
      </c>
      <c r="F48" s="27">
        <v>213</v>
      </c>
      <c r="G48" s="27">
        <v>189</v>
      </c>
      <c r="H48" s="27" t="s">
        <v>569</v>
      </c>
      <c r="I48" s="27" t="s">
        <v>569</v>
      </c>
      <c r="J48" s="27">
        <v>189</v>
      </c>
      <c r="K48" s="27">
        <f t="shared" si="0"/>
        <v>24</v>
      </c>
    </row>
    <row r="49" spans="2:11" outlineLevel="1">
      <c r="B49" s="26" t="s">
        <v>579</v>
      </c>
      <c r="C49" s="27">
        <v>754</v>
      </c>
      <c r="D49" s="27" t="s">
        <v>569</v>
      </c>
      <c r="E49" s="27" t="s">
        <v>569</v>
      </c>
      <c r="F49" s="27">
        <v>754</v>
      </c>
      <c r="G49" s="27">
        <v>889</v>
      </c>
      <c r="H49" s="27" t="s">
        <v>569</v>
      </c>
      <c r="I49" s="27" t="s">
        <v>569</v>
      </c>
      <c r="J49" s="27">
        <v>889</v>
      </c>
      <c r="K49" s="27">
        <f t="shared" si="0"/>
        <v>-135</v>
      </c>
    </row>
    <row r="50" spans="2:11">
      <c r="B50" s="26" t="s">
        <v>580</v>
      </c>
      <c r="C50" s="27">
        <v>4084</v>
      </c>
      <c r="D50" s="27" t="s">
        <v>569</v>
      </c>
      <c r="E50" s="27" t="s">
        <v>569</v>
      </c>
      <c r="F50" s="27">
        <v>4084</v>
      </c>
      <c r="G50" s="27">
        <v>4376</v>
      </c>
      <c r="H50" s="27" t="s">
        <v>569</v>
      </c>
      <c r="I50" s="27" t="s">
        <v>569</v>
      </c>
      <c r="J50" s="27">
        <v>4376</v>
      </c>
      <c r="K50" s="27">
        <f t="shared" si="0"/>
        <v>-292</v>
      </c>
    </row>
    <row r="51" spans="2:11" outlineLevel="1">
      <c r="B51" s="26" t="s">
        <v>82</v>
      </c>
      <c r="C51" s="27">
        <v>4084</v>
      </c>
      <c r="D51" s="27" t="s">
        <v>569</v>
      </c>
      <c r="E51" s="27" t="s">
        <v>569</v>
      </c>
      <c r="F51" s="27">
        <v>4084</v>
      </c>
      <c r="G51" s="27">
        <v>4376</v>
      </c>
      <c r="H51" s="27" t="s">
        <v>569</v>
      </c>
      <c r="I51" s="27" t="s">
        <v>569</v>
      </c>
      <c r="J51" s="27">
        <v>4376</v>
      </c>
      <c r="K51" s="27">
        <f t="shared" si="0"/>
        <v>-292</v>
      </c>
    </row>
    <row r="52" spans="2:11">
      <c r="B52" s="24" t="s">
        <v>581</v>
      </c>
      <c r="C52" s="27">
        <v>4841</v>
      </c>
      <c r="D52" s="27">
        <v>16686</v>
      </c>
      <c r="E52" s="27" t="s">
        <v>569</v>
      </c>
      <c r="F52" s="27">
        <v>21527</v>
      </c>
      <c r="G52" s="27">
        <v>7740</v>
      </c>
      <c r="H52" s="27">
        <v>29152</v>
      </c>
      <c r="I52" s="27" t="s">
        <v>569</v>
      </c>
      <c r="J52" s="27">
        <v>36892</v>
      </c>
      <c r="K52" s="27">
        <f t="shared" si="0"/>
        <v>-15365</v>
      </c>
    </row>
    <row r="53" spans="2:11" outlineLevel="1">
      <c r="B53" s="26" t="s">
        <v>84</v>
      </c>
      <c r="C53" s="27" t="s">
        <v>569</v>
      </c>
      <c r="D53" s="27" t="s">
        <v>569</v>
      </c>
      <c r="E53" s="27" t="s">
        <v>569</v>
      </c>
      <c r="F53" s="27" t="s">
        <v>569</v>
      </c>
      <c r="G53" s="27" t="s">
        <v>569</v>
      </c>
      <c r="H53" s="27" t="s">
        <v>569</v>
      </c>
      <c r="I53" s="27" t="s">
        <v>569</v>
      </c>
      <c r="J53" s="27" t="s">
        <v>569</v>
      </c>
      <c r="K53" s="27"/>
    </row>
    <row r="54" spans="2:11" outlineLevel="1">
      <c r="B54" s="26" t="s">
        <v>85</v>
      </c>
      <c r="C54" s="27" t="s">
        <v>569</v>
      </c>
      <c r="D54" s="27" t="s">
        <v>569</v>
      </c>
      <c r="E54" s="27" t="s">
        <v>569</v>
      </c>
      <c r="F54" s="27" t="s">
        <v>569</v>
      </c>
      <c r="G54" s="27" t="s">
        <v>569</v>
      </c>
      <c r="H54" s="27" t="s">
        <v>569</v>
      </c>
      <c r="I54" s="27" t="s">
        <v>569</v>
      </c>
      <c r="J54" s="27" t="s">
        <v>569</v>
      </c>
      <c r="K54" s="27"/>
    </row>
    <row r="55" spans="2:11" outlineLevel="1">
      <c r="B55" s="26" t="s">
        <v>86</v>
      </c>
      <c r="C55" s="27" t="s">
        <v>569</v>
      </c>
      <c r="D55" s="27" t="s">
        <v>569</v>
      </c>
      <c r="E55" s="27" t="s">
        <v>569</v>
      </c>
      <c r="F55" s="27" t="s">
        <v>569</v>
      </c>
      <c r="G55" s="27" t="s">
        <v>569</v>
      </c>
      <c r="H55" s="27" t="s">
        <v>569</v>
      </c>
      <c r="I55" s="27" t="s">
        <v>569</v>
      </c>
      <c r="J55" s="27" t="s">
        <v>569</v>
      </c>
      <c r="K55" s="27"/>
    </row>
    <row r="56" spans="2:11" outlineLevel="1">
      <c r="B56" s="26" t="s">
        <v>88</v>
      </c>
      <c r="C56" s="27">
        <v>163</v>
      </c>
      <c r="D56" s="27" t="s">
        <v>569</v>
      </c>
      <c r="E56" s="27" t="s">
        <v>569</v>
      </c>
      <c r="F56" s="27">
        <v>163</v>
      </c>
      <c r="G56" s="27">
        <v>515</v>
      </c>
      <c r="H56" s="27" t="s">
        <v>569</v>
      </c>
      <c r="I56" s="27" t="s">
        <v>569</v>
      </c>
      <c r="J56" s="27">
        <v>515</v>
      </c>
      <c r="K56" s="27">
        <f t="shared" si="0"/>
        <v>-352</v>
      </c>
    </row>
    <row r="57" spans="2:11" outlineLevel="1">
      <c r="B57" s="26" t="s">
        <v>89</v>
      </c>
      <c r="C57" s="27" t="s">
        <v>569</v>
      </c>
      <c r="D57" s="27" t="s">
        <v>569</v>
      </c>
      <c r="E57" s="27" t="s">
        <v>569</v>
      </c>
      <c r="F57" s="27" t="s">
        <v>569</v>
      </c>
      <c r="G57" s="27" t="s">
        <v>569</v>
      </c>
      <c r="H57" s="27" t="s">
        <v>569</v>
      </c>
      <c r="I57" s="27" t="s">
        <v>569</v>
      </c>
      <c r="J57" s="27" t="s">
        <v>569</v>
      </c>
      <c r="K57" s="27"/>
    </row>
    <row r="58" spans="2:11" outlineLevel="1">
      <c r="B58" s="26" t="s">
        <v>90</v>
      </c>
      <c r="C58" s="27" t="s">
        <v>569</v>
      </c>
      <c r="D58" s="27" t="s">
        <v>569</v>
      </c>
      <c r="E58" s="27" t="s">
        <v>569</v>
      </c>
      <c r="F58" s="27" t="s">
        <v>569</v>
      </c>
      <c r="G58" s="27" t="s">
        <v>569</v>
      </c>
      <c r="H58" s="27" t="s">
        <v>569</v>
      </c>
      <c r="I58" s="27" t="s">
        <v>569</v>
      </c>
      <c r="J58" s="27" t="s">
        <v>569</v>
      </c>
      <c r="K58" s="27"/>
    </row>
    <row r="59" spans="2:11" outlineLevel="1">
      <c r="B59" s="26" t="s">
        <v>91</v>
      </c>
      <c r="C59" s="27">
        <v>1727</v>
      </c>
      <c r="D59" s="27" t="s">
        <v>569</v>
      </c>
      <c r="E59" s="27" t="s">
        <v>569</v>
      </c>
      <c r="F59" s="27">
        <v>1727</v>
      </c>
      <c r="G59" s="27">
        <v>4155</v>
      </c>
      <c r="H59" s="27" t="s">
        <v>569</v>
      </c>
      <c r="I59" s="27" t="s">
        <v>569</v>
      </c>
      <c r="J59" s="27">
        <v>4155</v>
      </c>
      <c r="K59" s="27">
        <f t="shared" si="0"/>
        <v>-2428</v>
      </c>
    </row>
    <row r="60" spans="2:11" outlineLevel="1">
      <c r="B60" s="26" t="s">
        <v>93</v>
      </c>
      <c r="C60" s="27" t="s">
        <v>569</v>
      </c>
      <c r="D60" s="27" t="s">
        <v>569</v>
      </c>
      <c r="E60" s="27" t="s">
        <v>569</v>
      </c>
      <c r="F60" s="27" t="s">
        <v>569</v>
      </c>
      <c r="G60" s="27" t="s">
        <v>569</v>
      </c>
      <c r="H60" s="27" t="s">
        <v>569</v>
      </c>
      <c r="I60" s="27" t="s">
        <v>569</v>
      </c>
      <c r="J60" s="27" t="s">
        <v>569</v>
      </c>
      <c r="K60" s="27"/>
    </row>
    <row r="61" spans="2:11" outlineLevel="1">
      <c r="B61" s="26" t="s">
        <v>94</v>
      </c>
      <c r="C61" s="27" t="s">
        <v>569</v>
      </c>
      <c r="D61" s="27" t="s">
        <v>569</v>
      </c>
      <c r="E61" s="27" t="s">
        <v>569</v>
      </c>
      <c r="F61" s="27" t="s">
        <v>569</v>
      </c>
      <c r="G61" s="27" t="s">
        <v>569</v>
      </c>
      <c r="H61" s="27" t="s">
        <v>569</v>
      </c>
      <c r="I61" s="27" t="s">
        <v>569</v>
      </c>
      <c r="J61" s="27" t="s">
        <v>569</v>
      </c>
      <c r="K61" s="27"/>
    </row>
    <row r="62" spans="2:11" outlineLevel="1">
      <c r="B62" s="26" t="s">
        <v>95</v>
      </c>
      <c r="C62" s="27">
        <v>2951</v>
      </c>
      <c r="D62" s="27" t="s">
        <v>569</v>
      </c>
      <c r="E62" s="27" t="s">
        <v>569</v>
      </c>
      <c r="F62" s="27">
        <v>2951</v>
      </c>
      <c r="G62" s="27">
        <v>3070</v>
      </c>
      <c r="H62" s="27" t="s">
        <v>569</v>
      </c>
      <c r="I62" s="27" t="s">
        <v>569</v>
      </c>
      <c r="J62" s="27">
        <v>3070</v>
      </c>
      <c r="K62" s="27">
        <f t="shared" si="0"/>
        <v>-119</v>
      </c>
    </row>
    <row r="63" spans="2:11" outlineLevel="1">
      <c r="B63" s="26" t="s">
        <v>77</v>
      </c>
      <c r="C63" s="27" t="s">
        <v>569</v>
      </c>
      <c r="D63" s="27">
        <v>16686</v>
      </c>
      <c r="E63" s="27" t="s">
        <v>569</v>
      </c>
      <c r="F63" s="27">
        <v>16686</v>
      </c>
      <c r="G63" s="27" t="s">
        <v>569</v>
      </c>
      <c r="H63" s="27">
        <v>29152</v>
      </c>
      <c r="I63" s="27" t="s">
        <v>569</v>
      </c>
      <c r="J63" s="27">
        <v>29152</v>
      </c>
      <c r="K63" s="27">
        <f t="shared" si="0"/>
        <v>-12466</v>
      </c>
    </row>
    <row r="64" spans="2:11">
      <c r="B64" s="26" t="s">
        <v>10</v>
      </c>
      <c r="C64" s="27">
        <v>137458</v>
      </c>
      <c r="D64" s="27">
        <v>193093</v>
      </c>
      <c r="E64" s="27">
        <v>-175901</v>
      </c>
      <c r="F64" s="27">
        <v>154650</v>
      </c>
      <c r="G64" s="27">
        <v>143772</v>
      </c>
      <c r="H64" s="27">
        <v>106800</v>
      </c>
      <c r="I64" s="27">
        <v>-75319</v>
      </c>
      <c r="J64" s="27">
        <v>175254</v>
      </c>
      <c r="K64" s="27">
        <f t="shared" si="0"/>
        <v>-20604</v>
      </c>
    </row>
    <row r="65" spans="1:11">
      <c r="A65" s="23" t="s">
        <v>569</v>
      </c>
      <c r="B65" s="24" t="s">
        <v>582</v>
      </c>
      <c r="C65" s="25">
        <v>38748</v>
      </c>
      <c r="D65" s="25">
        <v>1809</v>
      </c>
      <c r="E65" s="25">
        <v>0</v>
      </c>
      <c r="F65" s="25">
        <v>40557</v>
      </c>
      <c r="G65" s="25">
        <v>-68453</v>
      </c>
      <c r="H65" s="25">
        <v>131039</v>
      </c>
      <c r="I65" s="25">
        <v>0</v>
      </c>
      <c r="J65" s="25">
        <v>62585</v>
      </c>
      <c r="K65" s="25">
        <f t="shared" si="0"/>
        <v>-22028</v>
      </c>
    </row>
    <row r="66" spans="1:11">
      <c r="A66" s="23" t="s">
        <v>569</v>
      </c>
      <c r="B66" s="24" t="s">
        <v>12</v>
      </c>
      <c r="C66" s="25" t="s">
        <v>583</v>
      </c>
      <c r="D66" s="25" t="s">
        <v>584</v>
      </c>
      <c r="E66" s="25">
        <v>0</v>
      </c>
      <c r="F66" s="25" t="s">
        <v>585</v>
      </c>
      <c r="G66" s="25" t="s">
        <v>586</v>
      </c>
      <c r="H66" s="25" t="s">
        <v>587</v>
      </c>
      <c r="I66" s="25">
        <v>0</v>
      </c>
      <c r="J66" s="25" t="s">
        <v>588</v>
      </c>
      <c r="K66" s="25">
        <f t="shared" si="0"/>
        <v>-5.0000000000000017E-2</v>
      </c>
    </row>
    <row r="67" spans="1:11">
      <c r="A67" s="23" t="s">
        <v>569</v>
      </c>
      <c r="B67" s="24" t="s">
        <v>13</v>
      </c>
      <c r="C67" s="25" t="s">
        <v>569</v>
      </c>
      <c r="D67" s="25" t="s">
        <v>569</v>
      </c>
      <c r="E67" s="25" t="s">
        <v>569</v>
      </c>
      <c r="F67" s="25" t="s">
        <v>569</v>
      </c>
      <c r="G67" s="25" t="s">
        <v>569</v>
      </c>
      <c r="H67" s="25" t="s">
        <v>569</v>
      </c>
      <c r="I67" s="25" t="s">
        <v>569</v>
      </c>
      <c r="J67" s="25" t="s">
        <v>569</v>
      </c>
      <c r="K67" s="25"/>
    </row>
    <row r="68" spans="1:11">
      <c r="B68" s="24" t="s">
        <v>589</v>
      </c>
      <c r="C68" s="27">
        <v>1354</v>
      </c>
      <c r="D68" s="27">
        <v>755</v>
      </c>
      <c r="E68" s="27" t="s">
        <v>569</v>
      </c>
      <c r="F68" s="27">
        <v>2109</v>
      </c>
      <c r="G68" s="27">
        <v>1427</v>
      </c>
      <c r="H68" s="27">
        <v>1361</v>
      </c>
      <c r="I68" s="27" t="s">
        <v>569</v>
      </c>
      <c r="J68" s="27">
        <v>2788</v>
      </c>
      <c r="K68" s="27">
        <f t="shared" si="0"/>
        <v>-679</v>
      </c>
    </row>
    <row r="69" spans="1:11" outlineLevel="1">
      <c r="B69" s="26" t="s">
        <v>96</v>
      </c>
      <c r="C69" s="27" t="s">
        <v>569</v>
      </c>
      <c r="D69" s="27" t="s">
        <v>569</v>
      </c>
      <c r="E69" s="27" t="s">
        <v>569</v>
      </c>
      <c r="F69" s="27" t="s">
        <v>569</v>
      </c>
      <c r="G69" s="27" t="s">
        <v>569</v>
      </c>
      <c r="H69" s="27" t="s">
        <v>569</v>
      </c>
      <c r="I69" s="27" t="s">
        <v>569</v>
      </c>
      <c r="J69" s="27" t="s">
        <v>569</v>
      </c>
      <c r="K69" s="27"/>
    </row>
    <row r="70" spans="1:11" outlineLevel="1">
      <c r="B70" s="26" t="s">
        <v>97</v>
      </c>
      <c r="C70" s="27" t="s">
        <v>569</v>
      </c>
      <c r="D70" s="27" t="s">
        <v>569</v>
      </c>
      <c r="E70" s="27" t="s">
        <v>569</v>
      </c>
      <c r="F70" s="27" t="s">
        <v>569</v>
      </c>
      <c r="G70" s="27" t="s">
        <v>569</v>
      </c>
      <c r="H70" s="27" t="s">
        <v>569</v>
      </c>
      <c r="I70" s="27" t="s">
        <v>569</v>
      </c>
      <c r="J70" s="27" t="s">
        <v>569</v>
      </c>
      <c r="K70" s="27"/>
    </row>
    <row r="71" spans="1:11" outlineLevel="1">
      <c r="B71" s="26" t="s">
        <v>98</v>
      </c>
      <c r="C71" s="27" t="s">
        <v>569</v>
      </c>
      <c r="D71" s="27" t="s">
        <v>569</v>
      </c>
      <c r="E71" s="27" t="s">
        <v>569</v>
      </c>
      <c r="F71" s="27" t="s">
        <v>569</v>
      </c>
      <c r="G71" s="27" t="s">
        <v>569</v>
      </c>
      <c r="H71" s="27" t="s">
        <v>569</v>
      </c>
      <c r="I71" s="27" t="s">
        <v>569</v>
      </c>
      <c r="J71" s="27" t="s">
        <v>569</v>
      </c>
      <c r="K71" s="27"/>
    </row>
    <row r="72" spans="1:11" outlineLevel="1">
      <c r="B72" s="26" t="s">
        <v>99</v>
      </c>
      <c r="C72" s="27">
        <v>107</v>
      </c>
      <c r="D72" s="27">
        <v>627</v>
      </c>
      <c r="E72" s="27" t="s">
        <v>569</v>
      </c>
      <c r="F72" s="27">
        <v>734</v>
      </c>
      <c r="G72" s="27">
        <v>160</v>
      </c>
      <c r="H72" s="27">
        <v>150</v>
      </c>
      <c r="I72" s="27" t="s">
        <v>569</v>
      </c>
      <c r="J72" s="27">
        <v>310</v>
      </c>
      <c r="K72" s="27">
        <f t="shared" si="0"/>
        <v>424</v>
      </c>
    </row>
    <row r="73" spans="1:11" outlineLevel="1">
      <c r="B73" s="26" t="s">
        <v>100</v>
      </c>
      <c r="C73" s="27" t="s">
        <v>569</v>
      </c>
      <c r="D73" s="27" t="s">
        <v>569</v>
      </c>
      <c r="E73" s="27" t="s">
        <v>569</v>
      </c>
      <c r="F73" s="27" t="s">
        <v>569</v>
      </c>
      <c r="G73" s="27" t="s">
        <v>569</v>
      </c>
      <c r="H73" s="27" t="s">
        <v>569</v>
      </c>
      <c r="I73" s="27" t="s">
        <v>569</v>
      </c>
      <c r="J73" s="27" t="s">
        <v>569</v>
      </c>
      <c r="K73" s="27"/>
    </row>
    <row r="74" spans="1:11" outlineLevel="1">
      <c r="B74" s="26" t="s">
        <v>590</v>
      </c>
      <c r="C74" s="27" t="s">
        <v>569</v>
      </c>
      <c r="D74" s="27" t="s">
        <v>569</v>
      </c>
      <c r="E74" s="27" t="s">
        <v>569</v>
      </c>
      <c r="F74" s="27" t="s">
        <v>569</v>
      </c>
      <c r="G74" s="27" t="s">
        <v>569</v>
      </c>
      <c r="H74" s="27" t="s">
        <v>569</v>
      </c>
      <c r="I74" s="27" t="s">
        <v>569</v>
      </c>
      <c r="J74" s="27" t="s">
        <v>569</v>
      </c>
      <c r="K74" s="27"/>
    </row>
    <row r="75" spans="1:11" outlineLevel="1">
      <c r="B75" s="26" t="s">
        <v>102</v>
      </c>
      <c r="C75" s="27" t="s">
        <v>569</v>
      </c>
      <c r="D75" s="27" t="s">
        <v>569</v>
      </c>
      <c r="E75" s="27" t="s">
        <v>569</v>
      </c>
      <c r="F75" s="27" t="s">
        <v>569</v>
      </c>
      <c r="G75" s="27" t="s">
        <v>569</v>
      </c>
      <c r="H75" s="27" t="s">
        <v>569</v>
      </c>
      <c r="I75" s="27" t="s">
        <v>569</v>
      </c>
      <c r="J75" s="27" t="s">
        <v>569</v>
      </c>
      <c r="K75" s="27"/>
    </row>
    <row r="76" spans="1:11" outlineLevel="1">
      <c r="B76" s="26" t="s">
        <v>104</v>
      </c>
      <c r="C76" s="27" t="s">
        <v>569</v>
      </c>
      <c r="D76" s="27">
        <v>128</v>
      </c>
      <c r="E76" s="27" t="s">
        <v>569</v>
      </c>
      <c r="F76" s="27">
        <v>128</v>
      </c>
      <c r="G76" s="27" t="s">
        <v>569</v>
      </c>
      <c r="H76" s="27">
        <v>1211</v>
      </c>
      <c r="I76" s="27" t="s">
        <v>569</v>
      </c>
      <c r="J76" s="27">
        <v>1211</v>
      </c>
      <c r="K76" s="27">
        <f t="shared" ref="K76:K138" si="1">F76-J76</f>
        <v>-1083</v>
      </c>
    </row>
    <row r="77" spans="1:11" outlineLevel="1">
      <c r="B77" s="26" t="s">
        <v>105</v>
      </c>
      <c r="C77" s="27" t="s">
        <v>569</v>
      </c>
      <c r="D77" s="27" t="s">
        <v>569</v>
      </c>
      <c r="E77" s="27" t="s">
        <v>569</v>
      </c>
      <c r="F77" s="27" t="s">
        <v>569</v>
      </c>
      <c r="G77" s="27" t="s">
        <v>569</v>
      </c>
      <c r="H77" s="27" t="s">
        <v>569</v>
      </c>
      <c r="I77" s="27" t="s">
        <v>569</v>
      </c>
      <c r="J77" s="27" t="s">
        <v>569</v>
      </c>
      <c r="K77" s="27"/>
    </row>
    <row r="78" spans="1:11" outlineLevel="1">
      <c r="B78" s="26" t="s">
        <v>106</v>
      </c>
      <c r="C78" s="27">
        <v>1247</v>
      </c>
      <c r="D78" s="27" t="s">
        <v>569</v>
      </c>
      <c r="E78" s="27" t="s">
        <v>569</v>
      </c>
      <c r="F78" s="27">
        <v>1247</v>
      </c>
      <c r="G78" s="27">
        <v>1267</v>
      </c>
      <c r="H78" s="27" t="s">
        <v>569</v>
      </c>
      <c r="I78" s="27" t="s">
        <v>569</v>
      </c>
      <c r="J78" s="27">
        <v>1267</v>
      </c>
      <c r="K78" s="27">
        <f t="shared" si="1"/>
        <v>-20</v>
      </c>
    </row>
    <row r="79" spans="1:11" outlineLevel="1">
      <c r="B79" s="26" t="s">
        <v>107</v>
      </c>
      <c r="C79" s="27">
        <v>0</v>
      </c>
      <c r="D79" s="27" t="s">
        <v>569</v>
      </c>
      <c r="E79" s="27" t="s">
        <v>569</v>
      </c>
      <c r="F79" s="27">
        <v>0</v>
      </c>
      <c r="G79" s="27">
        <v>0</v>
      </c>
      <c r="H79" s="27" t="s">
        <v>569</v>
      </c>
      <c r="I79" s="27" t="s">
        <v>569</v>
      </c>
      <c r="J79" s="27">
        <v>0</v>
      </c>
      <c r="K79" s="27">
        <f t="shared" si="1"/>
        <v>0</v>
      </c>
    </row>
    <row r="80" spans="1:11" outlineLevel="1">
      <c r="B80" s="26" t="s">
        <v>108</v>
      </c>
      <c r="C80" s="27" t="s">
        <v>569</v>
      </c>
      <c r="D80" s="27" t="s">
        <v>569</v>
      </c>
      <c r="E80" s="27" t="s">
        <v>569</v>
      </c>
      <c r="F80" s="27" t="s">
        <v>569</v>
      </c>
      <c r="G80" s="27" t="s">
        <v>569</v>
      </c>
      <c r="H80" s="27" t="s">
        <v>569</v>
      </c>
      <c r="I80" s="27" t="s">
        <v>569</v>
      </c>
      <c r="J80" s="27" t="s">
        <v>569</v>
      </c>
      <c r="K80" s="27"/>
    </row>
    <row r="81" spans="1:11" outlineLevel="1">
      <c r="B81" s="26" t="s">
        <v>103</v>
      </c>
      <c r="C81" s="27" t="s">
        <v>569</v>
      </c>
      <c r="D81" s="27" t="s">
        <v>569</v>
      </c>
      <c r="E81" s="27" t="s">
        <v>569</v>
      </c>
      <c r="F81" s="27" t="s">
        <v>569</v>
      </c>
      <c r="G81" s="27" t="s">
        <v>569</v>
      </c>
      <c r="H81" s="27" t="s">
        <v>569</v>
      </c>
      <c r="I81" s="27" t="s">
        <v>569</v>
      </c>
      <c r="J81" s="27" t="s">
        <v>569</v>
      </c>
      <c r="K81" s="27"/>
    </row>
    <row r="82" spans="1:11">
      <c r="A82" s="23" t="s">
        <v>569</v>
      </c>
      <c r="B82" s="24" t="s">
        <v>15</v>
      </c>
      <c r="C82" s="25" t="s">
        <v>569</v>
      </c>
      <c r="D82" s="25" t="s">
        <v>569</v>
      </c>
      <c r="E82" s="25" t="s">
        <v>569</v>
      </c>
      <c r="F82" s="25" t="s">
        <v>569</v>
      </c>
      <c r="G82" s="25" t="s">
        <v>569</v>
      </c>
      <c r="H82" s="25" t="s">
        <v>569</v>
      </c>
      <c r="I82" s="25" t="s">
        <v>569</v>
      </c>
      <c r="J82" s="25" t="s">
        <v>569</v>
      </c>
      <c r="K82" s="25"/>
    </row>
    <row r="83" spans="1:11">
      <c r="B83" s="24" t="s">
        <v>591</v>
      </c>
      <c r="C83" s="27">
        <v>9641</v>
      </c>
      <c r="D83" s="27">
        <v>23165</v>
      </c>
      <c r="E83" s="27" t="s">
        <v>569</v>
      </c>
      <c r="F83" s="27">
        <v>32806</v>
      </c>
      <c r="G83" s="27">
        <v>9729</v>
      </c>
      <c r="H83" s="27">
        <v>17422</v>
      </c>
      <c r="I83" s="27" t="s">
        <v>569</v>
      </c>
      <c r="J83" s="27">
        <v>27151</v>
      </c>
      <c r="K83" s="27">
        <f t="shared" si="1"/>
        <v>5655</v>
      </c>
    </row>
    <row r="84" spans="1:11" outlineLevel="1">
      <c r="B84" s="26" t="s">
        <v>148</v>
      </c>
      <c r="C84" s="27">
        <v>0</v>
      </c>
      <c r="D84" s="27" t="s">
        <v>569</v>
      </c>
      <c r="E84" s="27" t="s">
        <v>569</v>
      </c>
      <c r="F84" s="27">
        <v>0</v>
      </c>
      <c r="G84" s="27">
        <v>0</v>
      </c>
      <c r="H84" s="27" t="s">
        <v>569</v>
      </c>
      <c r="I84" s="27" t="s">
        <v>569</v>
      </c>
      <c r="J84" s="27">
        <v>0</v>
      </c>
      <c r="K84" s="27">
        <f t="shared" si="1"/>
        <v>0</v>
      </c>
    </row>
    <row r="85" spans="1:11" outlineLevel="1">
      <c r="B85" s="26" t="s">
        <v>147</v>
      </c>
      <c r="C85" s="27">
        <v>9641</v>
      </c>
      <c r="D85" s="27">
        <v>23165</v>
      </c>
      <c r="E85" s="27" t="s">
        <v>569</v>
      </c>
      <c r="F85" s="27">
        <v>32806</v>
      </c>
      <c r="G85" s="27">
        <v>9729</v>
      </c>
      <c r="H85" s="27">
        <v>17422</v>
      </c>
      <c r="I85" s="27" t="s">
        <v>569</v>
      </c>
      <c r="J85" s="27">
        <v>27151</v>
      </c>
      <c r="K85" s="27">
        <f t="shared" si="1"/>
        <v>5655</v>
      </c>
    </row>
    <row r="86" spans="1:11">
      <c r="B86" s="24" t="s">
        <v>592</v>
      </c>
      <c r="C86" s="27">
        <v>1359</v>
      </c>
      <c r="D86" s="27">
        <v>2326</v>
      </c>
      <c r="E86" s="27" t="s">
        <v>569</v>
      </c>
      <c r="F86" s="27">
        <v>3685</v>
      </c>
      <c r="G86" s="27">
        <v>2011</v>
      </c>
      <c r="H86" s="27">
        <v>3976</v>
      </c>
      <c r="I86" s="27" t="s">
        <v>569</v>
      </c>
      <c r="J86" s="27">
        <v>5987</v>
      </c>
      <c r="K86" s="27">
        <f t="shared" si="1"/>
        <v>-2302</v>
      </c>
    </row>
    <row r="87" spans="1:11" outlineLevel="1">
      <c r="B87" s="26" t="s">
        <v>144</v>
      </c>
      <c r="C87" s="27" t="s">
        <v>569</v>
      </c>
      <c r="D87" s="27" t="s">
        <v>569</v>
      </c>
      <c r="E87" s="27" t="s">
        <v>569</v>
      </c>
      <c r="F87" s="27" t="s">
        <v>569</v>
      </c>
      <c r="G87" s="27" t="s">
        <v>569</v>
      </c>
      <c r="H87" s="27" t="s">
        <v>569</v>
      </c>
      <c r="I87" s="27" t="s">
        <v>569</v>
      </c>
      <c r="J87" s="27" t="s">
        <v>569</v>
      </c>
      <c r="K87" s="27"/>
    </row>
    <row r="88" spans="1:11" outlineLevel="1">
      <c r="B88" s="26" t="s">
        <v>146</v>
      </c>
      <c r="C88" s="27">
        <v>1359</v>
      </c>
      <c r="D88" s="27" t="s">
        <v>569</v>
      </c>
      <c r="E88" s="27" t="s">
        <v>569</v>
      </c>
      <c r="F88" s="27">
        <v>1359</v>
      </c>
      <c r="G88" s="27">
        <v>2011</v>
      </c>
      <c r="H88" s="27" t="s">
        <v>569</v>
      </c>
      <c r="I88" s="27" t="s">
        <v>569</v>
      </c>
      <c r="J88" s="27">
        <v>2011</v>
      </c>
      <c r="K88" s="27">
        <f t="shared" si="1"/>
        <v>-652</v>
      </c>
    </row>
    <row r="89" spans="1:11" outlineLevel="1">
      <c r="B89" s="26" t="s">
        <v>145</v>
      </c>
      <c r="C89" s="27" t="s">
        <v>569</v>
      </c>
      <c r="D89" s="27">
        <v>2326</v>
      </c>
      <c r="E89" s="27" t="s">
        <v>569</v>
      </c>
      <c r="F89" s="27">
        <v>2326</v>
      </c>
      <c r="G89" s="27" t="s">
        <v>569</v>
      </c>
      <c r="H89" s="27">
        <v>3976</v>
      </c>
      <c r="I89" s="27" t="s">
        <v>569</v>
      </c>
      <c r="J89" s="27">
        <v>3976</v>
      </c>
      <c r="K89" s="27">
        <f t="shared" si="1"/>
        <v>-1650</v>
      </c>
    </row>
    <row r="90" spans="1:11" outlineLevel="1">
      <c r="B90" s="26" t="s">
        <v>143</v>
      </c>
      <c r="C90" s="27" t="s">
        <v>569</v>
      </c>
      <c r="D90" s="27" t="s">
        <v>569</v>
      </c>
      <c r="E90" s="27" t="s">
        <v>569</v>
      </c>
      <c r="F90" s="27" t="s">
        <v>569</v>
      </c>
      <c r="G90" s="27" t="s">
        <v>569</v>
      </c>
      <c r="H90" s="27" t="s">
        <v>569</v>
      </c>
      <c r="I90" s="27" t="s">
        <v>569</v>
      </c>
      <c r="J90" s="27" t="s">
        <v>569</v>
      </c>
      <c r="K90" s="27"/>
    </row>
    <row r="91" spans="1:11">
      <c r="B91" s="24" t="s">
        <v>593</v>
      </c>
      <c r="C91" s="27">
        <v>2242</v>
      </c>
      <c r="D91" s="27">
        <v>3675</v>
      </c>
      <c r="E91" s="27" t="s">
        <v>569</v>
      </c>
      <c r="F91" s="27">
        <v>5917</v>
      </c>
      <c r="G91" s="27">
        <v>2500</v>
      </c>
      <c r="H91" s="27">
        <v>3764</v>
      </c>
      <c r="I91" s="27" t="s">
        <v>569</v>
      </c>
      <c r="J91" s="27">
        <v>6265</v>
      </c>
      <c r="K91" s="27">
        <f t="shared" si="1"/>
        <v>-348</v>
      </c>
    </row>
    <row r="92" spans="1:11" outlineLevel="1">
      <c r="B92" s="26" t="s">
        <v>138</v>
      </c>
      <c r="C92" s="27" t="s">
        <v>569</v>
      </c>
      <c r="D92" s="27">
        <v>3675</v>
      </c>
      <c r="E92" s="27" t="s">
        <v>569</v>
      </c>
      <c r="F92" s="27">
        <v>3675</v>
      </c>
      <c r="G92" s="27" t="s">
        <v>569</v>
      </c>
      <c r="H92" s="27">
        <v>3764</v>
      </c>
      <c r="I92" s="27" t="s">
        <v>569</v>
      </c>
      <c r="J92" s="27">
        <v>3764</v>
      </c>
      <c r="K92" s="27">
        <f t="shared" si="1"/>
        <v>-89</v>
      </c>
    </row>
    <row r="93" spans="1:11" outlineLevel="1">
      <c r="B93" s="26" t="s">
        <v>139</v>
      </c>
      <c r="C93" s="27">
        <v>632</v>
      </c>
      <c r="D93" s="27" t="s">
        <v>569</v>
      </c>
      <c r="E93" s="27" t="s">
        <v>569</v>
      </c>
      <c r="F93" s="27">
        <v>632</v>
      </c>
      <c r="G93" s="27">
        <v>840</v>
      </c>
      <c r="H93" s="27" t="s">
        <v>569</v>
      </c>
      <c r="I93" s="27" t="s">
        <v>569</v>
      </c>
      <c r="J93" s="27">
        <v>840</v>
      </c>
      <c r="K93" s="27">
        <f t="shared" si="1"/>
        <v>-208</v>
      </c>
    </row>
    <row r="94" spans="1:11" outlineLevel="1">
      <c r="B94" s="26" t="s">
        <v>140</v>
      </c>
      <c r="C94" s="27">
        <v>774</v>
      </c>
      <c r="D94" s="27" t="s">
        <v>569</v>
      </c>
      <c r="E94" s="27" t="s">
        <v>569</v>
      </c>
      <c r="F94" s="27">
        <v>774</v>
      </c>
      <c r="G94" s="27">
        <v>779</v>
      </c>
      <c r="H94" s="27" t="s">
        <v>569</v>
      </c>
      <c r="I94" s="27" t="s">
        <v>569</v>
      </c>
      <c r="J94" s="27">
        <v>779</v>
      </c>
      <c r="K94" s="27">
        <f t="shared" si="1"/>
        <v>-5</v>
      </c>
    </row>
    <row r="95" spans="1:11" outlineLevel="1">
      <c r="B95" s="26" t="s">
        <v>141</v>
      </c>
      <c r="C95" s="27">
        <v>836</v>
      </c>
      <c r="D95" s="27" t="s">
        <v>569</v>
      </c>
      <c r="E95" s="27" t="s">
        <v>569</v>
      </c>
      <c r="F95" s="27">
        <v>836</v>
      </c>
      <c r="G95" s="27">
        <v>881</v>
      </c>
      <c r="H95" s="27" t="s">
        <v>569</v>
      </c>
      <c r="I95" s="27" t="s">
        <v>569</v>
      </c>
      <c r="J95" s="27">
        <v>881</v>
      </c>
      <c r="K95" s="27">
        <f t="shared" si="1"/>
        <v>-45</v>
      </c>
    </row>
    <row r="96" spans="1:11" outlineLevel="1">
      <c r="B96" s="26" t="s">
        <v>142</v>
      </c>
      <c r="C96" s="27" t="s">
        <v>569</v>
      </c>
      <c r="D96" s="27" t="s">
        <v>569</v>
      </c>
      <c r="E96" s="27" t="s">
        <v>569</v>
      </c>
      <c r="F96" s="27" t="s">
        <v>569</v>
      </c>
      <c r="G96" s="27" t="s">
        <v>569</v>
      </c>
      <c r="H96" s="27" t="s">
        <v>569</v>
      </c>
      <c r="I96" s="27" t="s">
        <v>569</v>
      </c>
      <c r="J96" s="27" t="s">
        <v>569</v>
      </c>
      <c r="K96" s="27"/>
    </row>
    <row r="97" spans="2:11">
      <c r="B97" s="24" t="s">
        <v>594</v>
      </c>
      <c r="C97" s="27">
        <v>2741</v>
      </c>
      <c r="D97" s="27">
        <v>6434</v>
      </c>
      <c r="E97" s="27" t="s">
        <v>569</v>
      </c>
      <c r="F97" s="27">
        <v>9176</v>
      </c>
      <c r="G97" s="27">
        <v>4915</v>
      </c>
      <c r="H97" s="27">
        <v>19734</v>
      </c>
      <c r="I97" s="27" t="s">
        <v>569</v>
      </c>
      <c r="J97" s="27">
        <v>24649</v>
      </c>
      <c r="K97" s="27">
        <f t="shared" si="1"/>
        <v>-15473</v>
      </c>
    </row>
    <row r="98" spans="2:11" outlineLevel="1">
      <c r="B98" s="26" t="s">
        <v>110</v>
      </c>
      <c r="C98" s="27" t="s">
        <v>569</v>
      </c>
      <c r="D98" s="27" t="s">
        <v>569</v>
      </c>
      <c r="E98" s="27" t="s">
        <v>569</v>
      </c>
      <c r="F98" s="27" t="s">
        <v>569</v>
      </c>
      <c r="G98" s="27" t="s">
        <v>569</v>
      </c>
      <c r="H98" s="27" t="s">
        <v>569</v>
      </c>
      <c r="I98" s="27" t="s">
        <v>569</v>
      </c>
      <c r="J98" s="27" t="s">
        <v>569</v>
      </c>
      <c r="K98" s="27"/>
    </row>
    <row r="99" spans="2:11" outlineLevel="1">
      <c r="B99" s="26" t="s">
        <v>111</v>
      </c>
      <c r="C99" s="27" t="s">
        <v>569</v>
      </c>
      <c r="D99" s="27" t="s">
        <v>569</v>
      </c>
      <c r="E99" s="27" t="s">
        <v>569</v>
      </c>
      <c r="F99" s="27" t="s">
        <v>569</v>
      </c>
      <c r="G99" s="27" t="s">
        <v>569</v>
      </c>
      <c r="H99" s="27" t="s">
        <v>569</v>
      </c>
      <c r="I99" s="27" t="s">
        <v>569</v>
      </c>
      <c r="J99" s="27" t="s">
        <v>569</v>
      </c>
      <c r="K99" s="27"/>
    </row>
    <row r="100" spans="2:11" outlineLevel="1">
      <c r="B100" s="26" t="s">
        <v>112</v>
      </c>
      <c r="C100" s="27" t="s">
        <v>569</v>
      </c>
      <c r="D100" s="27" t="s">
        <v>569</v>
      </c>
      <c r="E100" s="27" t="s">
        <v>569</v>
      </c>
      <c r="F100" s="27" t="s">
        <v>569</v>
      </c>
      <c r="G100" s="27" t="s">
        <v>569</v>
      </c>
      <c r="H100" s="27" t="s">
        <v>569</v>
      </c>
      <c r="I100" s="27" t="s">
        <v>569</v>
      </c>
      <c r="J100" s="27" t="s">
        <v>569</v>
      </c>
      <c r="K100" s="27"/>
    </row>
    <row r="101" spans="2:11" outlineLevel="1">
      <c r="B101" s="26" t="s">
        <v>113</v>
      </c>
      <c r="C101" s="27" t="s">
        <v>569</v>
      </c>
      <c r="D101" s="27" t="s">
        <v>569</v>
      </c>
      <c r="E101" s="27" t="s">
        <v>569</v>
      </c>
      <c r="F101" s="27" t="s">
        <v>569</v>
      </c>
      <c r="G101" s="27" t="s">
        <v>569</v>
      </c>
      <c r="H101" s="27" t="s">
        <v>569</v>
      </c>
      <c r="I101" s="27" t="s">
        <v>569</v>
      </c>
      <c r="J101" s="27" t="s">
        <v>569</v>
      </c>
      <c r="K101" s="27"/>
    </row>
    <row r="102" spans="2:11" outlineLevel="1">
      <c r="B102" s="26" t="s">
        <v>114</v>
      </c>
      <c r="C102" s="27" t="s">
        <v>569</v>
      </c>
      <c r="D102" s="27">
        <v>89</v>
      </c>
      <c r="E102" s="27" t="s">
        <v>569</v>
      </c>
      <c r="F102" s="27">
        <v>89</v>
      </c>
      <c r="G102" s="27" t="s">
        <v>569</v>
      </c>
      <c r="H102" s="27">
        <v>148</v>
      </c>
      <c r="I102" s="27" t="s">
        <v>569</v>
      </c>
      <c r="J102" s="27">
        <v>148</v>
      </c>
      <c r="K102" s="27">
        <f t="shared" si="1"/>
        <v>-59</v>
      </c>
    </row>
    <row r="103" spans="2:11" outlineLevel="1">
      <c r="B103" s="26" t="s">
        <v>115</v>
      </c>
      <c r="C103" s="27" t="s">
        <v>569</v>
      </c>
      <c r="D103" s="27">
        <v>523</v>
      </c>
      <c r="E103" s="27" t="s">
        <v>569</v>
      </c>
      <c r="F103" s="27">
        <v>523</v>
      </c>
      <c r="G103" s="27" t="s">
        <v>569</v>
      </c>
      <c r="H103" s="27">
        <v>608</v>
      </c>
      <c r="I103" s="27" t="s">
        <v>569</v>
      </c>
      <c r="J103" s="27">
        <v>608</v>
      </c>
      <c r="K103" s="27">
        <f t="shared" si="1"/>
        <v>-85</v>
      </c>
    </row>
    <row r="104" spans="2:11" outlineLevel="1">
      <c r="B104" s="26" t="s">
        <v>116</v>
      </c>
      <c r="C104" s="27" t="s">
        <v>569</v>
      </c>
      <c r="D104" s="27" t="s">
        <v>569</v>
      </c>
      <c r="E104" s="27" t="s">
        <v>569</v>
      </c>
      <c r="F104" s="27" t="s">
        <v>569</v>
      </c>
      <c r="G104" s="27" t="s">
        <v>569</v>
      </c>
      <c r="H104" s="27" t="s">
        <v>569</v>
      </c>
      <c r="I104" s="27" t="s">
        <v>569</v>
      </c>
      <c r="J104" s="27" t="s">
        <v>569</v>
      </c>
      <c r="K104" s="27"/>
    </row>
    <row r="105" spans="2:11" outlineLevel="1">
      <c r="B105" s="26" t="s">
        <v>117</v>
      </c>
      <c r="C105" s="27" t="s">
        <v>569</v>
      </c>
      <c r="D105" s="27">
        <v>25</v>
      </c>
      <c r="E105" s="27" t="s">
        <v>569</v>
      </c>
      <c r="F105" s="27">
        <v>25</v>
      </c>
      <c r="G105" s="27" t="s">
        <v>569</v>
      </c>
      <c r="H105" s="27">
        <v>0</v>
      </c>
      <c r="I105" s="27" t="s">
        <v>569</v>
      </c>
      <c r="J105" s="27">
        <v>0</v>
      </c>
      <c r="K105" s="27">
        <f t="shared" si="1"/>
        <v>25</v>
      </c>
    </row>
    <row r="106" spans="2:11" outlineLevel="1">
      <c r="B106" s="26" t="s">
        <v>118</v>
      </c>
      <c r="C106" s="27">
        <v>175</v>
      </c>
      <c r="D106" s="27">
        <v>272</v>
      </c>
      <c r="E106" s="27" t="s">
        <v>569</v>
      </c>
      <c r="F106" s="27">
        <v>447</v>
      </c>
      <c r="G106" s="27">
        <v>196</v>
      </c>
      <c r="H106" s="27">
        <v>6770</v>
      </c>
      <c r="I106" s="27" t="s">
        <v>569</v>
      </c>
      <c r="J106" s="27">
        <v>6966</v>
      </c>
      <c r="K106" s="27">
        <f t="shared" si="1"/>
        <v>-6519</v>
      </c>
    </row>
    <row r="107" spans="2:11" outlineLevel="1">
      <c r="B107" s="26" t="s">
        <v>119</v>
      </c>
      <c r="C107" s="27">
        <v>756</v>
      </c>
      <c r="D107" s="27">
        <v>3025</v>
      </c>
      <c r="E107" s="27" t="s">
        <v>569</v>
      </c>
      <c r="F107" s="27">
        <v>3781</v>
      </c>
      <c r="G107" s="27">
        <v>756</v>
      </c>
      <c r="H107" s="27">
        <v>9653</v>
      </c>
      <c r="I107" s="27" t="s">
        <v>569</v>
      </c>
      <c r="J107" s="27">
        <v>10409</v>
      </c>
      <c r="K107" s="27">
        <f t="shared" si="1"/>
        <v>-6628</v>
      </c>
    </row>
    <row r="108" spans="2:11" outlineLevel="1">
      <c r="B108" s="26" t="s">
        <v>120</v>
      </c>
      <c r="C108" s="27" t="s">
        <v>569</v>
      </c>
      <c r="D108" s="27">
        <v>0</v>
      </c>
      <c r="E108" s="27" t="s">
        <v>569</v>
      </c>
      <c r="F108" s="27">
        <v>0</v>
      </c>
      <c r="G108" s="27" t="s">
        <v>569</v>
      </c>
      <c r="H108" s="27">
        <v>15</v>
      </c>
      <c r="I108" s="27" t="s">
        <v>569</v>
      </c>
      <c r="J108" s="27">
        <v>15</v>
      </c>
      <c r="K108" s="27">
        <f t="shared" si="1"/>
        <v>-15</v>
      </c>
    </row>
    <row r="109" spans="2:11" outlineLevel="1">
      <c r="B109" s="26" t="s">
        <v>121</v>
      </c>
      <c r="C109" s="27">
        <v>0</v>
      </c>
      <c r="D109" s="27" t="s">
        <v>569</v>
      </c>
      <c r="E109" s="27" t="s">
        <v>569</v>
      </c>
      <c r="F109" s="27">
        <v>0</v>
      </c>
      <c r="G109" s="27">
        <v>0</v>
      </c>
      <c r="H109" s="27" t="s">
        <v>569</v>
      </c>
      <c r="I109" s="27" t="s">
        <v>569</v>
      </c>
      <c r="J109" s="27">
        <v>0</v>
      </c>
      <c r="K109" s="27">
        <f t="shared" si="1"/>
        <v>0</v>
      </c>
    </row>
    <row r="110" spans="2:11" outlineLevel="1">
      <c r="B110" s="26" t="s">
        <v>122</v>
      </c>
      <c r="C110" s="27" t="s">
        <v>569</v>
      </c>
      <c r="D110" s="27" t="s">
        <v>569</v>
      </c>
      <c r="E110" s="27" t="s">
        <v>569</v>
      </c>
      <c r="F110" s="27" t="s">
        <v>569</v>
      </c>
      <c r="G110" s="27" t="s">
        <v>569</v>
      </c>
      <c r="H110" s="27" t="s">
        <v>569</v>
      </c>
      <c r="I110" s="27" t="s">
        <v>569</v>
      </c>
      <c r="J110" s="27" t="s">
        <v>569</v>
      </c>
      <c r="K110" s="27"/>
    </row>
    <row r="111" spans="2:11" outlineLevel="1">
      <c r="B111" s="26" t="s">
        <v>123</v>
      </c>
      <c r="C111" s="27">
        <v>0</v>
      </c>
      <c r="D111" s="27" t="s">
        <v>569</v>
      </c>
      <c r="E111" s="27" t="s">
        <v>569</v>
      </c>
      <c r="F111" s="27">
        <v>0</v>
      </c>
      <c r="G111" s="27">
        <v>0</v>
      </c>
      <c r="H111" s="27" t="s">
        <v>569</v>
      </c>
      <c r="I111" s="27" t="s">
        <v>569</v>
      </c>
      <c r="J111" s="27">
        <v>0</v>
      </c>
      <c r="K111" s="27">
        <f t="shared" si="1"/>
        <v>0</v>
      </c>
    </row>
    <row r="112" spans="2:11" outlineLevel="1">
      <c r="B112" s="26" t="s">
        <v>124</v>
      </c>
      <c r="C112" s="27">
        <v>294</v>
      </c>
      <c r="D112" s="27" t="s">
        <v>569</v>
      </c>
      <c r="E112" s="27" t="s">
        <v>569</v>
      </c>
      <c r="F112" s="27">
        <v>294</v>
      </c>
      <c r="G112" s="27">
        <v>295</v>
      </c>
      <c r="H112" s="27" t="s">
        <v>569</v>
      </c>
      <c r="I112" s="27" t="s">
        <v>569</v>
      </c>
      <c r="J112" s="27">
        <v>295</v>
      </c>
      <c r="K112" s="27">
        <f t="shared" si="1"/>
        <v>-1</v>
      </c>
    </row>
    <row r="113" spans="2:11" outlineLevel="1">
      <c r="B113" s="26" t="s">
        <v>125</v>
      </c>
      <c r="C113" s="27" t="s">
        <v>569</v>
      </c>
      <c r="D113" s="27" t="s">
        <v>569</v>
      </c>
      <c r="E113" s="27" t="s">
        <v>569</v>
      </c>
      <c r="F113" s="27" t="s">
        <v>569</v>
      </c>
      <c r="G113" s="27" t="s">
        <v>569</v>
      </c>
      <c r="H113" s="27" t="s">
        <v>569</v>
      </c>
      <c r="I113" s="27" t="s">
        <v>569</v>
      </c>
      <c r="J113" s="27" t="s">
        <v>569</v>
      </c>
      <c r="K113" s="27"/>
    </row>
    <row r="114" spans="2:11" outlineLevel="1">
      <c r="B114" s="26" t="s">
        <v>126</v>
      </c>
      <c r="C114" s="27" t="s">
        <v>569</v>
      </c>
      <c r="D114" s="27" t="s">
        <v>569</v>
      </c>
      <c r="E114" s="27" t="s">
        <v>569</v>
      </c>
      <c r="F114" s="27" t="s">
        <v>569</v>
      </c>
      <c r="G114" s="27" t="s">
        <v>569</v>
      </c>
      <c r="H114" s="27" t="s">
        <v>569</v>
      </c>
      <c r="I114" s="27" t="s">
        <v>569</v>
      </c>
      <c r="J114" s="27" t="s">
        <v>569</v>
      </c>
      <c r="K114" s="27"/>
    </row>
    <row r="115" spans="2:11" outlineLevel="1">
      <c r="B115" s="26" t="s">
        <v>128</v>
      </c>
      <c r="C115" s="27">
        <v>236</v>
      </c>
      <c r="D115" s="27" t="s">
        <v>569</v>
      </c>
      <c r="E115" s="27" t="s">
        <v>569</v>
      </c>
      <c r="F115" s="27">
        <v>236</v>
      </c>
      <c r="G115" s="27">
        <v>265</v>
      </c>
      <c r="H115" s="27" t="s">
        <v>569</v>
      </c>
      <c r="I115" s="27" t="s">
        <v>569</v>
      </c>
      <c r="J115" s="27">
        <v>265</v>
      </c>
      <c r="K115" s="27">
        <f t="shared" si="1"/>
        <v>-29</v>
      </c>
    </row>
    <row r="116" spans="2:11" outlineLevel="1">
      <c r="B116" s="26" t="s">
        <v>129</v>
      </c>
      <c r="C116" s="27">
        <v>495</v>
      </c>
      <c r="D116" s="27" t="s">
        <v>569</v>
      </c>
      <c r="E116" s="27" t="s">
        <v>569</v>
      </c>
      <c r="F116" s="27">
        <v>495</v>
      </c>
      <c r="G116" s="27">
        <v>500</v>
      </c>
      <c r="H116" s="27" t="s">
        <v>569</v>
      </c>
      <c r="I116" s="27" t="s">
        <v>569</v>
      </c>
      <c r="J116" s="27">
        <v>500</v>
      </c>
      <c r="K116" s="27">
        <f t="shared" si="1"/>
        <v>-5</v>
      </c>
    </row>
    <row r="117" spans="2:11" outlineLevel="1">
      <c r="B117" s="26" t="s">
        <v>130</v>
      </c>
      <c r="C117" s="27" t="s">
        <v>569</v>
      </c>
      <c r="D117" s="27" t="s">
        <v>569</v>
      </c>
      <c r="E117" s="27" t="s">
        <v>569</v>
      </c>
      <c r="F117" s="27" t="s">
        <v>569</v>
      </c>
      <c r="G117" s="27" t="s">
        <v>569</v>
      </c>
      <c r="H117" s="27" t="s">
        <v>569</v>
      </c>
      <c r="I117" s="27" t="s">
        <v>569</v>
      </c>
      <c r="J117" s="27" t="s">
        <v>569</v>
      </c>
      <c r="K117" s="27"/>
    </row>
    <row r="118" spans="2:11" outlineLevel="1">
      <c r="B118" s="26" t="s">
        <v>131</v>
      </c>
      <c r="C118" s="27" t="s">
        <v>569</v>
      </c>
      <c r="D118" s="27" t="s">
        <v>569</v>
      </c>
      <c r="E118" s="27" t="s">
        <v>569</v>
      </c>
      <c r="F118" s="27" t="s">
        <v>569</v>
      </c>
      <c r="G118" s="27" t="s">
        <v>569</v>
      </c>
      <c r="H118" s="27" t="s">
        <v>569</v>
      </c>
      <c r="I118" s="27" t="s">
        <v>569</v>
      </c>
      <c r="J118" s="27" t="s">
        <v>569</v>
      </c>
      <c r="K118" s="27"/>
    </row>
    <row r="119" spans="2:11" outlineLevel="1">
      <c r="B119" s="26" t="s">
        <v>132</v>
      </c>
      <c r="C119" s="27">
        <v>0</v>
      </c>
      <c r="D119" s="27" t="s">
        <v>569</v>
      </c>
      <c r="E119" s="27" t="s">
        <v>569</v>
      </c>
      <c r="F119" s="27">
        <v>0</v>
      </c>
      <c r="G119" s="27">
        <v>1761</v>
      </c>
      <c r="H119" s="27" t="s">
        <v>569</v>
      </c>
      <c r="I119" s="27" t="s">
        <v>569</v>
      </c>
      <c r="J119" s="27">
        <v>1761</v>
      </c>
      <c r="K119" s="27">
        <f t="shared" si="1"/>
        <v>-1761</v>
      </c>
    </row>
    <row r="120" spans="2:11" outlineLevel="1">
      <c r="B120" s="26" t="s">
        <v>133</v>
      </c>
      <c r="C120" s="27" t="s">
        <v>569</v>
      </c>
      <c r="D120" s="27" t="s">
        <v>569</v>
      </c>
      <c r="E120" s="27" t="s">
        <v>569</v>
      </c>
      <c r="F120" s="27" t="s">
        <v>569</v>
      </c>
      <c r="G120" s="27" t="s">
        <v>569</v>
      </c>
      <c r="H120" s="27" t="s">
        <v>569</v>
      </c>
      <c r="I120" s="27" t="s">
        <v>569</v>
      </c>
      <c r="J120" s="27" t="s">
        <v>569</v>
      </c>
      <c r="K120" s="27"/>
    </row>
    <row r="121" spans="2:11" outlineLevel="1">
      <c r="B121" s="26" t="s">
        <v>135</v>
      </c>
      <c r="C121" s="27">
        <v>0</v>
      </c>
      <c r="D121" s="27" t="s">
        <v>569</v>
      </c>
      <c r="E121" s="27" t="s">
        <v>569</v>
      </c>
      <c r="F121" s="27">
        <v>0</v>
      </c>
      <c r="G121" s="27">
        <v>272</v>
      </c>
      <c r="H121" s="27" t="s">
        <v>569</v>
      </c>
      <c r="I121" s="27" t="s">
        <v>569</v>
      </c>
      <c r="J121" s="27">
        <v>272</v>
      </c>
      <c r="K121" s="27">
        <f t="shared" si="1"/>
        <v>-272</v>
      </c>
    </row>
    <row r="122" spans="2:11" outlineLevel="1">
      <c r="B122" s="26" t="s">
        <v>136</v>
      </c>
      <c r="C122" s="27" t="s">
        <v>569</v>
      </c>
      <c r="D122" s="27" t="s">
        <v>569</v>
      </c>
      <c r="E122" s="27" t="s">
        <v>569</v>
      </c>
      <c r="F122" s="27" t="s">
        <v>569</v>
      </c>
      <c r="G122" s="27" t="s">
        <v>569</v>
      </c>
      <c r="H122" s="27" t="s">
        <v>569</v>
      </c>
      <c r="I122" s="27" t="s">
        <v>569</v>
      </c>
      <c r="J122" s="27" t="s">
        <v>569</v>
      </c>
      <c r="K122" s="27"/>
    </row>
    <row r="123" spans="2:11" outlineLevel="1">
      <c r="B123" s="26" t="s">
        <v>137</v>
      </c>
      <c r="C123" s="27">
        <v>742</v>
      </c>
      <c r="D123" s="27">
        <v>0</v>
      </c>
      <c r="E123" s="27" t="s">
        <v>569</v>
      </c>
      <c r="F123" s="27">
        <v>742</v>
      </c>
      <c r="G123" s="27">
        <v>816</v>
      </c>
      <c r="H123" s="27">
        <v>40</v>
      </c>
      <c r="I123" s="27" t="s">
        <v>569</v>
      </c>
      <c r="J123" s="27">
        <v>857</v>
      </c>
      <c r="K123" s="27">
        <f t="shared" si="1"/>
        <v>-115</v>
      </c>
    </row>
    <row r="124" spans="2:11" outlineLevel="1">
      <c r="B124" s="26" t="s">
        <v>595</v>
      </c>
      <c r="C124" s="27" t="s">
        <v>569</v>
      </c>
      <c r="D124" s="27" t="s">
        <v>569</v>
      </c>
      <c r="E124" s="27" t="s">
        <v>569</v>
      </c>
      <c r="F124" s="27" t="s">
        <v>569</v>
      </c>
      <c r="G124" s="27" t="s">
        <v>569</v>
      </c>
      <c r="H124" s="27" t="s">
        <v>569</v>
      </c>
      <c r="I124" s="27" t="s">
        <v>569</v>
      </c>
      <c r="J124" s="27" t="s">
        <v>569</v>
      </c>
      <c r="K124" s="27"/>
    </row>
    <row r="125" spans="2:11" outlineLevel="1">
      <c r="B125" s="26" t="s">
        <v>134</v>
      </c>
      <c r="C125" s="27" t="s">
        <v>569</v>
      </c>
      <c r="D125" s="27" t="s">
        <v>569</v>
      </c>
      <c r="E125" s="27" t="s">
        <v>569</v>
      </c>
      <c r="F125" s="27" t="s">
        <v>569</v>
      </c>
      <c r="G125" s="27" t="s">
        <v>569</v>
      </c>
      <c r="H125" s="27" t="s">
        <v>569</v>
      </c>
      <c r="I125" s="27" t="s">
        <v>569</v>
      </c>
      <c r="J125" s="27" t="s">
        <v>569</v>
      </c>
      <c r="K125" s="27"/>
    </row>
    <row r="126" spans="2:11" outlineLevel="1">
      <c r="B126" s="26" t="s">
        <v>127</v>
      </c>
      <c r="C126" s="27">
        <v>0</v>
      </c>
      <c r="D126" s="27" t="s">
        <v>569</v>
      </c>
      <c r="E126" s="27" t="s">
        <v>569</v>
      </c>
      <c r="F126" s="27">
        <v>0</v>
      </c>
      <c r="G126" s="27">
        <v>54</v>
      </c>
      <c r="H126" s="27" t="s">
        <v>569</v>
      </c>
      <c r="I126" s="27" t="s">
        <v>569</v>
      </c>
      <c r="J126" s="27">
        <v>54</v>
      </c>
      <c r="K126" s="27">
        <f t="shared" si="1"/>
        <v>-54</v>
      </c>
    </row>
    <row r="127" spans="2:11" outlineLevel="1">
      <c r="B127" s="26" t="s">
        <v>596</v>
      </c>
      <c r="C127" s="27" t="s">
        <v>569</v>
      </c>
      <c r="D127" s="27" t="s">
        <v>569</v>
      </c>
      <c r="E127" s="27" t="s">
        <v>569</v>
      </c>
      <c r="F127" s="27" t="s">
        <v>569</v>
      </c>
      <c r="G127" s="27" t="s">
        <v>569</v>
      </c>
      <c r="H127" s="27" t="s">
        <v>569</v>
      </c>
      <c r="I127" s="27" t="s">
        <v>569</v>
      </c>
      <c r="J127" s="27" t="s">
        <v>569</v>
      </c>
      <c r="K127" s="27"/>
    </row>
    <row r="128" spans="2:11" outlineLevel="1">
      <c r="B128" s="26" t="s">
        <v>546</v>
      </c>
      <c r="C128" s="27">
        <v>44</v>
      </c>
      <c r="D128" s="27" t="s">
        <v>569</v>
      </c>
      <c r="E128" s="27" t="s">
        <v>569</v>
      </c>
      <c r="F128" s="27">
        <v>44</v>
      </c>
      <c r="G128" s="27" t="s">
        <v>569</v>
      </c>
      <c r="H128" s="27" t="s">
        <v>569</v>
      </c>
      <c r="I128" s="27" t="s">
        <v>569</v>
      </c>
      <c r="J128" s="27" t="s">
        <v>569</v>
      </c>
      <c r="K128" s="27"/>
    </row>
    <row r="129" spans="1:11" outlineLevel="1">
      <c r="B129" s="26" t="s">
        <v>358</v>
      </c>
      <c r="C129" s="27" t="s">
        <v>569</v>
      </c>
      <c r="D129" s="27">
        <v>2500</v>
      </c>
      <c r="E129" s="27" t="s">
        <v>569</v>
      </c>
      <c r="F129" s="27">
        <v>2500</v>
      </c>
      <c r="G129" s="27" t="s">
        <v>569</v>
      </c>
      <c r="H129" s="27">
        <v>2500</v>
      </c>
      <c r="I129" s="27" t="s">
        <v>569</v>
      </c>
      <c r="J129" s="27">
        <v>2500</v>
      </c>
      <c r="K129" s="27">
        <f t="shared" si="1"/>
        <v>0</v>
      </c>
    </row>
    <row r="130" spans="1:11">
      <c r="B130" s="26" t="s">
        <v>19</v>
      </c>
      <c r="C130" s="27">
        <v>15982</v>
      </c>
      <c r="D130" s="27">
        <v>35601</v>
      </c>
      <c r="E130" s="27" t="s">
        <v>569</v>
      </c>
      <c r="F130" s="27">
        <v>51583</v>
      </c>
      <c r="G130" s="27">
        <v>19155</v>
      </c>
      <c r="H130" s="27">
        <v>44896</v>
      </c>
      <c r="I130" s="27" t="s">
        <v>569</v>
      </c>
      <c r="J130" s="27">
        <v>64051</v>
      </c>
      <c r="K130" s="27">
        <f t="shared" si="1"/>
        <v>-12468</v>
      </c>
    </row>
    <row r="131" spans="1:11">
      <c r="A131" s="23" t="s">
        <v>569</v>
      </c>
      <c r="B131" s="24" t="s">
        <v>20</v>
      </c>
      <c r="C131" s="25">
        <v>17336</v>
      </c>
      <c r="D131" s="25">
        <v>36357</v>
      </c>
      <c r="E131" s="25">
        <v>0</v>
      </c>
      <c r="F131" s="25">
        <v>53692</v>
      </c>
      <c r="G131" s="25">
        <v>20582</v>
      </c>
      <c r="H131" s="25">
        <v>46257</v>
      </c>
      <c r="I131" s="25">
        <v>0</v>
      </c>
      <c r="J131" s="25">
        <v>66839</v>
      </c>
      <c r="K131" s="25">
        <f t="shared" si="1"/>
        <v>-13147</v>
      </c>
    </row>
    <row r="132" spans="1:11">
      <c r="A132" s="23" t="s">
        <v>569</v>
      </c>
      <c r="B132" s="24" t="s">
        <v>21</v>
      </c>
      <c r="C132" s="25">
        <v>21412</v>
      </c>
      <c r="D132" s="25">
        <v>-34547</v>
      </c>
      <c r="E132" s="25">
        <v>0</v>
      </c>
      <c r="F132" s="25">
        <v>-13135</v>
      </c>
      <c r="G132" s="25">
        <v>-89035</v>
      </c>
      <c r="H132" s="25">
        <v>84781</v>
      </c>
      <c r="I132" s="25">
        <v>0</v>
      </c>
      <c r="J132" s="25">
        <v>-4254</v>
      </c>
      <c r="K132" s="25">
        <f t="shared" si="1"/>
        <v>-8881</v>
      </c>
    </row>
    <row r="133" spans="1:11">
      <c r="A133" s="23" t="s">
        <v>569</v>
      </c>
      <c r="B133" s="24" t="s">
        <v>22</v>
      </c>
      <c r="C133" s="25" t="s">
        <v>597</v>
      </c>
      <c r="D133" s="25" t="s">
        <v>598</v>
      </c>
      <c r="E133" s="25">
        <v>0</v>
      </c>
      <c r="F133" s="25" t="s">
        <v>599</v>
      </c>
      <c r="G133" s="25" t="s">
        <v>600</v>
      </c>
      <c r="H133" s="25" t="s">
        <v>601</v>
      </c>
      <c r="I133" s="25">
        <v>0</v>
      </c>
      <c r="J133" s="25" t="s">
        <v>602</v>
      </c>
      <c r="K133" s="25">
        <f t="shared" si="1"/>
        <v>-0.05</v>
      </c>
    </row>
    <row r="134" spans="1:11">
      <c r="A134" s="23" t="s">
        <v>569</v>
      </c>
      <c r="B134" s="24" t="s">
        <v>569</v>
      </c>
      <c r="C134" s="25" t="s">
        <v>569</v>
      </c>
      <c r="D134" s="25" t="s">
        <v>569</v>
      </c>
      <c r="E134" s="25" t="s">
        <v>569</v>
      </c>
      <c r="F134" s="25" t="s">
        <v>569</v>
      </c>
      <c r="G134" s="25" t="s">
        <v>569</v>
      </c>
      <c r="H134" s="25" t="s">
        <v>569</v>
      </c>
      <c r="I134" s="25" t="s">
        <v>569</v>
      </c>
      <c r="J134" s="25" t="s">
        <v>569</v>
      </c>
      <c r="K134" s="25"/>
    </row>
    <row r="135" spans="1:11">
      <c r="B135" s="26" t="s">
        <v>603</v>
      </c>
      <c r="C135" s="27">
        <v>-3227</v>
      </c>
      <c r="D135" s="27">
        <v>2605</v>
      </c>
      <c r="E135" s="27" t="s">
        <v>569</v>
      </c>
      <c r="F135" s="27">
        <v>-622</v>
      </c>
      <c r="G135" s="27">
        <v>-19765</v>
      </c>
      <c r="H135" s="27">
        <v>2507</v>
      </c>
      <c r="I135" s="27" t="s">
        <v>569</v>
      </c>
      <c r="J135" s="27">
        <v>-17258</v>
      </c>
      <c r="K135" s="27">
        <f t="shared" si="1"/>
        <v>16636</v>
      </c>
    </row>
    <row r="136" spans="1:11" hidden="1" outlineLevel="1">
      <c r="B136" s="26" t="s">
        <v>149</v>
      </c>
      <c r="C136" s="27" t="s">
        <v>569</v>
      </c>
      <c r="D136" s="27" t="s">
        <v>569</v>
      </c>
      <c r="E136" s="27" t="s">
        <v>569</v>
      </c>
      <c r="F136" s="27" t="s">
        <v>569</v>
      </c>
      <c r="G136" s="27" t="s">
        <v>569</v>
      </c>
      <c r="H136" s="27" t="s">
        <v>569</v>
      </c>
      <c r="I136" s="27" t="s">
        <v>569</v>
      </c>
      <c r="J136" s="27" t="s">
        <v>569</v>
      </c>
      <c r="K136" s="27"/>
    </row>
    <row r="137" spans="1:11" hidden="1" outlineLevel="1">
      <c r="B137" s="26" t="s">
        <v>150</v>
      </c>
      <c r="C137" s="27">
        <v>1</v>
      </c>
      <c r="D137" s="27">
        <v>106</v>
      </c>
      <c r="E137" s="27" t="s">
        <v>569</v>
      </c>
      <c r="F137" s="27">
        <v>107</v>
      </c>
      <c r="G137" s="27">
        <v>2</v>
      </c>
      <c r="H137" s="27">
        <v>6</v>
      </c>
      <c r="I137" s="27" t="s">
        <v>569</v>
      </c>
      <c r="J137" s="27">
        <v>8</v>
      </c>
      <c r="K137" s="27">
        <f t="shared" si="1"/>
        <v>99</v>
      </c>
    </row>
    <row r="138" spans="1:11" hidden="1" outlineLevel="1">
      <c r="B138" s="26" t="s">
        <v>151</v>
      </c>
      <c r="C138" s="27">
        <v>-4176</v>
      </c>
      <c r="D138" s="27" t="s">
        <v>569</v>
      </c>
      <c r="E138" s="27" t="s">
        <v>569</v>
      </c>
      <c r="F138" s="27">
        <v>-4176</v>
      </c>
      <c r="G138" s="27">
        <v>-21184</v>
      </c>
      <c r="H138" s="27" t="s">
        <v>569</v>
      </c>
      <c r="I138" s="27" t="s">
        <v>569</v>
      </c>
      <c r="J138" s="27">
        <v>-21184</v>
      </c>
      <c r="K138" s="27">
        <f t="shared" si="1"/>
        <v>17008</v>
      </c>
    </row>
    <row r="139" spans="1:11" hidden="1" outlineLevel="1">
      <c r="B139" s="26" t="s">
        <v>152</v>
      </c>
      <c r="C139" s="27" t="s">
        <v>569</v>
      </c>
      <c r="D139" s="27" t="s">
        <v>569</v>
      </c>
      <c r="E139" s="27" t="s">
        <v>569</v>
      </c>
      <c r="F139" s="27" t="s">
        <v>569</v>
      </c>
      <c r="G139" s="27" t="s">
        <v>569</v>
      </c>
      <c r="H139" s="27" t="s">
        <v>569</v>
      </c>
      <c r="I139" s="27" t="s">
        <v>569</v>
      </c>
      <c r="J139" s="27" t="s">
        <v>569</v>
      </c>
      <c r="K139" s="27"/>
    </row>
    <row r="140" spans="1:11" hidden="1" outlineLevel="1">
      <c r="B140" s="26" t="s">
        <v>154</v>
      </c>
      <c r="C140" s="27" t="s">
        <v>569</v>
      </c>
      <c r="D140" s="27">
        <v>139</v>
      </c>
      <c r="E140" s="27" t="s">
        <v>569</v>
      </c>
      <c r="F140" s="27">
        <v>139</v>
      </c>
      <c r="G140" s="27" t="s">
        <v>569</v>
      </c>
      <c r="H140" s="27">
        <v>140</v>
      </c>
      <c r="I140" s="27" t="s">
        <v>569</v>
      </c>
      <c r="J140" s="27">
        <v>140</v>
      </c>
      <c r="K140" s="27">
        <f t="shared" ref="K140:K151" si="2">F140-J140</f>
        <v>-1</v>
      </c>
    </row>
    <row r="141" spans="1:11" hidden="1" outlineLevel="1">
      <c r="B141" s="26" t="s">
        <v>604</v>
      </c>
      <c r="C141" s="27" t="s">
        <v>569</v>
      </c>
      <c r="D141" s="27" t="s">
        <v>569</v>
      </c>
      <c r="E141" s="27" t="s">
        <v>569</v>
      </c>
      <c r="F141" s="27" t="s">
        <v>569</v>
      </c>
      <c r="G141" s="27" t="s">
        <v>569</v>
      </c>
      <c r="H141" s="27" t="s">
        <v>569</v>
      </c>
      <c r="I141" s="27" t="s">
        <v>569</v>
      </c>
      <c r="J141" s="27" t="s">
        <v>569</v>
      </c>
      <c r="K141" s="27"/>
    </row>
    <row r="142" spans="1:11" hidden="1" outlineLevel="1">
      <c r="B142" s="26" t="s">
        <v>153</v>
      </c>
      <c r="C142" s="27" t="s">
        <v>569</v>
      </c>
      <c r="D142" s="27">
        <v>2360</v>
      </c>
      <c r="E142" s="27" t="s">
        <v>569</v>
      </c>
      <c r="F142" s="27">
        <v>2360</v>
      </c>
      <c r="G142" s="27" t="s">
        <v>569</v>
      </c>
      <c r="H142" s="27">
        <v>2360</v>
      </c>
      <c r="I142" s="27" t="s">
        <v>569</v>
      </c>
      <c r="J142" s="27">
        <v>2360</v>
      </c>
      <c r="K142" s="27">
        <f t="shared" si="2"/>
        <v>0</v>
      </c>
    </row>
    <row r="143" spans="1:11" hidden="1" outlineLevel="1">
      <c r="B143" s="26" t="s">
        <v>92</v>
      </c>
      <c r="C143" s="27">
        <v>949</v>
      </c>
      <c r="D143" s="27" t="s">
        <v>569</v>
      </c>
      <c r="E143" s="27" t="s">
        <v>569</v>
      </c>
      <c r="F143" s="27">
        <v>949</v>
      </c>
      <c r="G143" s="27">
        <v>1417</v>
      </c>
      <c r="H143" s="27" t="s">
        <v>569</v>
      </c>
      <c r="I143" s="27" t="s">
        <v>569</v>
      </c>
      <c r="J143" s="27">
        <v>1417</v>
      </c>
      <c r="K143" s="27">
        <f t="shared" si="2"/>
        <v>-468</v>
      </c>
    </row>
    <row r="144" spans="1:11" collapsed="1">
      <c r="B144" s="26" t="s">
        <v>605</v>
      </c>
      <c r="C144" s="27" t="s">
        <v>569</v>
      </c>
      <c r="D144" s="27">
        <v>709</v>
      </c>
      <c r="E144" s="27" t="s">
        <v>569</v>
      </c>
      <c r="F144" s="27">
        <v>709</v>
      </c>
      <c r="G144" s="27" t="s">
        <v>569</v>
      </c>
      <c r="H144" s="27">
        <v>517</v>
      </c>
      <c r="I144" s="27" t="s">
        <v>569</v>
      </c>
      <c r="J144" s="27">
        <v>517</v>
      </c>
      <c r="K144" s="27">
        <f t="shared" si="2"/>
        <v>192</v>
      </c>
    </row>
    <row r="145" spans="1:11" hidden="1" outlineLevel="1">
      <c r="B145" s="26" t="s">
        <v>24</v>
      </c>
      <c r="C145" s="27" t="s">
        <v>569</v>
      </c>
      <c r="D145" s="27">
        <v>709</v>
      </c>
      <c r="E145" s="27" t="s">
        <v>569</v>
      </c>
      <c r="F145" s="27">
        <v>709</v>
      </c>
      <c r="G145" s="27" t="s">
        <v>569</v>
      </c>
      <c r="H145" s="27">
        <v>517</v>
      </c>
      <c r="I145" s="27" t="s">
        <v>569</v>
      </c>
      <c r="J145" s="27">
        <v>517</v>
      </c>
      <c r="K145" s="27">
        <f t="shared" si="2"/>
        <v>192</v>
      </c>
    </row>
    <row r="146" spans="1:11" hidden="1" outlineLevel="1">
      <c r="B146" s="26" t="s">
        <v>606</v>
      </c>
      <c r="C146" s="27" t="s">
        <v>569</v>
      </c>
      <c r="D146" s="27" t="s">
        <v>569</v>
      </c>
      <c r="E146" s="27" t="s">
        <v>569</v>
      </c>
      <c r="F146" s="27" t="s">
        <v>569</v>
      </c>
      <c r="G146" s="27" t="s">
        <v>569</v>
      </c>
      <c r="H146" s="27" t="s">
        <v>569</v>
      </c>
      <c r="I146" s="27" t="s">
        <v>569</v>
      </c>
      <c r="J146" s="27" t="s">
        <v>569</v>
      </c>
      <c r="K146" s="27"/>
    </row>
    <row r="147" spans="1:11" hidden="1" outlineLevel="1">
      <c r="B147" s="26" t="s">
        <v>607</v>
      </c>
      <c r="C147" s="27" t="s">
        <v>569</v>
      </c>
      <c r="D147" s="27" t="s">
        <v>569</v>
      </c>
      <c r="E147" s="27" t="s">
        <v>569</v>
      </c>
      <c r="F147" s="27" t="s">
        <v>569</v>
      </c>
      <c r="G147" s="27" t="s">
        <v>569</v>
      </c>
      <c r="H147" s="27" t="s">
        <v>569</v>
      </c>
      <c r="I147" s="27" t="s">
        <v>569</v>
      </c>
      <c r="J147" s="27" t="s">
        <v>569</v>
      </c>
      <c r="K147" s="27"/>
    </row>
    <row r="148" spans="1:11" collapsed="1">
      <c r="B148" s="26" t="s">
        <v>608</v>
      </c>
      <c r="C148" s="27" t="s">
        <v>569</v>
      </c>
      <c r="D148" s="27" t="s">
        <v>569</v>
      </c>
      <c r="E148" s="27" t="s">
        <v>569</v>
      </c>
      <c r="F148" s="27">
        <v>0</v>
      </c>
      <c r="G148" s="27" t="s">
        <v>569</v>
      </c>
      <c r="H148" s="27" t="s">
        <v>569</v>
      </c>
      <c r="I148" s="27" t="s">
        <v>569</v>
      </c>
      <c r="J148" s="27">
        <v>0</v>
      </c>
      <c r="K148" s="27">
        <f t="shared" si="2"/>
        <v>0</v>
      </c>
    </row>
    <row r="149" spans="1:11" hidden="1" outlineLevel="1">
      <c r="B149" s="26" t="s">
        <v>25</v>
      </c>
      <c r="C149" s="27" t="s">
        <v>569</v>
      </c>
      <c r="D149" s="27" t="s">
        <v>569</v>
      </c>
      <c r="E149" s="27" t="s">
        <v>569</v>
      </c>
      <c r="F149" s="27" t="s">
        <v>569</v>
      </c>
      <c r="G149" s="27" t="s">
        <v>569</v>
      </c>
      <c r="H149" s="27" t="s">
        <v>569</v>
      </c>
      <c r="I149" s="27" t="s">
        <v>569</v>
      </c>
      <c r="J149" s="27" t="s">
        <v>569</v>
      </c>
      <c r="K149" s="27"/>
    </row>
    <row r="150" spans="1:11" collapsed="1">
      <c r="B150" s="26" t="s">
        <v>609</v>
      </c>
      <c r="C150" s="27">
        <v>-3227</v>
      </c>
      <c r="D150" s="27">
        <v>3314</v>
      </c>
      <c r="E150" s="27" t="s">
        <v>569</v>
      </c>
      <c r="F150" s="27">
        <v>87</v>
      </c>
      <c r="G150" s="27">
        <v>-19765</v>
      </c>
      <c r="H150" s="27">
        <v>3023</v>
      </c>
      <c r="I150" s="27" t="s">
        <v>569</v>
      </c>
      <c r="J150" s="27">
        <v>-16741</v>
      </c>
      <c r="K150" s="27">
        <f t="shared" si="2"/>
        <v>16828</v>
      </c>
    </row>
    <row r="151" spans="1:11">
      <c r="A151" s="23" t="s">
        <v>569</v>
      </c>
      <c r="B151" s="24" t="s">
        <v>26</v>
      </c>
      <c r="C151" s="25">
        <v>24639</v>
      </c>
      <c r="D151" s="25">
        <v>-37861</v>
      </c>
      <c r="E151" s="25">
        <v>0</v>
      </c>
      <c r="F151" s="25">
        <v>-13222</v>
      </c>
      <c r="G151" s="25">
        <v>-69271</v>
      </c>
      <c r="H151" s="25">
        <v>81758</v>
      </c>
      <c r="I151" s="25">
        <v>0</v>
      </c>
      <c r="J151" s="25">
        <v>12487</v>
      </c>
      <c r="K151" s="25">
        <f t="shared" si="2"/>
        <v>-25709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E3B7-15DB-4EAF-8638-6969A0641F16}">
  <dimension ref="A1:K147"/>
  <sheetViews>
    <sheetView showGridLines="0" topLeftCell="B2" workbookViewId="0">
      <selection activeCell="G14" sqref="G14"/>
    </sheetView>
  </sheetViews>
  <sheetFormatPr defaultRowHeight="14.5" outlineLevelRow="1"/>
  <cols>
    <col min="1" max="1" width="4.58203125" style="10" customWidth="1"/>
    <col min="2" max="2" width="29.75" style="10" bestFit="1" customWidth="1"/>
    <col min="3" max="3" width="16.5" style="16" bestFit="1" customWidth="1"/>
    <col min="4" max="4" width="12.1640625" style="16" bestFit="1" customWidth="1"/>
    <col min="5" max="5" width="7.1640625" style="16" bestFit="1" customWidth="1"/>
    <col min="6" max="6" width="28" style="16" hidden="1" customWidth="1"/>
    <col min="7" max="7" width="17.4140625" style="10" bestFit="1" customWidth="1"/>
    <col min="8" max="8" width="11.1640625" style="10" bestFit="1" customWidth="1"/>
    <col min="9" max="9" width="6.1640625" style="10" bestFit="1" customWidth="1"/>
    <col min="10" max="10" width="28.6640625" style="10" hidden="1" customWidth="1"/>
    <col min="11" max="11" width="7.75" style="10" bestFit="1" customWidth="1"/>
    <col min="12" max="16384" width="8.6640625" style="10"/>
  </cols>
  <sheetData>
    <row r="1" spans="1:11" hidden="1"/>
    <row r="2" spans="1:11" ht="18.5">
      <c r="B2" s="17" t="s">
        <v>564</v>
      </c>
      <c r="C2" s="18" t="s">
        <v>566</v>
      </c>
      <c r="D2" s="18"/>
      <c r="E2" s="17"/>
      <c r="F2" s="18"/>
      <c r="G2" s="18" t="s">
        <v>621</v>
      </c>
      <c r="H2" s="18"/>
      <c r="I2" s="17"/>
      <c r="J2" s="18"/>
      <c r="K2" s="17"/>
    </row>
    <row r="3" spans="1:11" ht="18.5">
      <c r="B3" s="18" t="s">
        <v>567</v>
      </c>
      <c r="C3" s="18"/>
      <c r="D3" s="18"/>
      <c r="E3" s="18"/>
      <c r="F3" s="18" t="s">
        <v>568</v>
      </c>
      <c r="G3" s="18"/>
      <c r="H3" s="18"/>
      <c r="I3" s="18"/>
      <c r="J3" s="18" t="s">
        <v>568</v>
      </c>
      <c r="K3" s="18"/>
    </row>
    <row r="4" spans="1:11" hidden="1">
      <c r="B4" s="19"/>
      <c r="C4" s="18"/>
      <c r="D4" s="18"/>
      <c r="E4" s="18"/>
      <c r="F4" s="18"/>
      <c r="G4" s="18"/>
      <c r="H4" s="18"/>
      <c r="I4" s="18"/>
      <c r="J4" s="18"/>
      <c r="K4" s="18"/>
    </row>
    <row r="5" spans="1:11" hidden="1">
      <c r="B5" s="19" t="s">
        <v>569</v>
      </c>
      <c r="C5" s="18"/>
      <c r="D5" s="18"/>
      <c r="E5" s="18"/>
      <c r="F5" s="18"/>
      <c r="G5" s="18"/>
      <c r="H5" s="18"/>
      <c r="I5" s="18"/>
      <c r="J5" s="18"/>
      <c r="K5" s="18"/>
    </row>
    <row r="6" spans="1:11">
      <c r="A6" s="10" t="s">
        <v>569</v>
      </c>
      <c r="B6" s="20" t="s">
        <v>570</v>
      </c>
      <c r="C6" s="21" t="s">
        <v>571</v>
      </c>
      <c r="D6" s="21" t="s">
        <v>564</v>
      </c>
      <c r="E6" s="21" t="s">
        <v>19</v>
      </c>
      <c r="F6" s="21" t="s">
        <v>572</v>
      </c>
      <c r="G6" s="21" t="s">
        <v>571</v>
      </c>
      <c r="H6" s="21" t="s">
        <v>564</v>
      </c>
      <c r="I6" s="21" t="s">
        <v>19</v>
      </c>
      <c r="J6" s="21" t="s">
        <v>572</v>
      </c>
      <c r="K6" s="21" t="s">
        <v>573</v>
      </c>
    </row>
    <row r="7" spans="1:11">
      <c r="A7" s="23" t="s">
        <v>569</v>
      </c>
      <c r="B7" s="24" t="s">
        <v>1</v>
      </c>
      <c r="C7" s="25" t="s">
        <v>569</v>
      </c>
      <c r="D7" s="25" t="s">
        <v>569</v>
      </c>
      <c r="E7" s="25" t="s">
        <v>569</v>
      </c>
      <c r="F7" s="25" t="s">
        <v>569</v>
      </c>
      <c r="G7" s="25" t="s">
        <v>569</v>
      </c>
      <c r="H7" s="25" t="s">
        <v>569</v>
      </c>
      <c r="I7" s="25" t="s">
        <v>569</v>
      </c>
      <c r="J7" s="25" t="s">
        <v>569</v>
      </c>
      <c r="K7" s="25"/>
    </row>
    <row r="8" spans="1:11">
      <c r="B8" s="26" t="s">
        <v>574</v>
      </c>
      <c r="C8" s="27">
        <v>123319</v>
      </c>
      <c r="D8" s="27">
        <v>221215</v>
      </c>
      <c r="E8" s="27">
        <v>221215</v>
      </c>
      <c r="F8" s="27">
        <v>-123319</v>
      </c>
      <c r="G8" s="27">
        <v>184916</v>
      </c>
      <c r="H8" s="27">
        <v>227771</v>
      </c>
      <c r="I8" s="27">
        <v>227771</v>
      </c>
      <c r="J8" s="27">
        <v>-184916</v>
      </c>
      <c r="K8" s="27">
        <f>E8-I8</f>
        <v>-6556</v>
      </c>
    </row>
    <row r="9" spans="1:11" outlineLevel="1">
      <c r="B9" s="26" t="s">
        <v>2</v>
      </c>
      <c r="C9" s="27">
        <v>123319</v>
      </c>
      <c r="D9" s="27">
        <v>221215</v>
      </c>
      <c r="E9" s="27">
        <v>221215</v>
      </c>
      <c r="F9" s="27">
        <v>-123319</v>
      </c>
      <c r="G9" s="27">
        <v>184916</v>
      </c>
      <c r="H9" s="27">
        <v>227770</v>
      </c>
      <c r="I9" s="27">
        <v>227770</v>
      </c>
      <c r="J9" s="27">
        <v>-184916</v>
      </c>
      <c r="K9" s="27"/>
    </row>
    <row r="10" spans="1:11" outlineLevel="1">
      <c r="B10" s="26" t="s">
        <v>44</v>
      </c>
      <c r="C10" s="27">
        <v>0</v>
      </c>
      <c r="D10" s="27">
        <v>0</v>
      </c>
      <c r="E10" s="27">
        <v>0</v>
      </c>
      <c r="F10" s="27" t="s">
        <v>569</v>
      </c>
      <c r="G10" s="27">
        <v>0</v>
      </c>
      <c r="H10" s="27">
        <v>1</v>
      </c>
      <c r="I10" s="27">
        <v>1</v>
      </c>
      <c r="J10" s="27" t="s">
        <v>569</v>
      </c>
      <c r="K10" s="27"/>
    </row>
    <row r="11" spans="1:11" outlineLevel="1">
      <c r="B11" s="26" t="s">
        <v>45</v>
      </c>
      <c r="C11" s="27" t="s">
        <v>569</v>
      </c>
      <c r="D11" s="27" t="s">
        <v>569</v>
      </c>
      <c r="E11" s="27" t="s">
        <v>569</v>
      </c>
      <c r="F11" s="27" t="s">
        <v>569</v>
      </c>
      <c r="G11" s="27" t="s">
        <v>569</v>
      </c>
      <c r="H11" s="27" t="s">
        <v>569</v>
      </c>
      <c r="I11" s="27" t="s">
        <v>569</v>
      </c>
      <c r="J11" s="27" t="s">
        <v>569</v>
      </c>
      <c r="K11" s="27"/>
    </row>
    <row r="12" spans="1:11" outlineLevel="1">
      <c r="B12" s="26" t="s">
        <v>47</v>
      </c>
      <c r="C12" s="27" t="s">
        <v>569</v>
      </c>
      <c r="D12" s="27">
        <v>0</v>
      </c>
      <c r="E12" s="27">
        <v>0</v>
      </c>
      <c r="F12" s="27" t="s">
        <v>569</v>
      </c>
      <c r="G12" s="27" t="s">
        <v>569</v>
      </c>
      <c r="H12" s="27">
        <v>0</v>
      </c>
      <c r="I12" s="27">
        <v>0</v>
      </c>
      <c r="J12" s="27" t="s">
        <v>569</v>
      </c>
      <c r="K12" s="27"/>
    </row>
    <row r="13" spans="1:11" outlineLevel="1">
      <c r="B13" s="26" t="s">
        <v>46</v>
      </c>
      <c r="C13" s="27" t="s">
        <v>569</v>
      </c>
      <c r="D13" s="27" t="s">
        <v>569</v>
      </c>
      <c r="E13" s="27" t="s">
        <v>569</v>
      </c>
      <c r="F13" s="27" t="s">
        <v>569</v>
      </c>
      <c r="G13" s="27" t="s">
        <v>569</v>
      </c>
      <c r="H13" s="27" t="s">
        <v>569</v>
      </c>
      <c r="I13" s="27" t="s">
        <v>569</v>
      </c>
      <c r="J13" s="27" t="s">
        <v>569</v>
      </c>
      <c r="K13" s="27"/>
    </row>
    <row r="14" spans="1:11" outlineLevel="1">
      <c r="B14" s="24" t="s">
        <v>3</v>
      </c>
      <c r="C14" s="25">
        <v>123319</v>
      </c>
      <c r="D14" s="25">
        <v>221215</v>
      </c>
      <c r="E14" s="25">
        <v>221215</v>
      </c>
      <c r="F14" s="25">
        <v>-123319</v>
      </c>
      <c r="G14" s="27">
        <v>184916</v>
      </c>
      <c r="H14" s="27">
        <v>227771</v>
      </c>
      <c r="I14" s="27">
        <v>227771</v>
      </c>
      <c r="J14" s="27">
        <v>-184916</v>
      </c>
      <c r="K14" s="27"/>
    </row>
    <row r="15" spans="1:11">
      <c r="A15" s="23" t="s">
        <v>569</v>
      </c>
      <c r="B15" s="24" t="s">
        <v>4</v>
      </c>
      <c r="C15" s="25" t="s">
        <v>569</v>
      </c>
      <c r="D15" s="25" t="s">
        <v>569</v>
      </c>
      <c r="E15" s="25" t="s">
        <v>569</v>
      </c>
      <c r="F15" s="25" t="s">
        <v>569</v>
      </c>
      <c r="G15" s="25" t="s">
        <v>569</v>
      </c>
      <c r="H15" s="25" t="s">
        <v>569</v>
      </c>
      <c r="I15" s="25" t="s">
        <v>569</v>
      </c>
      <c r="J15" s="25" t="s">
        <v>569</v>
      </c>
      <c r="K15" s="25"/>
    </row>
    <row r="16" spans="1:11">
      <c r="B16" s="26" t="s">
        <v>575</v>
      </c>
      <c r="C16" s="27">
        <v>112934</v>
      </c>
      <c r="D16" s="27">
        <v>130894</v>
      </c>
      <c r="E16" s="27">
        <v>120509</v>
      </c>
      <c r="F16" s="27">
        <v>-123319</v>
      </c>
      <c r="G16" s="27">
        <v>102920</v>
      </c>
      <c r="H16" s="27">
        <v>190830</v>
      </c>
      <c r="I16" s="27">
        <v>108834</v>
      </c>
      <c r="J16" s="27">
        <v>-184916</v>
      </c>
      <c r="K16" s="27">
        <f>I16-E16</f>
        <v>-11675</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7575</v>
      </c>
      <c r="E18" s="27">
        <v>7575</v>
      </c>
      <c r="F18" s="27" t="s">
        <v>569</v>
      </c>
      <c r="G18" s="27" t="s">
        <v>569</v>
      </c>
      <c r="H18" s="27">
        <v>5914</v>
      </c>
      <c r="I18" s="27">
        <v>5914</v>
      </c>
      <c r="J18" s="27" t="s">
        <v>569</v>
      </c>
      <c r="K18" s="27"/>
    </row>
    <row r="19" spans="2:11" outlineLevel="1">
      <c r="B19" s="26" t="s">
        <v>50</v>
      </c>
      <c r="C19" s="27">
        <v>71381</v>
      </c>
      <c r="D19" s="27" t="s">
        <v>569</v>
      </c>
      <c r="E19" s="27">
        <v>71381</v>
      </c>
      <c r="F19" s="27" t="s">
        <v>569</v>
      </c>
      <c r="G19" s="27">
        <v>66470</v>
      </c>
      <c r="H19" s="27" t="s">
        <v>569</v>
      </c>
      <c r="I19" s="27">
        <v>66470</v>
      </c>
      <c r="J19" s="27" t="s">
        <v>569</v>
      </c>
      <c r="K19" s="27"/>
    </row>
    <row r="20" spans="2:11" outlineLevel="1">
      <c r="B20" s="26" t="s">
        <v>51</v>
      </c>
      <c r="C20" s="27">
        <v>41215</v>
      </c>
      <c r="D20" s="27" t="s">
        <v>569</v>
      </c>
      <c r="E20" s="27">
        <v>41215</v>
      </c>
      <c r="F20" s="27" t="s">
        <v>569</v>
      </c>
      <c r="G20" s="27">
        <v>36233</v>
      </c>
      <c r="H20" s="27" t="s">
        <v>569</v>
      </c>
      <c r="I20" s="27">
        <v>36233</v>
      </c>
      <c r="J20" s="27" t="s">
        <v>569</v>
      </c>
      <c r="K20" s="27"/>
    </row>
    <row r="21" spans="2:11" outlineLevel="1">
      <c r="B21" s="26" t="s">
        <v>52</v>
      </c>
      <c r="C21" s="27">
        <v>217</v>
      </c>
      <c r="D21" s="27">
        <v>123319</v>
      </c>
      <c r="E21" s="27">
        <v>217</v>
      </c>
      <c r="F21" s="27">
        <v>-123319</v>
      </c>
      <c r="G21" s="27">
        <v>217</v>
      </c>
      <c r="H21" s="27">
        <v>184916</v>
      </c>
      <c r="I21" s="27">
        <v>217</v>
      </c>
      <c r="J21" s="27">
        <v>-184916</v>
      </c>
      <c r="K21" s="27"/>
    </row>
    <row r="22" spans="2:11" outlineLevel="1">
      <c r="B22" s="26" t="s">
        <v>53</v>
      </c>
      <c r="C22" s="27">
        <v>121</v>
      </c>
      <c r="D22" s="27" t="s">
        <v>569</v>
      </c>
      <c r="E22" s="27">
        <v>121</v>
      </c>
      <c r="F22" s="27" t="s">
        <v>569</v>
      </c>
      <c r="G22" s="27" t="s">
        <v>569</v>
      </c>
      <c r="H22" s="27" t="s">
        <v>569</v>
      </c>
      <c r="I22" s="27" t="s">
        <v>569</v>
      </c>
      <c r="J22" s="27" t="s">
        <v>569</v>
      </c>
      <c r="K22" s="27"/>
    </row>
    <row r="23" spans="2:11">
      <c r="B23" s="26" t="s">
        <v>576</v>
      </c>
      <c r="C23" s="27">
        <v>11400</v>
      </c>
      <c r="D23" s="27" t="s">
        <v>569</v>
      </c>
      <c r="E23" s="27">
        <v>11400</v>
      </c>
      <c r="F23" s="27" t="s">
        <v>569</v>
      </c>
      <c r="G23" s="27">
        <v>10714</v>
      </c>
      <c r="H23" s="27" t="s">
        <v>569</v>
      </c>
      <c r="I23" s="27">
        <v>10714</v>
      </c>
      <c r="J23" s="27" t="s">
        <v>569</v>
      </c>
      <c r="K23" s="27">
        <f>I23-E23</f>
        <v>-686</v>
      </c>
    </row>
    <row r="24" spans="2:11">
      <c r="B24" s="26" t="s">
        <v>55</v>
      </c>
      <c r="C24" s="27" t="s">
        <v>569</v>
      </c>
      <c r="D24" s="27" t="s">
        <v>569</v>
      </c>
      <c r="E24" s="27" t="s">
        <v>569</v>
      </c>
      <c r="F24" s="27" t="s">
        <v>569</v>
      </c>
      <c r="G24" s="27" t="s">
        <v>569</v>
      </c>
      <c r="H24" s="27" t="s">
        <v>569</v>
      </c>
      <c r="I24" s="27" t="s">
        <v>569</v>
      </c>
      <c r="J24" s="27" t="s">
        <v>569</v>
      </c>
      <c r="K24" s="27"/>
    </row>
    <row r="25" spans="2:11" hidden="1" outlineLevel="1">
      <c r="B25" s="26" t="s">
        <v>56</v>
      </c>
      <c r="C25" s="27">
        <v>392</v>
      </c>
      <c r="D25" s="27" t="s">
        <v>569</v>
      </c>
      <c r="E25" s="27">
        <v>392</v>
      </c>
      <c r="F25" s="27" t="s">
        <v>569</v>
      </c>
      <c r="G25" s="27">
        <v>370</v>
      </c>
      <c r="H25" s="27" t="s">
        <v>569</v>
      </c>
      <c r="I25" s="27">
        <v>370</v>
      </c>
      <c r="J25" s="27" t="s">
        <v>569</v>
      </c>
      <c r="K25" s="27"/>
    </row>
    <row r="26" spans="2:11" hidden="1" outlineLevel="1">
      <c r="B26" s="26" t="s">
        <v>57</v>
      </c>
      <c r="C26" s="27">
        <v>9964</v>
      </c>
      <c r="D26" s="27" t="s">
        <v>569</v>
      </c>
      <c r="E26" s="27">
        <v>9964</v>
      </c>
      <c r="F26" s="27" t="s">
        <v>569</v>
      </c>
      <c r="G26" s="27">
        <v>9273</v>
      </c>
      <c r="H26" s="27" t="s">
        <v>569</v>
      </c>
      <c r="I26" s="27">
        <v>9273</v>
      </c>
      <c r="J26" s="27" t="s">
        <v>569</v>
      </c>
      <c r="K26" s="27"/>
    </row>
    <row r="27" spans="2:11" hidden="1" outlineLevel="1">
      <c r="B27" s="26" t="s">
        <v>58</v>
      </c>
      <c r="C27" s="27">
        <v>404</v>
      </c>
      <c r="D27" s="27" t="s">
        <v>569</v>
      </c>
      <c r="E27" s="27">
        <v>404</v>
      </c>
      <c r="F27" s="27" t="s">
        <v>569</v>
      </c>
      <c r="G27" s="27">
        <v>428</v>
      </c>
      <c r="H27" s="27" t="s">
        <v>569</v>
      </c>
      <c r="I27" s="27">
        <v>428</v>
      </c>
      <c r="J27" s="27" t="s">
        <v>569</v>
      </c>
      <c r="K27" s="27"/>
    </row>
    <row r="28" spans="2:11" hidden="1" outlineLevel="1">
      <c r="B28" s="26" t="s">
        <v>59</v>
      </c>
      <c r="C28" s="27" t="s">
        <v>569</v>
      </c>
      <c r="D28" s="27" t="s">
        <v>569</v>
      </c>
      <c r="E28" s="27" t="s">
        <v>569</v>
      </c>
      <c r="F28" s="27" t="s">
        <v>569</v>
      </c>
      <c r="G28" s="27" t="s">
        <v>569</v>
      </c>
      <c r="H28" s="27" t="s">
        <v>569</v>
      </c>
      <c r="I28" s="27" t="s">
        <v>569</v>
      </c>
      <c r="J28" s="27" t="s">
        <v>569</v>
      </c>
      <c r="K28" s="27"/>
    </row>
    <row r="29" spans="2:11" hidden="1" outlineLevel="1">
      <c r="B29" s="26" t="s">
        <v>60</v>
      </c>
      <c r="C29" s="27">
        <v>639</v>
      </c>
      <c r="D29" s="27" t="s">
        <v>569</v>
      </c>
      <c r="E29" s="27">
        <v>639</v>
      </c>
      <c r="F29" s="27" t="s">
        <v>569</v>
      </c>
      <c r="G29" s="27">
        <v>644</v>
      </c>
      <c r="H29" s="27" t="s">
        <v>569</v>
      </c>
      <c r="I29" s="27">
        <v>644</v>
      </c>
      <c r="J29" s="27" t="s">
        <v>569</v>
      </c>
      <c r="K29" s="27"/>
    </row>
    <row r="30" spans="2:11" hidden="1" outlineLevel="1">
      <c r="B30" s="26" t="s">
        <v>61</v>
      </c>
      <c r="C30" s="27" t="s">
        <v>569</v>
      </c>
      <c r="D30" s="27" t="s">
        <v>569</v>
      </c>
      <c r="E30" s="27" t="s">
        <v>569</v>
      </c>
      <c r="F30" s="27" t="s">
        <v>569</v>
      </c>
      <c r="G30" s="27" t="s">
        <v>569</v>
      </c>
      <c r="H30" s="27" t="s">
        <v>569</v>
      </c>
      <c r="I30" s="27" t="s">
        <v>569</v>
      </c>
      <c r="J30" s="27" t="s">
        <v>569</v>
      </c>
      <c r="K30" s="27"/>
    </row>
    <row r="31" spans="2:11" hidden="1" outlineLevel="1">
      <c r="B31" s="26" t="s">
        <v>62</v>
      </c>
      <c r="C31" s="27" t="s">
        <v>569</v>
      </c>
      <c r="D31" s="27" t="s">
        <v>569</v>
      </c>
      <c r="E31" s="27" t="s">
        <v>569</v>
      </c>
      <c r="F31" s="27" t="s">
        <v>569</v>
      </c>
      <c r="G31" s="27" t="s">
        <v>569</v>
      </c>
      <c r="H31" s="27" t="s">
        <v>569</v>
      </c>
      <c r="I31" s="27" t="s">
        <v>569</v>
      </c>
      <c r="J31" s="27" t="s">
        <v>569</v>
      </c>
      <c r="K31" s="27"/>
    </row>
    <row r="32" spans="2:11" collapsed="1">
      <c r="B32" s="26" t="s">
        <v>577</v>
      </c>
      <c r="C32" s="27">
        <v>14533</v>
      </c>
      <c r="D32" s="27">
        <v>1000</v>
      </c>
      <c r="E32" s="27">
        <v>15533</v>
      </c>
      <c r="F32" s="27" t="s">
        <v>569</v>
      </c>
      <c r="G32" s="27">
        <v>15082</v>
      </c>
      <c r="H32" s="27">
        <v>0</v>
      </c>
      <c r="I32" s="27">
        <v>15082</v>
      </c>
      <c r="J32" s="27" t="s">
        <v>569</v>
      </c>
      <c r="K32" s="27">
        <f>I32-E32</f>
        <v>-451</v>
      </c>
    </row>
    <row r="33" spans="2:11">
      <c r="B33" s="26" t="s">
        <v>64</v>
      </c>
      <c r="C33" s="27" t="s">
        <v>569</v>
      </c>
      <c r="D33" s="27" t="s">
        <v>569</v>
      </c>
      <c r="E33" s="27" t="s">
        <v>569</v>
      </c>
      <c r="F33" s="27" t="s">
        <v>569</v>
      </c>
      <c r="G33" s="27" t="s">
        <v>569</v>
      </c>
      <c r="H33" s="27" t="s">
        <v>569</v>
      </c>
      <c r="I33" s="27" t="s">
        <v>569</v>
      </c>
      <c r="J33" s="27" t="s">
        <v>569</v>
      </c>
      <c r="K33" s="27"/>
    </row>
    <row r="34" spans="2:11" outlineLevel="1">
      <c r="B34" s="26" t="s">
        <v>65</v>
      </c>
      <c r="C34" s="27">
        <v>2676</v>
      </c>
      <c r="D34" s="27" t="s">
        <v>569</v>
      </c>
      <c r="E34" s="27">
        <v>2676</v>
      </c>
      <c r="F34" s="27" t="s">
        <v>569</v>
      </c>
      <c r="G34" s="27">
        <v>3064</v>
      </c>
      <c r="H34" s="27" t="s">
        <v>569</v>
      </c>
      <c r="I34" s="27">
        <v>3064</v>
      </c>
      <c r="J34" s="27" t="s">
        <v>569</v>
      </c>
      <c r="K34" s="27"/>
    </row>
    <row r="35" spans="2:11" outlineLevel="1">
      <c r="B35" s="26" t="s">
        <v>66</v>
      </c>
      <c r="C35" s="27" t="s">
        <v>569</v>
      </c>
      <c r="D35" s="27" t="s">
        <v>569</v>
      </c>
      <c r="E35" s="27" t="s">
        <v>569</v>
      </c>
      <c r="F35" s="27" t="s">
        <v>569</v>
      </c>
      <c r="G35" s="27" t="s">
        <v>569</v>
      </c>
      <c r="H35" s="27" t="s">
        <v>569</v>
      </c>
      <c r="I35" s="27" t="s">
        <v>569</v>
      </c>
      <c r="J35" s="27" t="s">
        <v>569</v>
      </c>
      <c r="K35" s="27"/>
    </row>
    <row r="36" spans="2:11" outlineLevel="1">
      <c r="B36" s="26" t="s">
        <v>67</v>
      </c>
      <c r="C36" s="27">
        <v>743</v>
      </c>
      <c r="D36" s="27" t="s">
        <v>569</v>
      </c>
      <c r="E36" s="27">
        <v>743</v>
      </c>
      <c r="F36" s="27" t="s">
        <v>569</v>
      </c>
      <c r="G36" s="27">
        <v>743</v>
      </c>
      <c r="H36" s="27" t="s">
        <v>569</v>
      </c>
      <c r="I36" s="27">
        <v>743</v>
      </c>
      <c r="J36" s="27" t="s">
        <v>569</v>
      </c>
      <c r="K36" s="27"/>
    </row>
    <row r="37" spans="2:11" outlineLevel="1">
      <c r="B37" s="26" t="s">
        <v>68</v>
      </c>
      <c r="C37" s="27">
        <v>4302</v>
      </c>
      <c r="D37" s="27" t="s">
        <v>569</v>
      </c>
      <c r="E37" s="27">
        <v>4302</v>
      </c>
      <c r="F37" s="27" t="s">
        <v>569</v>
      </c>
      <c r="G37" s="27">
        <v>4302</v>
      </c>
      <c r="H37" s="27" t="s">
        <v>569</v>
      </c>
      <c r="I37" s="27">
        <v>4302</v>
      </c>
      <c r="J37" s="27" t="s">
        <v>569</v>
      </c>
      <c r="K37" s="27"/>
    </row>
    <row r="38" spans="2:11" outlineLevel="1">
      <c r="B38" s="26" t="s">
        <v>69</v>
      </c>
      <c r="C38" s="27">
        <v>1907</v>
      </c>
      <c r="D38" s="27" t="s">
        <v>569</v>
      </c>
      <c r="E38" s="27">
        <v>1907</v>
      </c>
      <c r="F38" s="27" t="s">
        <v>569</v>
      </c>
      <c r="G38" s="27">
        <v>2068</v>
      </c>
      <c r="H38" s="27" t="s">
        <v>569</v>
      </c>
      <c r="I38" s="27">
        <v>2068</v>
      </c>
      <c r="J38" s="27" t="s">
        <v>569</v>
      </c>
      <c r="K38" s="27"/>
    </row>
    <row r="39" spans="2:11" outlineLevel="1">
      <c r="B39" s="26" t="s">
        <v>71</v>
      </c>
      <c r="C39" s="27">
        <v>285</v>
      </c>
      <c r="D39" s="27" t="s">
        <v>569</v>
      </c>
      <c r="E39" s="27">
        <v>285</v>
      </c>
      <c r="F39" s="27" t="s">
        <v>569</v>
      </c>
      <c r="G39" s="27">
        <v>285</v>
      </c>
      <c r="H39" s="27" t="s">
        <v>569</v>
      </c>
      <c r="I39" s="27">
        <v>285</v>
      </c>
      <c r="J39" s="27" t="s">
        <v>569</v>
      </c>
      <c r="K39" s="27"/>
    </row>
    <row r="40" spans="2:11" outlineLevel="1">
      <c r="B40" s="26" t="s">
        <v>72</v>
      </c>
      <c r="C40" s="27">
        <v>4348</v>
      </c>
      <c r="D40" s="27" t="s">
        <v>569</v>
      </c>
      <c r="E40" s="27">
        <v>4348</v>
      </c>
      <c r="F40" s="27" t="s">
        <v>569</v>
      </c>
      <c r="G40" s="27">
        <v>4348</v>
      </c>
      <c r="H40" s="27" t="s">
        <v>569</v>
      </c>
      <c r="I40" s="27">
        <v>4348</v>
      </c>
      <c r="J40" s="27" t="s">
        <v>569</v>
      </c>
      <c r="K40" s="27"/>
    </row>
    <row r="41" spans="2:11" outlineLevel="1">
      <c r="B41" s="26" t="s">
        <v>73</v>
      </c>
      <c r="C41" s="27">
        <v>272</v>
      </c>
      <c r="D41" s="27">
        <v>1000</v>
      </c>
      <c r="E41" s="27">
        <v>1272</v>
      </c>
      <c r="F41" s="27" t="s">
        <v>569</v>
      </c>
      <c r="G41" s="27">
        <v>272</v>
      </c>
      <c r="H41" s="27">
        <v>0</v>
      </c>
      <c r="I41" s="27">
        <v>272</v>
      </c>
      <c r="J41" s="27" t="s">
        <v>569</v>
      </c>
      <c r="K41" s="27"/>
    </row>
    <row r="42" spans="2:11" outlineLevel="1">
      <c r="B42" s="26" t="s">
        <v>70</v>
      </c>
      <c r="C42" s="27" t="s">
        <v>569</v>
      </c>
      <c r="D42" s="27" t="s">
        <v>569</v>
      </c>
      <c r="E42" s="27" t="s">
        <v>569</v>
      </c>
      <c r="F42" s="27" t="s">
        <v>569</v>
      </c>
      <c r="G42" s="27" t="s">
        <v>569</v>
      </c>
      <c r="H42" s="27" t="s">
        <v>569</v>
      </c>
      <c r="I42" s="27" t="s">
        <v>569</v>
      </c>
      <c r="J42" s="27" t="s">
        <v>569</v>
      </c>
      <c r="K42" s="27"/>
    </row>
    <row r="43" spans="2:11">
      <c r="B43" s="26" t="s">
        <v>578</v>
      </c>
      <c r="C43" s="27">
        <v>1546</v>
      </c>
      <c r="D43" s="27">
        <v>25406</v>
      </c>
      <c r="E43" s="27">
        <v>26953</v>
      </c>
      <c r="F43" s="27" t="s">
        <v>569</v>
      </c>
      <c r="G43" s="27">
        <v>1464</v>
      </c>
      <c r="H43" s="27">
        <v>18105</v>
      </c>
      <c r="I43" s="27">
        <v>19569</v>
      </c>
      <c r="J43" s="27" t="s">
        <v>569</v>
      </c>
      <c r="K43" s="27">
        <f t="shared" ref="K43:K53" si="0">I43-E43</f>
        <v>-7384</v>
      </c>
    </row>
    <row r="44" spans="2:11" outlineLevel="1">
      <c r="B44" s="26" t="s">
        <v>75</v>
      </c>
      <c r="C44" s="27" t="s">
        <v>569</v>
      </c>
      <c r="D44" s="27">
        <v>295</v>
      </c>
      <c r="E44" s="27">
        <v>295</v>
      </c>
      <c r="F44" s="27" t="s">
        <v>569</v>
      </c>
      <c r="G44" s="27" t="s">
        <v>569</v>
      </c>
      <c r="H44" s="27">
        <v>541</v>
      </c>
      <c r="I44" s="27">
        <v>541</v>
      </c>
      <c r="J44" s="27" t="s">
        <v>569</v>
      </c>
      <c r="K44" s="27">
        <f t="shared" si="0"/>
        <v>246</v>
      </c>
    </row>
    <row r="45" spans="2:11" outlineLevel="1">
      <c r="B45" s="26" t="s">
        <v>76</v>
      </c>
      <c r="C45" s="27" t="s">
        <v>569</v>
      </c>
      <c r="D45" s="27">
        <v>459</v>
      </c>
      <c r="E45" s="27">
        <v>459</v>
      </c>
      <c r="F45" s="27" t="s">
        <v>569</v>
      </c>
      <c r="G45" s="27" t="s">
        <v>569</v>
      </c>
      <c r="H45" s="27">
        <v>393</v>
      </c>
      <c r="I45" s="27">
        <v>393</v>
      </c>
      <c r="J45" s="27" t="s">
        <v>569</v>
      </c>
      <c r="K45" s="27">
        <f t="shared" si="0"/>
        <v>-66</v>
      </c>
    </row>
    <row r="46" spans="2:11" outlineLevel="1">
      <c r="B46" s="26" t="s">
        <v>77</v>
      </c>
      <c r="C46" s="27" t="s">
        <v>569</v>
      </c>
      <c r="D46" s="27">
        <v>24152</v>
      </c>
      <c r="E46" s="27">
        <v>24152</v>
      </c>
      <c r="F46" s="27" t="s">
        <v>569</v>
      </c>
      <c r="G46" s="27" t="s">
        <v>569</v>
      </c>
      <c r="H46" s="27">
        <v>16666</v>
      </c>
      <c r="I46" s="27">
        <v>16666</v>
      </c>
      <c r="J46" s="27" t="s">
        <v>569</v>
      </c>
      <c r="K46" s="27">
        <f t="shared" si="0"/>
        <v>-7486</v>
      </c>
    </row>
    <row r="47" spans="2:11" outlineLevel="1">
      <c r="B47" s="26" t="s">
        <v>79</v>
      </c>
      <c r="C47" s="27">
        <v>485</v>
      </c>
      <c r="D47" s="27">
        <v>501</v>
      </c>
      <c r="E47" s="27">
        <v>985</v>
      </c>
      <c r="F47" s="27" t="s">
        <v>569</v>
      </c>
      <c r="G47" s="27">
        <v>466</v>
      </c>
      <c r="H47" s="27">
        <v>506</v>
      </c>
      <c r="I47" s="27">
        <v>973</v>
      </c>
      <c r="J47" s="27" t="s">
        <v>569</v>
      </c>
      <c r="K47" s="27">
        <f t="shared" si="0"/>
        <v>-12</v>
      </c>
    </row>
    <row r="48" spans="2:11" outlineLevel="1">
      <c r="B48" s="26" t="s">
        <v>74</v>
      </c>
      <c r="C48" s="27">
        <v>34</v>
      </c>
      <c r="D48" s="27" t="s">
        <v>569</v>
      </c>
      <c r="E48" s="27">
        <v>34</v>
      </c>
      <c r="F48" s="27" t="s">
        <v>569</v>
      </c>
      <c r="G48" s="27">
        <v>146</v>
      </c>
      <c r="H48" s="27" t="s">
        <v>569</v>
      </c>
      <c r="I48" s="27">
        <v>146</v>
      </c>
      <c r="J48" s="27" t="s">
        <v>569</v>
      </c>
      <c r="K48" s="27">
        <f t="shared" si="0"/>
        <v>112</v>
      </c>
    </row>
    <row r="49" spans="2:11" outlineLevel="1">
      <c r="B49" s="26" t="s">
        <v>80</v>
      </c>
      <c r="C49" s="27">
        <v>189</v>
      </c>
      <c r="D49" s="27" t="s">
        <v>569</v>
      </c>
      <c r="E49" s="27">
        <v>189</v>
      </c>
      <c r="F49" s="27" t="s">
        <v>569</v>
      </c>
      <c r="G49" s="27">
        <v>189</v>
      </c>
      <c r="H49" s="27" t="s">
        <v>569</v>
      </c>
      <c r="I49" s="27">
        <v>189</v>
      </c>
      <c r="J49" s="27" t="s">
        <v>569</v>
      </c>
      <c r="K49" s="27">
        <f t="shared" si="0"/>
        <v>0</v>
      </c>
    </row>
    <row r="50" spans="2:11" outlineLevel="1">
      <c r="B50" s="26" t="s">
        <v>579</v>
      </c>
      <c r="C50" s="27">
        <v>838</v>
      </c>
      <c r="D50" s="27" t="s">
        <v>569</v>
      </c>
      <c r="E50" s="27">
        <v>838</v>
      </c>
      <c r="F50" s="27" t="s">
        <v>569</v>
      </c>
      <c r="G50" s="27">
        <v>662</v>
      </c>
      <c r="H50" s="27" t="s">
        <v>569</v>
      </c>
      <c r="I50" s="27">
        <v>662</v>
      </c>
      <c r="J50" s="27" t="s">
        <v>569</v>
      </c>
      <c r="K50" s="27">
        <f t="shared" si="0"/>
        <v>-176</v>
      </c>
    </row>
    <row r="51" spans="2:11">
      <c r="B51" s="26" t="s">
        <v>580</v>
      </c>
      <c r="C51" s="27">
        <v>5351</v>
      </c>
      <c r="D51" s="27" t="s">
        <v>569</v>
      </c>
      <c r="E51" s="27">
        <v>5351</v>
      </c>
      <c r="F51" s="27" t="s">
        <v>569</v>
      </c>
      <c r="G51" s="27">
        <v>4371</v>
      </c>
      <c r="H51" s="27" t="s">
        <v>569</v>
      </c>
      <c r="I51" s="27">
        <v>4371</v>
      </c>
      <c r="J51" s="27" t="s">
        <v>569</v>
      </c>
      <c r="K51" s="27">
        <f t="shared" si="0"/>
        <v>-980</v>
      </c>
    </row>
    <row r="52" spans="2:11" outlineLevel="1">
      <c r="B52" s="26" t="s">
        <v>82</v>
      </c>
      <c r="C52" s="27">
        <v>5351</v>
      </c>
      <c r="D52" s="27" t="s">
        <v>569</v>
      </c>
      <c r="E52" s="27">
        <v>5351</v>
      </c>
      <c r="F52" s="27" t="s">
        <v>569</v>
      </c>
      <c r="G52" s="27">
        <v>4371</v>
      </c>
      <c r="H52" s="27" t="s">
        <v>569</v>
      </c>
      <c r="I52" s="27">
        <v>4371</v>
      </c>
      <c r="J52" s="27" t="s">
        <v>569</v>
      </c>
      <c r="K52" s="27">
        <f t="shared" si="0"/>
        <v>-980</v>
      </c>
    </row>
    <row r="53" spans="2:11">
      <c r="B53" s="26" t="s">
        <v>581</v>
      </c>
      <c r="C53" s="27">
        <v>9684</v>
      </c>
      <c r="D53" s="27" t="s">
        <v>569</v>
      </c>
      <c r="E53" s="27">
        <v>9684</v>
      </c>
      <c r="F53" s="27" t="s">
        <v>569</v>
      </c>
      <c r="G53" s="27">
        <v>7664</v>
      </c>
      <c r="H53" s="27" t="s">
        <v>569</v>
      </c>
      <c r="I53" s="27">
        <v>7664</v>
      </c>
      <c r="J53" s="27" t="s">
        <v>569</v>
      </c>
      <c r="K53" s="27">
        <f t="shared" si="0"/>
        <v>-2020</v>
      </c>
    </row>
    <row r="54" spans="2:11">
      <c r="B54" s="26" t="s">
        <v>84</v>
      </c>
      <c r="C54" s="27" t="s">
        <v>569</v>
      </c>
      <c r="D54" s="27" t="s">
        <v>569</v>
      </c>
      <c r="E54" s="27" t="s">
        <v>569</v>
      </c>
      <c r="F54" s="27" t="s">
        <v>569</v>
      </c>
      <c r="G54" s="27" t="s">
        <v>569</v>
      </c>
      <c r="H54" s="27" t="s">
        <v>569</v>
      </c>
      <c r="I54" s="27" t="s">
        <v>569</v>
      </c>
      <c r="J54" s="27" t="s">
        <v>569</v>
      </c>
      <c r="K54" s="27"/>
    </row>
    <row r="55" spans="2:11">
      <c r="B55" s="26" t="s">
        <v>85</v>
      </c>
      <c r="C55" s="27" t="s">
        <v>569</v>
      </c>
      <c r="D55" s="27" t="s">
        <v>569</v>
      </c>
      <c r="E55" s="27" t="s">
        <v>569</v>
      </c>
      <c r="F55" s="27" t="s">
        <v>569</v>
      </c>
      <c r="G55" s="27" t="s">
        <v>569</v>
      </c>
      <c r="H55" s="27" t="s">
        <v>569</v>
      </c>
      <c r="I55" s="27" t="s">
        <v>569</v>
      </c>
      <c r="J55" s="27" t="s">
        <v>569</v>
      </c>
      <c r="K55" s="27"/>
    </row>
    <row r="56" spans="2:11" outlineLevel="1">
      <c r="B56" s="26" t="s">
        <v>86</v>
      </c>
      <c r="C56" s="27" t="s">
        <v>569</v>
      </c>
      <c r="D56" s="27" t="s">
        <v>569</v>
      </c>
      <c r="E56" s="27" t="s">
        <v>569</v>
      </c>
      <c r="F56" s="27" t="s">
        <v>569</v>
      </c>
      <c r="G56" s="27" t="s">
        <v>569</v>
      </c>
      <c r="H56" s="27" t="s">
        <v>569</v>
      </c>
      <c r="I56" s="27" t="s">
        <v>569</v>
      </c>
      <c r="J56" s="27" t="s">
        <v>569</v>
      </c>
      <c r="K56" s="27"/>
    </row>
    <row r="57" spans="2:11" outlineLevel="1">
      <c r="B57" s="26" t="s">
        <v>88</v>
      </c>
      <c r="C57" s="27">
        <v>1304</v>
      </c>
      <c r="D57" s="27" t="s">
        <v>569</v>
      </c>
      <c r="E57" s="27">
        <v>1304</v>
      </c>
      <c r="F57" s="27" t="s">
        <v>569</v>
      </c>
      <c r="G57" s="27">
        <v>360</v>
      </c>
      <c r="H57" s="27" t="s">
        <v>569</v>
      </c>
      <c r="I57" s="27">
        <v>360</v>
      </c>
      <c r="J57" s="27" t="s">
        <v>569</v>
      </c>
      <c r="K57" s="27"/>
    </row>
    <row r="58" spans="2:11" outlineLevel="1">
      <c r="B58" s="26" t="s">
        <v>89</v>
      </c>
      <c r="C58" s="27" t="s">
        <v>569</v>
      </c>
      <c r="D58" s="27" t="s">
        <v>569</v>
      </c>
      <c r="E58" s="27" t="s">
        <v>569</v>
      </c>
      <c r="F58" s="27" t="s">
        <v>569</v>
      </c>
      <c r="G58" s="27" t="s">
        <v>569</v>
      </c>
      <c r="H58" s="27" t="s">
        <v>569</v>
      </c>
      <c r="I58" s="27" t="s">
        <v>569</v>
      </c>
      <c r="J58" s="27" t="s">
        <v>569</v>
      </c>
      <c r="K58" s="27"/>
    </row>
    <row r="59" spans="2:11" outlineLevel="1">
      <c r="B59" s="26" t="s">
        <v>90</v>
      </c>
      <c r="C59" s="27" t="s">
        <v>569</v>
      </c>
      <c r="D59" s="27" t="s">
        <v>569</v>
      </c>
      <c r="E59" s="27" t="s">
        <v>569</v>
      </c>
      <c r="F59" s="27" t="s">
        <v>569</v>
      </c>
      <c r="G59" s="27" t="s">
        <v>569</v>
      </c>
      <c r="H59" s="27" t="s">
        <v>569</v>
      </c>
      <c r="I59" s="27" t="s">
        <v>569</v>
      </c>
      <c r="J59" s="27" t="s">
        <v>569</v>
      </c>
      <c r="K59" s="27"/>
    </row>
    <row r="60" spans="2:11" outlineLevel="1">
      <c r="B60" s="26" t="s">
        <v>91</v>
      </c>
      <c r="C60" s="27">
        <v>3892</v>
      </c>
      <c r="D60" s="27" t="s">
        <v>569</v>
      </c>
      <c r="E60" s="27">
        <v>3892</v>
      </c>
      <c r="F60" s="27" t="s">
        <v>569</v>
      </c>
      <c r="G60" s="27">
        <v>3655</v>
      </c>
      <c r="H60" s="27" t="s">
        <v>569</v>
      </c>
      <c r="I60" s="27">
        <v>3655</v>
      </c>
      <c r="J60" s="27" t="s">
        <v>569</v>
      </c>
      <c r="K60" s="27"/>
    </row>
    <row r="61" spans="2:11" outlineLevel="1">
      <c r="B61" s="26" t="s">
        <v>92</v>
      </c>
      <c r="C61" s="27">
        <v>1417</v>
      </c>
      <c r="D61" s="27" t="s">
        <v>569</v>
      </c>
      <c r="E61" s="27">
        <v>1417</v>
      </c>
      <c r="F61" s="27" t="s">
        <v>569</v>
      </c>
      <c r="G61" s="27">
        <v>746</v>
      </c>
      <c r="H61" s="27" t="s">
        <v>569</v>
      </c>
      <c r="I61" s="27">
        <v>746</v>
      </c>
      <c r="J61" s="27" t="s">
        <v>569</v>
      </c>
      <c r="K61" s="27"/>
    </row>
    <row r="62" spans="2:11" outlineLevel="1">
      <c r="B62" s="26" t="s">
        <v>93</v>
      </c>
      <c r="C62" s="27" t="s">
        <v>569</v>
      </c>
      <c r="D62" s="27" t="s">
        <v>569</v>
      </c>
      <c r="E62" s="27" t="s">
        <v>569</v>
      </c>
      <c r="F62" s="27" t="s">
        <v>569</v>
      </c>
      <c r="G62" s="27" t="s">
        <v>569</v>
      </c>
      <c r="H62" s="27" t="s">
        <v>569</v>
      </c>
      <c r="I62" s="27" t="s">
        <v>569</v>
      </c>
      <c r="J62" s="27" t="s">
        <v>569</v>
      </c>
      <c r="K62" s="27"/>
    </row>
    <row r="63" spans="2:11" outlineLevel="1">
      <c r="B63" s="26" t="s">
        <v>94</v>
      </c>
      <c r="C63" s="27" t="s">
        <v>569</v>
      </c>
      <c r="D63" s="27" t="s">
        <v>569</v>
      </c>
      <c r="E63" s="27" t="s">
        <v>569</v>
      </c>
      <c r="F63" s="27" t="s">
        <v>569</v>
      </c>
      <c r="G63" s="27" t="s">
        <v>569</v>
      </c>
      <c r="H63" s="27" t="s">
        <v>569</v>
      </c>
      <c r="I63" s="27" t="s">
        <v>569</v>
      </c>
      <c r="J63" s="27" t="s">
        <v>569</v>
      </c>
      <c r="K63" s="27"/>
    </row>
    <row r="64" spans="2:11" outlineLevel="1">
      <c r="B64" s="26" t="s">
        <v>95</v>
      </c>
      <c r="C64" s="27">
        <v>3070</v>
      </c>
      <c r="D64" s="27" t="s">
        <v>569</v>
      </c>
      <c r="E64" s="27">
        <v>3070</v>
      </c>
      <c r="F64" s="27" t="s">
        <v>569</v>
      </c>
      <c r="G64" s="27">
        <v>2902</v>
      </c>
      <c r="H64" s="27" t="s">
        <v>569</v>
      </c>
      <c r="I64" s="27">
        <v>2902</v>
      </c>
      <c r="J64" s="27" t="s">
        <v>569</v>
      </c>
      <c r="K64" s="27"/>
    </row>
    <row r="65" spans="1:11" outlineLevel="1">
      <c r="B65" s="26" t="s">
        <v>87</v>
      </c>
      <c r="C65" s="27" t="s">
        <v>569</v>
      </c>
      <c r="D65" s="27" t="s">
        <v>569</v>
      </c>
      <c r="E65" s="27" t="s">
        <v>569</v>
      </c>
      <c r="F65" s="27" t="s">
        <v>569</v>
      </c>
      <c r="G65" s="27" t="s">
        <v>569</v>
      </c>
      <c r="H65" s="27" t="s">
        <v>569</v>
      </c>
      <c r="I65" s="27" t="s">
        <v>569</v>
      </c>
      <c r="J65" s="27" t="s">
        <v>569</v>
      </c>
      <c r="K65" s="27"/>
    </row>
    <row r="66" spans="1:11">
      <c r="B66" s="24" t="s">
        <v>10</v>
      </c>
      <c r="C66" s="25">
        <v>155448</v>
      </c>
      <c r="D66" s="25">
        <v>157300</v>
      </c>
      <c r="E66" s="25">
        <v>189430</v>
      </c>
      <c r="F66" s="25">
        <v>-123319</v>
      </c>
      <c r="G66" s="27">
        <v>142214</v>
      </c>
      <c r="H66" s="27">
        <v>208935</v>
      </c>
      <c r="I66" s="27">
        <v>166233</v>
      </c>
      <c r="J66" s="27">
        <v>-184916</v>
      </c>
      <c r="K66" s="27">
        <f>I66-E66</f>
        <v>-23197</v>
      </c>
    </row>
    <row r="67" spans="1:11">
      <c r="A67" s="23" t="s">
        <v>569</v>
      </c>
      <c r="B67" s="24" t="s">
        <v>582</v>
      </c>
      <c r="C67" s="25">
        <v>-32129</v>
      </c>
      <c r="D67" s="25">
        <v>63915</v>
      </c>
      <c r="E67" s="25">
        <v>31785</v>
      </c>
      <c r="F67" s="25">
        <v>0</v>
      </c>
      <c r="G67" s="25">
        <v>42702</v>
      </c>
      <c r="H67" s="25">
        <v>18836</v>
      </c>
      <c r="I67" s="25">
        <v>61538</v>
      </c>
      <c r="J67" s="25">
        <v>0</v>
      </c>
      <c r="K67" s="25"/>
    </row>
    <row r="68" spans="1:11">
      <c r="A68" s="23" t="s">
        <v>569</v>
      </c>
      <c r="B68" s="24" t="s">
        <v>12</v>
      </c>
      <c r="C68" s="25" t="s">
        <v>622</v>
      </c>
      <c r="D68" s="25" t="s">
        <v>623</v>
      </c>
      <c r="E68" s="25" t="s">
        <v>624</v>
      </c>
      <c r="F68" s="25">
        <v>0</v>
      </c>
      <c r="G68" s="25" t="s">
        <v>625</v>
      </c>
      <c r="H68" s="25" t="s">
        <v>626</v>
      </c>
      <c r="I68" s="25" t="s">
        <v>627</v>
      </c>
      <c r="J68" s="25">
        <v>0</v>
      </c>
      <c r="K68" s="25"/>
    </row>
    <row r="69" spans="1:11">
      <c r="A69" s="23" t="s">
        <v>569</v>
      </c>
      <c r="B69" s="24" t="s">
        <v>13</v>
      </c>
      <c r="C69" s="25" t="s">
        <v>569</v>
      </c>
      <c r="D69" s="25" t="s">
        <v>569</v>
      </c>
      <c r="E69" s="25" t="s">
        <v>569</v>
      </c>
      <c r="F69" s="25" t="s">
        <v>569</v>
      </c>
      <c r="G69" s="25" t="s">
        <v>569</v>
      </c>
      <c r="H69" s="25" t="s">
        <v>569</v>
      </c>
      <c r="I69" s="25" t="s">
        <v>569</v>
      </c>
      <c r="J69" s="25" t="s">
        <v>569</v>
      </c>
      <c r="K69" s="25"/>
    </row>
    <row r="70" spans="1:11">
      <c r="B70" s="26" t="s">
        <v>589</v>
      </c>
      <c r="C70" s="27">
        <v>1538</v>
      </c>
      <c r="D70" s="27">
        <v>1301</v>
      </c>
      <c r="E70" s="27">
        <v>2839</v>
      </c>
      <c r="F70" s="27" t="s">
        <v>569</v>
      </c>
      <c r="G70" s="27">
        <v>1368</v>
      </c>
      <c r="H70" s="27">
        <v>1905</v>
      </c>
      <c r="I70" s="27">
        <v>3273</v>
      </c>
      <c r="J70" s="27" t="s">
        <v>569</v>
      </c>
      <c r="K70" s="27">
        <f>I70-E70</f>
        <v>434</v>
      </c>
    </row>
    <row r="71" spans="1:11" outlineLevel="1">
      <c r="B71" s="26" t="s">
        <v>96</v>
      </c>
      <c r="C71" s="27" t="s">
        <v>569</v>
      </c>
      <c r="D71" s="27" t="s">
        <v>569</v>
      </c>
      <c r="E71" s="27" t="s">
        <v>569</v>
      </c>
      <c r="F71" s="27" t="s">
        <v>569</v>
      </c>
      <c r="G71" s="27" t="s">
        <v>569</v>
      </c>
      <c r="H71" s="27" t="s">
        <v>569</v>
      </c>
      <c r="I71" s="27" t="s">
        <v>569</v>
      </c>
      <c r="J71" s="27" t="s">
        <v>569</v>
      </c>
      <c r="K71" s="27"/>
    </row>
    <row r="72" spans="1:11" outlineLevel="1">
      <c r="B72" s="26" t="s">
        <v>97</v>
      </c>
      <c r="C72" s="27" t="s">
        <v>569</v>
      </c>
      <c r="D72" s="27" t="s">
        <v>569</v>
      </c>
      <c r="E72" s="27" t="s">
        <v>569</v>
      </c>
      <c r="F72" s="27" t="s">
        <v>569</v>
      </c>
      <c r="G72" s="27" t="s">
        <v>569</v>
      </c>
      <c r="H72" s="27" t="s">
        <v>569</v>
      </c>
      <c r="I72" s="27" t="s">
        <v>569</v>
      </c>
      <c r="J72" s="27" t="s">
        <v>569</v>
      </c>
      <c r="K72" s="27"/>
    </row>
    <row r="73" spans="1:11" outlineLevel="1">
      <c r="B73" s="26" t="s">
        <v>98</v>
      </c>
      <c r="C73" s="27" t="s">
        <v>569</v>
      </c>
      <c r="D73" s="27" t="s">
        <v>569</v>
      </c>
      <c r="E73" s="27" t="s">
        <v>569</v>
      </c>
      <c r="F73" s="27" t="s">
        <v>569</v>
      </c>
      <c r="G73" s="27" t="s">
        <v>569</v>
      </c>
      <c r="H73" s="27" t="s">
        <v>569</v>
      </c>
      <c r="I73" s="27" t="s">
        <v>569</v>
      </c>
      <c r="J73" s="27" t="s">
        <v>569</v>
      </c>
      <c r="K73" s="27"/>
    </row>
    <row r="74" spans="1:11" outlineLevel="1">
      <c r="B74" s="26" t="s">
        <v>99</v>
      </c>
      <c r="C74" s="27">
        <v>62</v>
      </c>
      <c r="D74" s="27">
        <v>90</v>
      </c>
      <c r="E74" s="27">
        <v>152</v>
      </c>
      <c r="F74" s="27" t="s">
        <v>569</v>
      </c>
      <c r="G74" s="27">
        <v>353</v>
      </c>
      <c r="H74" s="27">
        <v>717</v>
      </c>
      <c r="I74" s="27">
        <v>1070</v>
      </c>
      <c r="J74" s="27" t="s">
        <v>569</v>
      </c>
      <c r="K74" s="27"/>
    </row>
    <row r="75" spans="1:11" outlineLevel="1">
      <c r="B75" s="26" t="s">
        <v>100</v>
      </c>
      <c r="C75" s="27" t="s">
        <v>569</v>
      </c>
      <c r="D75" s="27" t="s">
        <v>569</v>
      </c>
      <c r="E75" s="27" t="s">
        <v>569</v>
      </c>
      <c r="F75" s="27" t="s">
        <v>569</v>
      </c>
      <c r="G75" s="27" t="s">
        <v>569</v>
      </c>
      <c r="H75" s="27" t="s">
        <v>569</v>
      </c>
      <c r="I75" s="27" t="s">
        <v>569</v>
      </c>
      <c r="J75" s="27" t="s">
        <v>569</v>
      </c>
      <c r="K75" s="27"/>
    </row>
    <row r="76" spans="1:11" outlineLevel="1">
      <c r="B76" s="26" t="s">
        <v>590</v>
      </c>
      <c r="C76" s="27" t="s">
        <v>569</v>
      </c>
      <c r="D76" s="27" t="s">
        <v>569</v>
      </c>
      <c r="E76" s="27" t="s">
        <v>569</v>
      </c>
      <c r="F76" s="27" t="s">
        <v>569</v>
      </c>
      <c r="G76" s="27" t="s">
        <v>569</v>
      </c>
      <c r="H76" s="27" t="s">
        <v>569</v>
      </c>
      <c r="I76" s="27" t="s">
        <v>569</v>
      </c>
      <c r="J76" s="27" t="s">
        <v>569</v>
      </c>
      <c r="K76" s="27"/>
    </row>
    <row r="77" spans="1:11" outlineLevel="1">
      <c r="B77" s="26" t="s">
        <v>102</v>
      </c>
      <c r="C77" s="27" t="s">
        <v>569</v>
      </c>
      <c r="D77" s="27" t="s">
        <v>569</v>
      </c>
      <c r="E77" s="27" t="s">
        <v>569</v>
      </c>
      <c r="F77" s="27" t="s">
        <v>569</v>
      </c>
      <c r="G77" s="27" t="s">
        <v>569</v>
      </c>
      <c r="H77" s="27" t="s">
        <v>569</v>
      </c>
      <c r="I77" s="27" t="s">
        <v>569</v>
      </c>
      <c r="J77" s="27" t="s">
        <v>569</v>
      </c>
      <c r="K77" s="27"/>
    </row>
    <row r="78" spans="1:11" outlineLevel="1">
      <c r="B78" s="26" t="s">
        <v>104</v>
      </c>
      <c r="C78" s="27" t="s">
        <v>569</v>
      </c>
      <c r="D78" s="27">
        <v>1211</v>
      </c>
      <c r="E78" s="27">
        <v>1211</v>
      </c>
      <c r="F78" s="27" t="s">
        <v>569</v>
      </c>
      <c r="G78" s="27" t="s">
        <v>569</v>
      </c>
      <c r="H78" s="27">
        <v>1188</v>
      </c>
      <c r="I78" s="27">
        <v>1188</v>
      </c>
      <c r="J78" s="27" t="s">
        <v>569</v>
      </c>
      <c r="K78" s="27"/>
    </row>
    <row r="79" spans="1:11" outlineLevel="1">
      <c r="B79" s="26" t="s">
        <v>105</v>
      </c>
      <c r="C79" s="27" t="s">
        <v>569</v>
      </c>
      <c r="D79" s="27" t="s">
        <v>569</v>
      </c>
      <c r="E79" s="27" t="s">
        <v>569</v>
      </c>
      <c r="F79" s="27" t="s">
        <v>569</v>
      </c>
      <c r="G79" s="27" t="s">
        <v>569</v>
      </c>
      <c r="H79" s="27" t="s">
        <v>569</v>
      </c>
      <c r="I79" s="27" t="s">
        <v>569</v>
      </c>
      <c r="J79" s="27" t="s">
        <v>569</v>
      </c>
      <c r="K79" s="27"/>
    </row>
    <row r="80" spans="1:11" outlineLevel="1">
      <c r="B80" s="26" t="s">
        <v>106</v>
      </c>
      <c r="C80" s="27">
        <v>1476</v>
      </c>
      <c r="D80" s="27" t="s">
        <v>569</v>
      </c>
      <c r="E80" s="27">
        <v>1476</v>
      </c>
      <c r="F80" s="27" t="s">
        <v>569</v>
      </c>
      <c r="G80" s="27">
        <v>1015</v>
      </c>
      <c r="H80" s="27" t="s">
        <v>569</v>
      </c>
      <c r="I80" s="27">
        <v>1015</v>
      </c>
      <c r="J80" s="27" t="s">
        <v>569</v>
      </c>
      <c r="K80" s="27"/>
    </row>
    <row r="81" spans="1:11" outlineLevel="1">
      <c r="B81" s="26" t="s">
        <v>107</v>
      </c>
      <c r="C81" s="27">
        <v>0</v>
      </c>
      <c r="D81" s="27" t="s">
        <v>569</v>
      </c>
      <c r="E81" s="27">
        <v>0</v>
      </c>
      <c r="F81" s="27" t="s">
        <v>569</v>
      </c>
      <c r="G81" s="27">
        <v>0</v>
      </c>
      <c r="H81" s="27" t="s">
        <v>569</v>
      </c>
      <c r="I81" s="27">
        <v>0</v>
      </c>
      <c r="J81" s="27" t="s">
        <v>569</v>
      </c>
      <c r="K81" s="27"/>
    </row>
    <row r="82" spans="1:11" outlineLevel="1">
      <c r="B82" s="26" t="s">
        <v>108</v>
      </c>
      <c r="C82" s="27" t="s">
        <v>569</v>
      </c>
      <c r="D82" s="27" t="s">
        <v>569</v>
      </c>
      <c r="E82" s="27" t="s">
        <v>569</v>
      </c>
      <c r="F82" s="27" t="s">
        <v>569</v>
      </c>
      <c r="G82" s="27" t="s">
        <v>569</v>
      </c>
      <c r="H82" s="27" t="s">
        <v>569</v>
      </c>
      <c r="I82" s="27" t="s">
        <v>569</v>
      </c>
      <c r="J82" s="27" t="s">
        <v>569</v>
      </c>
      <c r="K82" s="27"/>
    </row>
    <row r="83" spans="1:11" outlineLevel="1">
      <c r="B83" s="26" t="s">
        <v>103</v>
      </c>
      <c r="C83" s="27" t="s">
        <v>569</v>
      </c>
      <c r="D83" s="27" t="s">
        <v>569</v>
      </c>
      <c r="E83" s="27" t="s">
        <v>569</v>
      </c>
      <c r="F83" s="27" t="s">
        <v>569</v>
      </c>
      <c r="G83" s="27" t="s">
        <v>569</v>
      </c>
      <c r="H83" s="27" t="s">
        <v>569</v>
      </c>
      <c r="I83" s="27" t="s">
        <v>569</v>
      </c>
      <c r="J83" s="27" t="s">
        <v>569</v>
      </c>
      <c r="K83" s="27"/>
    </row>
    <row r="84" spans="1:11">
      <c r="A84" s="23" t="s">
        <v>569</v>
      </c>
      <c r="B84" s="24" t="s">
        <v>15</v>
      </c>
      <c r="C84" s="25" t="s">
        <v>569</v>
      </c>
      <c r="D84" s="25" t="s">
        <v>569</v>
      </c>
      <c r="E84" s="25" t="s">
        <v>569</v>
      </c>
      <c r="F84" s="25" t="s">
        <v>569</v>
      </c>
      <c r="G84" s="25" t="s">
        <v>569</v>
      </c>
      <c r="H84" s="25" t="s">
        <v>569</v>
      </c>
      <c r="I84" s="25" t="s">
        <v>569</v>
      </c>
      <c r="J84" s="25" t="s">
        <v>569</v>
      </c>
      <c r="K84" s="25"/>
    </row>
    <row r="85" spans="1:11">
      <c r="B85" s="26" t="s">
        <v>591</v>
      </c>
      <c r="C85" s="27">
        <v>9729</v>
      </c>
      <c r="D85" s="27">
        <v>17422</v>
      </c>
      <c r="E85" s="27">
        <v>27151</v>
      </c>
      <c r="F85" s="27" t="s">
        <v>569</v>
      </c>
      <c r="G85" s="27">
        <v>9729</v>
      </c>
      <c r="H85" s="27">
        <v>28132</v>
      </c>
      <c r="I85" s="27">
        <v>37861</v>
      </c>
      <c r="J85" s="27" t="s">
        <v>569</v>
      </c>
      <c r="K85" s="27">
        <f t="shared" ref="K85:K129" si="1">I85-E85</f>
        <v>10710</v>
      </c>
    </row>
    <row r="86" spans="1:11" hidden="1" outlineLevel="1">
      <c r="B86" s="26" t="s">
        <v>148</v>
      </c>
      <c r="C86" s="27">
        <v>0</v>
      </c>
      <c r="D86" s="27" t="s">
        <v>569</v>
      </c>
      <c r="E86" s="27">
        <v>0</v>
      </c>
      <c r="F86" s="27" t="s">
        <v>569</v>
      </c>
      <c r="G86" s="27">
        <v>0</v>
      </c>
      <c r="H86" s="27" t="s">
        <v>569</v>
      </c>
      <c r="I86" s="27">
        <v>0</v>
      </c>
      <c r="J86" s="27" t="s">
        <v>569</v>
      </c>
      <c r="K86" s="27">
        <f t="shared" si="1"/>
        <v>0</v>
      </c>
    </row>
    <row r="87" spans="1:11" hidden="1" outlineLevel="1">
      <c r="B87" s="26" t="s">
        <v>147</v>
      </c>
      <c r="C87" s="27">
        <v>9729</v>
      </c>
      <c r="D87" s="27">
        <v>17422</v>
      </c>
      <c r="E87" s="27">
        <v>27151</v>
      </c>
      <c r="F87" s="27" t="s">
        <v>569</v>
      </c>
      <c r="G87" s="27">
        <v>9729</v>
      </c>
      <c r="H87" s="27">
        <v>28132</v>
      </c>
      <c r="I87" s="27">
        <v>37861</v>
      </c>
      <c r="J87" s="27" t="s">
        <v>569</v>
      </c>
      <c r="K87" s="27">
        <f t="shared" si="1"/>
        <v>10710</v>
      </c>
    </row>
    <row r="88" spans="1:11" collapsed="1">
      <c r="B88" s="26" t="s">
        <v>592</v>
      </c>
      <c r="C88" s="27">
        <v>2011</v>
      </c>
      <c r="D88" s="27">
        <v>3976</v>
      </c>
      <c r="E88" s="27">
        <v>5987</v>
      </c>
      <c r="F88" s="27" t="s">
        <v>569</v>
      </c>
      <c r="G88" s="27">
        <v>1359</v>
      </c>
      <c r="H88" s="27">
        <v>4519</v>
      </c>
      <c r="I88" s="27">
        <v>5878</v>
      </c>
      <c r="J88" s="27" t="s">
        <v>569</v>
      </c>
      <c r="K88" s="27">
        <f t="shared" si="1"/>
        <v>-109</v>
      </c>
    </row>
    <row r="89" spans="1:11" outlineLevel="1">
      <c r="B89" s="26" t="s">
        <v>144</v>
      </c>
      <c r="C89" s="27" t="s">
        <v>569</v>
      </c>
      <c r="D89" s="27" t="s">
        <v>569</v>
      </c>
      <c r="E89" s="27" t="s">
        <v>569</v>
      </c>
      <c r="F89" s="27" t="s">
        <v>569</v>
      </c>
      <c r="G89" s="27" t="s">
        <v>569</v>
      </c>
      <c r="H89" s="27" t="s">
        <v>569</v>
      </c>
      <c r="I89" s="27" t="s">
        <v>569</v>
      </c>
      <c r="J89" s="27" t="s">
        <v>569</v>
      </c>
      <c r="K89" s="27" t="e">
        <f t="shared" si="1"/>
        <v>#VALUE!</v>
      </c>
    </row>
    <row r="90" spans="1:11" outlineLevel="1">
      <c r="B90" s="26" t="s">
        <v>146</v>
      </c>
      <c r="C90" s="27">
        <v>2011</v>
      </c>
      <c r="D90" s="27" t="s">
        <v>569</v>
      </c>
      <c r="E90" s="27">
        <v>2011</v>
      </c>
      <c r="F90" s="27" t="s">
        <v>569</v>
      </c>
      <c r="G90" s="27">
        <v>1359</v>
      </c>
      <c r="H90" s="27" t="s">
        <v>569</v>
      </c>
      <c r="I90" s="27">
        <v>1359</v>
      </c>
      <c r="J90" s="27" t="s">
        <v>569</v>
      </c>
      <c r="K90" s="27">
        <f t="shared" si="1"/>
        <v>-652</v>
      </c>
    </row>
    <row r="91" spans="1:11" outlineLevel="1">
      <c r="B91" s="26" t="s">
        <v>145</v>
      </c>
      <c r="C91" s="27" t="s">
        <v>569</v>
      </c>
      <c r="D91" s="27">
        <v>3976</v>
      </c>
      <c r="E91" s="27">
        <v>3976</v>
      </c>
      <c r="F91" s="27" t="s">
        <v>569</v>
      </c>
      <c r="G91" s="27" t="s">
        <v>569</v>
      </c>
      <c r="H91" s="27">
        <v>4519</v>
      </c>
      <c r="I91" s="27">
        <v>4519</v>
      </c>
      <c r="J91" s="27" t="s">
        <v>569</v>
      </c>
      <c r="K91" s="27">
        <f t="shared" si="1"/>
        <v>543</v>
      </c>
    </row>
    <row r="92" spans="1:11" outlineLevel="1">
      <c r="B92" s="26" t="s">
        <v>143</v>
      </c>
      <c r="C92" s="27">
        <v>0</v>
      </c>
      <c r="D92" s="27" t="s">
        <v>569</v>
      </c>
      <c r="E92" s="27">
        <v>0</v>
      </c>
      <c r="F92" s="27" t="s">
        <v>569</v>
      </c>
      <c r="G92" s="27">
        <v>0</v>
      </c>
      <c r="H92" s="27" t="s">
        <v>569</v>
      </c>
      <c r="I92" s="27">
        <v>0</v>
      </c>
      <c r="J92" s="27" t="s">
        <v>569</v>
      </c>
      <c r="K92" s="27">
        <f t="shared" si="1"/>
        <v>0</v>
      </c>
    </row>
    <row r="93" spans="1:11">
      <c r="B93" s="26" t="s">
        <v>593</v>
      </c>
      <c r="C93" s="27">
        <v>2768</v>
      </c>
      <c r="D93" s="27">
        <v>3764</v>
      </c>
      <c r="E93" s="27">
        <v>6533</v>
      </c>
      <c r="F93" s="27" t="s">
        <v>569</v>
      </c>
      <c r="G93" s="27">
        <v>2366</v>
      </c>
      <c r="H93" s="27">
        <v>7357</v>
      </c>
      <c r="I93" s="27">
        <v>9723</v>
      </c>
      <c r="J93" s="27" t="s">
        <v>569</v>
      </c>
      <c r="K93" s="27">
        <f t="shared" si="1"/>
        <v>3190</v>
      </c>
    </row>
    <row r="94" spans="1:11" outlineLevel="1">
      <c r="B94" s="26" t="s">
        <v>138</v>
      </c>
      <c r="C94" s="27" t="s">
        <v>569</v>
      </c>
      <c r="D94" s="27">
        <v>3764</v>
      </c>
      <c r="E94" s="27">
        <v>3764</v>
      </c>
      <c r="F94" s="27" t="s">
        <v>569</v>
      </c>
      <c r="G94" s="27" t="s">
        <v>569</v>
      </c>
      <c r="H94" s="27">
        <v>7357</v>
      </c>
      <c r="I94" s="27">
        <v>7357</v>
      </c>
      <c r="J94" s="27" t="s">
        <v>569</v>
      </c>
      <c r="K94" s="27">
        <f t="shared" si="1"/>
        <v>3593</v>
      </c>
    </row>
    <row r="95" spans="1:11" outlineLevel="1">
      <c r="B95" s="26" t="s">
        <v>139</v>
      </c>
      <c r="C95" s="27">
        <v>951</v>
      </c>
      <c r="D95" s="27" t="s">
        <v>569</v>
      </c>
      <c r="E95" s="27">
        <v>951</v>
      </c>
      <c r="F95" s="27" t="s">
        <v>569</v>
      </c>
      <c r="G95" s="27">
        <v>750</v>
      </c>
      <c r="H95" s="27" t="s">
        <v>569</v>
      </c>
      <c r="I95" s="27">
        <v>750</v>
      </c>
      <c r="J95" s="27" t="s">
        <v>569</v>
      </c>
      <c r="K95" s="27">
        <f t="shared" si="1"/>
        <v>-201</v>
      </c>
    </row>
    <row r="96" spans="1:11" outlineLevel="1">
      <c r="B96" s="26" t="s">
        <v>140</v>
      </c>
      <c r="C96" s="27">
        <v>860</v>
      </c>
      <c r="D96" s="27" t="s">
        <v>569</v>
      </c>
      <c r="E96" s="27">
        <v>860</v>
      </c>
      <c r="F96" s="27" t="s">
        <v>569</v>
      </c>
      <c r="G96" s="27">
        <v>943</v>
      </c>
      <c r="H96" s="27" t="s">
        <v>569</v>
      </c>
      <c r="I96" s="27">
        <v>943</v>
      </c>
      <c r="J96" s="27" t="s">
        <v>569</v>
      </c>
      <c r="K96" s="27">
        <f t="shared" si="1"/>
        <v>83</v>
      </c>
    </row>
    <row r="97" spans="2:11" outlineLevel="1">
      <c r="B97" s="26" t="s">
        <v>141</v>
      </c>
      <c r="C97" s="27">
        <v>958</v>
      </c>
      <c r="D97" s="27" t="s">
        <v>569</v>
      </c>
      <c r="E97" s="27">
        <v>958</v>
      </c>
      <c r="F97" s="27" t="s">
        <v>569</v>
      </c>
      <c r="G97" s="27">
        <v>673</v>
      </c>
      <c r="H97" s="27" t="s">
        <v>569</v>
      </c>
      <c r="I97" s="27">
        <v>673</v>
      </c>
      <c r="J97" s="27" t="s">
        <v>569</v>
      </c>
      <c r="K97" s="27">
        <f t="shared" si="1"/>
        <v>-285</v>
      </c>
    </row>
    <row r="98" spans="2:11" outlineLevel="1">
      <c r="B98" s="26" t="s">
        <v>142</v>
      </c>
      <c r="C98" s="27" t="s">
        <v>569</v>
      </c>
      <c r="D98" s="27" t="s">
        <v>569</v>
      </c>
      <c r="E98" s="27" t="s">
        <v>569</v>
      </c>
      <c r="F98" s="27" t="s">
        <v>569</v>
      </c>
      <c r="G98" s="27" t="s">
        <v>569</v>
      </c>
      <c r="H98" s="27" t="s">
        <v>569</v>
      </c>
      <c r="I98" s="27" t="s">
        <v>569</v>
      </c>
      <c r="J98" s="27" t="s">
        <v>569</v>
      </c>
      <c r="K98" s="27" t="e">
        <f t="shared" si="1"/>
        <v>#VALUE!</v>
      </c>
    </row>
    <row r="99" spans="2:11">
      <c r="B99" s="26" t="s">
        <v>594</v>
      </c>
      <c r="C99" s="27">
        <v>3126</v>
      </c>
      <c r="D99" s="27">
        <v>12864</v>
      </c>
      <c r="E99" s="27">
        <v>15990</v>
      </c>
      <c r="F99" s="27" t="s">
        <v>569</v>
      </c>
      <c r="G99" s="27">
        <v>2690</v>
      </c>
      <c r="H99" s="27">
        <v>6744</v>
      </c>
      <c r="I99" s="27">
        <v>9435</v>
      </c>
      <c r="J99" s="27" t="s">
        <v>569</v>
      </c>
      <c r="K99" s="27">
        <f t="shared" si="1"/>
        <v>-6555</v>
      </c>
    </row>
    <row r="100" spans="2:11" outlineLevel="1">
      <c r="B100" s="26" t="s">
        <v>110</v>
      </c>
      <c r="C100" s="27" t="s">
        <v>569</v>
      </c>
      <c r="D100" s="27" t="s">
        <v>569</v>
      </c>
      <c r="E100" s="27" t="s">
        <v>569</v>
      </c>
      <c r="F100" s="27" t="s">
        <v>569</v>
      </c>
      <c r="G100" s="27" t="s">
        <v>569</v>
      </c>
      <c r="H100" s="27" t="s">
        <v>569</v>
      </c>
      <c r="I100" s="27" t="s">
        <v>569</v>
      </c>
      <c r="J100" s="27" t="s">
        <v>569</v>
      </c>
      <c r="K100" s="27" t="e">
        <f t="shared" si="1"/>
        <v>#VALUE!</v>
      </c>
    </row>
    <row r="101" spans="2:11" outlineLevel="1">
      <c r="B101" s="26" t="s">
        <v>111</v>
      </c>
      <c r="C101" s="27" t="s">
        <v>569</v>
      </c>
      <c r="D101" s="27" t="s">
        <v>569</v>
      </c>
      <c r="E101" s="27" t="s">
        <v>569</v>
      </c>
      <c r="F101" s="27" t="s">
        <v>569</v>
      </c>
      <c r="G101" s="27" t="s">
        <v>569</v>
      </c>
      <c r="H101" s="27" t="s">
        <v>569</v>
      </c>
      <c r="I101" s="27" t="s">
        <v>569</v>
      </c>
      <c r="J101" s="27" t="s">
        <v>569</v>
      </c>
      <c r="K101" s="27" t="e">
        <f t="shared" si="1"/>
        <v>#VALUE!</v>
      </c>
    </row>
    <row r="102" spans="2:11" outlineLevel="1">
      <c r="B102" s="26" t="s">
        <v>112</v>
      </c>
      <c r="C102" s="27" t="s">
        <v>569</v>
      </c>
      <c r="D102" s="27" t="s">
        <v>569</v>
      </c>
      <c r="E102" s="27" t="s">
        <v>569</v>
      </c>
      <c r="F102" s="27" t="s">
        <v>569</v>
      </c>
      <c r="G102" s="27" t="s">
        <v>569</v>
      </c>
      <c r="H102" s="27" t="s">
        <v>569</v>
      </c>
      <c r="I102" s="27" t="s">
        <v>569</v>
      </c>
      <c r="J102" s="27" t="s">
        <v>569</v>
      </c>
      <c r="K102" s="27" t="e">
        <f t="shared" si="1"/>
        <v>#VALUE!</v>
      </c>
    </row>
    <row r="103" spans="2:11" outlineLevel="1">
      <c r="B103" s="26" t="s">
        <v>113</v>
      </c>
      <c r="C103" s="27" t="s">
        <v>569</v>
      </c>
      <c r="D103" s="27" t="s">
        <v>569</v>
      </c>
      <c r="E103" s="27" t="s">
        <v>569</v>
      </c>
      <c r="F103" s="27" t="s">
        <v>569</v>
      </c>
      <c r="G103" s="27" t="s">
        <v>569</v>
      </c>
      <c r="H103" s="27" t="s">
        <v>569</v>
      </c>
      <c r="I103" s="27" t="s">
        <v>569</v>
      </c>
      <c r="J103" s="27" t="s">
        <v>569</v>
      </c>
      <c r="K103" s="27" t="e">
        <f t="shared" si="1"/>
        <v>#VALUE!</v>
      </c>
    </row>
    <row r="104" spans="2:11" outlineLevel="1">
      <c r="B104" s="26" t="s">
        <v>114</v>
      </c>
      <c r="C104" s="27" t="s">
        <v>569</v>
      </c>
      <c r="D104" s="27">
        <v>97</v>
      </c>
      <c r="E104" s="27">
        <v>97</v>
      </c>
      <c r="F104" s="27" t="s">
        <v>569</v>
      </c>
      <c r="G104" s="27" t="s">
        <v>569</v>
      </c>
      <c r="H104" s="27">
        <v>125</v>
      </c>
      <c r="I104" s="27">
        <v>125</v>
      </c>
      <c r="J104" s="27" t="s">
        <v>569</v>
      </c>
      <c r="K104" s="27">
        <f t="shared" si="1"/>
        <v>28</v>
      </c>
    </row>
    <row r="105" spans="2:11" outlineLevel="1">
      <c r="B105" s="26" t="s">
        <v>115</v>
      </c>
      <c r="C105" s="27" t="s">
        <v>569</v>
      </c>
      <c r="D105" s="27">
        <v>608</v>
      </c>
      <c r="E105" s="27">
        <v>608</v>
      </c>
      <c r="F105" s="27" t="s">
        <v>569</v>
      </c>
      <c r="G105" s="27" t="s">
        <v>569</v>
      </c>
      <c r="H105" s="27">
        <v>468</v>
      </c>
      <c r="I105" s="27">
        <v>468</v>
      </c>
      <c r="J105" s="27" t="s">
        <v>569</v>
      </c>
      <c r="K105" s="27">
        <f t="shared" si="1"/>
        <v>-140</v>
      </c>
    </row>
    <row r="106" spans="2:11" outlineLevel="1">
      <c r="B106" s="26" t="s">
        <v>116</v>
      </c>
      <c r="C106" s="27" t="s">
        <v>569</v>
      </c>
      <c r="D106" s="27" t="s">
        <v>569</v>
      </c>
      <c r="E106" s="27" t="s">
        <v>569</v>
      </c>
      <c r="F106" s="27" t="s">
        <v>569</v>
      </c>
      <c r="G106" s="27" t="s">
        <v>569</v>
      </c>
      <c r="H106" s="27" t="s">
        <v>569</v>
      </c>
      <c r="I106" s="27" t="s">
        <v>569</v>
      </c>
      <c r="J106" s="27" t="s">
        <v>569</v>
      </c>
      <c r="K106" s="27" t="e">
        <f t="shared" si="1"/>
        <v>#VALUE!</v>
      </c>
    </row>
    <row r="107" spans="2:11" outlineLevel="1">
      <c r="B107" s="26" t="s">
        <v>117</v>
      </c>
      <c r="C107" s="27" t="s">
        <v>569</v>
      </c>
      <c r="D107" s="27">
        <v>0</v>
      </c>
      <c r="E107" s="27">
        <v>0</v>
      </c>
      <c r="F107" s="27" t="s">
        <v>569</v>
      </c>
      <c r="G107" s="27" t="s">
        <v>569</v>
      </c>
      <c r="H107" s="27">
        <v>25</v>
      </c>
      <c r="I107" s="27">
        <v>25</v>
      </c>
      <c r="J107" s="27" t="s">
        <v>569</v>
      </c>
      <c r="K107" s="27">
        <f t="shared" si="1"/>
        <v>25</v>
      </c>
    </row>
    <row r="108" spans="2:11" outlineLevel="1">
      <c r="B108" s="26" t="s">
        <v>118</v>
      </c>
      <c r="C108" s="27">
        <v>120</v>
      </c>
      <c r="D108" s="27">
        <v>2451</v>
      </c>
      <c r="E108" s="27">
        <v>2571</v>
      </c>
      <c r="F108" s="27" t="s">
        <v>569</v>
      </c>
      <c r="G108" s="27">
        <v>194</v>
      </c>
      <c r="H108" s="27">
        <v>2464</v>
      </c>
      <c r="I108" s="27">
        <v>2658</v>
      </c>
      <c r="J108" s="27" t="s">
        <v>569</v>
      </c>
      <c r="K108" s="27">
        <f t="shared" si="1"/>
        <v>87</v>
      </c>
    </row>
    <row r="109" spans="2:11" outlineLevel="1">
      <c r="B109" s="26" t="s">
        <v>119</v>
      </c>
      <c r="C109" s="27">
        <v>756</v>
      </c>
      <c r="D109" s="27">
        <v>9653</v>
      </c>
      <c r="E109" s="27">
        <v>10409</v>
      </c>
      <c r="F109" s="27" t="s">
        <v>569</v>
      </c>
      <c r="G109" s="27">
        <v>756</v>
      </c>
      <c r="H109" s="27">
        <v>3582</v>
      </c>
      <c r="I109" s="27">
        <v>4338</v>
      </c>
      <c r="J109" s="27" t="s">
        <v>569</v>
      </c>
      <c r="K109" s="27">
        <f t="shared" si="1"/>
        <v>-6071</v>
      </c>
    </row>
    <row r="110" spans="2:11" outlineLevel="1">
      <c r="B110" s="26" t="s">
        <v>120</v>
      </c>
      <c r="C110" s="27" t="s">
        <v>569</v>
      </c>
      <c r="D110" s="27">
        <v>15</v>
      </c>
      <c r="E110" s="27">
        <v>15</v>
      </c>
      <c r="F110" s="27" t="s">
        <v>569</v>
      </c>
      <c r="G110" s="27" t="s">
        <v>569</v>
      </c>
      <c r="H110" s="27">
        <v>15</v>
      </c>
      <c r="I110" s="27">
        <v>15</v>
      </c>
      <c r="J110" s="27" t="s">
        <v>569</v>
      </c>
      <c r="K110" s="27">
        <f t="shared" si="1"/>
        <v>0</v>
      </c>
    </row>
    <row r="111" spans="2:11" outlineLevel="1">
      <c r="B111" s="26" t="s">
        <v>121</v>
      </c>
      <c r="C111" s="27">
        <v>0</v>
      </c>
      <c r="D111" s="27" t="s">
        <v>569</v>
      </c>
      <c r="E111" s="27">
        <v>0</v>
      </c>
      <c r="F111" s="27" t="s">
        <v>569</v>
      </c>
      <c r="G111" s="27">
        <v>12</v>
      </c>
      <c r="H111" s="27" t="s">
        <v>569</v>
      </c>
      <c r="I111" s="27">
        <v>12</v>
      </c>
      <c r="J111" s="27" t="s">
        <v>569</v>
      </c>
      <c r="K111" s="27">
        <f t="shared" si="1"/>
        <v>12</v>
      </c>
    </row>
    <row r="112" spans="2:11" outlineLevel="1">
      <c r="B112" s="26" t="s">
        <v>122</v>
      </c>
      <c r="C112" s="27" t="s">
        <v>569</v>
      </c>
      <c r="D112" s="27" t="s">
        <v>569</v>
      </c>
      <c r="E112" s="27" t="s">
        <v>569</v>
      </c>
      <c r="F112" s="27" t="s">
        <v>569</v>
      </c>
      <c r="G112" s="27" t="s">
        <v>569</v>
      </c>
      <c r="H112" s="27" t="s">
        <v>569</v>
      </c>
      <c r="I112" s="27" t="s">
        <v>569</v>
      </c>
      <c r="J112" s="27" t="s">
        <v>569</v>
      </c>
      <c r="K112" s="27" t="e">
        <f t="shared" si="1"/>
        <v>#VALUE!</v>
      </c>
    </row>
    <row r="113" spans="2:11" outlineLevel="1">
      <c r="B113" s="26" t="s">
        <v>123</v>
      </c>
      <c r="C113" s="27">
        <v>0</v>
      </c>
      <c r="D113" s="27" t="s">
        <v>569</v>
      </c>
      <c r="E113" s="27">
        <v>0</v>
      </c>
      <c r="F113" s="27" t="s">
        <v>569</v>
      </c>
      <c r="G113" s="27">
        <v>370</v>
      </c>
      <c r="H113" s="27" t="s">
        <v>569</v>
      </c>
      <c r="I113" s="27">
        <v>370</v>
      </c>
      <c r="J113" s="27" t="s">
        <v>569</v>
      </c>
      <c r="K113" s="27">
        <f t="shared" si="1"/>
        <v>370</v>
      </c>
    </row>
    <row r="114" spans="2:11" outlineLevel="1">
      <c r="B114" s="26" t="s">
        <v>124</v>
      </c>
      <c r="C114" s="27">
        <v>295</v>
      </c>
      <c r="D114" s="27" t="s">
        <v>569</v>
      </c>
      <c r="E114" s="27">
        <v>295</v>
      </c>
      <c r="F114" s="27" t="s">
        <v>569</v>
      </c>
      <c r="G114" s="27">
        <v>306</v>
      </c>
      <c r="H114" s="27" t="s">
        <v>569</v>
      </c>
      <c r="I114" s="27">
        <v>306</v>
      </c>
      <c r="J114" s="27" t="s">
        <v>569</v>
      </c>
      <c r="K114" s="27">
        <f t="shared" si="1"/>
        <v>11</v>
      </c>
    </row>
    <row r="115" spans="2:11" outlineLevel="1">
      <c r="B115" s="26" t="s">
        <v>125</v>
      </c>
      <c r="C115" s="27" t="s">
        <v>569</v>
      </c>
      <c r="D115" s="27" t="s">
        <v>569</v>
      </c>
      <c r="E115" s="27" t="s">
        <v>569</v>
      </c>
      <c r="F115" s="27" t="s">
        <v>569</v>
      </c>
      <c r="G115" s="27" t="s">
        <v>569</v>
      </c>
      <c r="H115" s="27" t="s">
        <v>569</v>
      </c>
      <c r="I115" s="27" t="s">
        <v>569</v>
      </c>
      <c r="J115" s="27" t="s">
        <v>569</v>
      </c>
      <c r="K115" s="27" t="e">
        <f t="shared" si="1"/>
        <v>#VALUE!</v>
      </c>
    </row>
    <row r="116" spans="2:11" outlineLevel="1">
      <c r="B116" s="26" t="s">
        <v>126</v>
      </c>
      <c r="C116" s="27" t="s">
        <v>569</v>
      </c>
      <c r="D116" s="27" t="s">
        <v>569</v>
      </c>
      <c r="E116" s="27" t="s">
        <v>569</v>
      </c>
      <c r="F116" s="27" t="s">
        <v>569</v>
      </c>
      <c r="G116" s="27" t="s">
        <v>569</v>
      </c>
      <c r="H116" s="27" t="s">
        <v>569</v>
      </c>
      <c r="I116" s="27" t="s">
        <v>569</v>
      </c>
      <c r="J116" s="27" t="s">
        <v>569</v>
      </c>
      <c r="K116" s="27" t="e">
        <f t="shared" si="1"/>
        <v>#VALUE!</v>
      </c>
    </row>
    <row r="117" spans="2:11" outlineLevel="1">
      <c r="B117" s="26" t="s">
        <v>128</v>
      </c>
      <c r="C117" s="27">
        <v>313</v>
      </c>
      <c r="D117" s="27" t="s">
        <v>569</v>
      </c>
      <c r="E117" s="27">
        <v>313</v>
      </c>
      <c r="F117" s="27" t="s">
        <v>569</v>
      </c>
      <c r="G117" s="27">
        <v>244</v>
      </c>
      <c r="H117" s="27" t="s">
        <v>569</v>
      </c>
      <c r="I117" s="27">
        <v>244</v>
      </c>
      <c r="J117" s="27" t="s">
        <v>569</v>
      </c>
      <c r="K117" s="27">
        <f t="shared" si="1"/>
        <v>-69</v>
      </c>
    </row>
    <row r="118" spans="2:11" outlineLevel="1">
      <c r="B118" s="26" t="s">
        <v>129</v>
      </c>
      <c r="C118" s="27">
        <v>500</v>
      </c>
      <c r="D118" s="27" t="s">
        <v>569</v>
      </c>
      <c r="E118" s="27">
        <v>500</v>
      </c>
      <c r="F118" s="27" t="s">
        <v>569</v>
      </c>
      <c r="G118" s="27">
        <v>500</v>
      </c>
      <c r="H118" s="27" t="s">
        <v>569</v>
      </c>
      <c r="I118" s="27">
        <v>500</v>
      </c>
      <c r="J118" s="27" t="s">
        <v>569</v>
      </c>
      <c r="K118" s="27">
        <f t="shared" si="1"/>
        <v>0</v>
      </c>
    </row>
    <row r="119" spans="2:11" outlineLevel="1">
      <c r="B119" s="26" t="s">
        <v>130</v>
      </c>
      <c r="C119" s="27" t="s">
        <v>569</v>
      </c>
      <c r="D119" s="27" t="s">
        <v>569</v>
      </c>
      <c r="E119" s="27" t="s">
        <v>569</v>
      </c>
      <c r="F119" s="27" t="s">
        <v>569</v>
      </c>
      <c r="G119" s="27" t="s">
        <v>569</v>
      </c>
      <c r="H119" s="27" t="s">
        <v>569</v>
      </c>
      <c r="I119" s="27" t="s">
        <v>569</v>
      </c>
      <c r="J119" s="27" t="s">
        <v>569</v>
      </c>
      <c r="K119" s="27" t="e">
        <f t="shared" si="1"/>
        <v>#VALUE!</v>
      </c>
    </row>
    <row r="120" spans="2:11" outlineLevel="1">
      <c r="B120" s="26" t="s">
        <v>131</v>
      </c>
      <c r="C120" s="27" t="s">
        <v>569</v>
      </c>
      <c r="D120" s="27" t="s">
        <v>569</v>
      </c>
      <c r="E120" s="27" t="s">
        <v>569</v>
      </c>
      <c r="F120" s="27" t="s">
        <v>569</v>
      </c>
      <c r="G120" s="27" t="s">
        <v>569</v>
      </c>
      <c r="H120" s="27" t="s">
        <v>569</v>
      </c>
      <c r="I120" s="27" t="s">
        <v>569</v>
      </c>
      <c r="J120" s="27" t="s">
        <v>569</v>
      </c>
      <c r="K120" s="27" t="e">
        <f t="shared" si="1"/>
        <v>#VALUE!</v>
      </c>
    </row>
    <row r="121" spans="2:11" outlineLevel="1">
      <c r="B121" s="26" t="s">
        <v>132</v>
      </c>
      <c r="C121" s="27" t="s">
        <v>569</v>
      </c>
      <c r="D121" s="27" t="s">
        <v>569</v>
      </c>
      <c r="E121" s="27" t="s">
        <v>569</v>
      </c>
      <c r="F121" s="27" t="s">
        <v>569</v>
      </c>
      <c r="G121" s="27" t="s">
        <v>569</v>
      </c>
      <c r="H121" s="27" t="s">
        <v>569</v>
      </c>
      <c r="I121" s="27" t="s">
        <v>569</v>
      </c>
      <c r="J121" s="27" t="s">
        <v>569</v>
      </c>
      <c r="K121" s="27" t="e">
        <f t="shared" si="1"/>
        <v>#VALUE!</v>
      </c>
    </row>
    <row r="122" spans="2:11" outlineLevel="1">
      <c r="B122" s="26" t="s">
        <v>133</v>
      </c>
      <c r="C122" s="27" t="s">
        <v>569</v>
      </c>
      <c r="D122" s="27" t="s">
        <v>569</v>
      </c>
      <c r="E122" s="27" t="s">
        <v>569</v>
      </c>
      <c r="F122" s="27" t="s">
        <v>569</v>
      </c>
      <c r="G122" s="27" t="s">
        <v>569</v>
      </c>
      <c r="H122" s="27" t="s">
        <v>569</v>
      </c>
      <c r="I122" s="27" t="s">
        <v>569</v>
      </c>
      <c r="J122" s="27" t="s">
        <v>569</v>
      </c>
      <c r="K122" s="27" t="e">
        <f t="shared" si="1"/>
        <v>#VALUE!</v>
      </c>
    </row>
    <row r="123" spans="2:11" outlineLevel="1">
      <c r="B123" s="26" t="s">
        <v>135</v>
      </c>
      <c r="C123" s="27">
        <v>272</v>
      </c>
      <c r="D123" s="27" t="s">
        <v>569</v>
      </c>
      <c r="E123" s="27">
        <v>272</v>
      </c>
      <c r="F123" s="27" t="s">
        <v>569</v>
      </c>
      <c r="G123" s="27" t="s">
        <v>569</v>
      </c>
      <c r="H123" s="27" t="s">
        <v>569</v>
      </c>
      <c r="I123" s="27" t="s">
        <v>569</v>
      </c>
      <c r="J123" s="27" t="s">
        <v>569</v>
      </c>
      <c r="K123" s="27" t="e">
        <f t="shared" si="1"/>
        <v>#VALUE!</v>
      </c>
    </row>
    <row r="124" spans="2:11" outlineLevel="1">
      <c r="B124" s="26" t="s">
        <v>136</v>
      </c>
      <c r="C124" s="27" t="s">
        <v>569</v>
      </c>
      <c r="D124" s="27" t="s">
        <v>569</v>
      </c>
      <c r="E124" s="27" t="s">
        <v>569</v>
      </c>
      <c r="F124" s="27" t="s">
        <v>569</v>
      </c>
      <c r="G124" s="27" t="s">
        <v>569</v>
      </c>
      <c r="H124" s="27" t="s">
        <v>569</v>
      </c>
      <c r="I124" s="27" t="s">
        <v>569</v>
      </c>
      <c r="J124" s="27" t="s">
        <v>569</v>
      </c>
      <c r="K124" s="27" t="e">
        <f t="shared" si="1"/>
        <v>#VALUE!</v>
      </c>
    </row>
    <row r="125" spans="2:11" outlineLevel="1">
      <c r="B125" s="26" t="s">
        <v>137</v>
      </c>
      <c r="C125" s="27">
        <v>816</v>
      </c>
      <c r="D125" s="27">
        <v>40</v>
      </c>
      <c r="E125" s="27">
        <v>857</v>
      </c>
      <c r="F125" s="27" t="s">
        <v>569</v>
      </c>
      <c r="G125" s="27">
        <v>309</v>
      </c>
      <c r="H125" s="27">
        <v>65</v>
      </c>
      <c r="I125" s="27">
        <v>374</v>
      </c>
      <c r="J125" s="27" t="s">
        <v>569</v>
      </c>
      <c r="K125" s="27">
        <f t="shared" si="1"/>
        <v>-483</v>
      </c>
    </row>
    <row r="126" spans="2:11" outlineLevel="1">
      <c r="B126" s="26" t="s">
        <v>595</v>
      </c>
      <c r="C126" s="27" t="s">
        <v>569</v>
      </c>
      <c r="D126" s="27" t="s">
        <v>569</v>
      </c>
      <c r="E126" s="27" t="s">
        <v>569</v>
      </c>
      <c r="F126" s="27" t="s">
        <v>569</v>
      </c>
      <c r="G126" s="27" t="s">
        <v>569</v>
      </c>
      <c r="H126" s="27" t="s">
        <v>569</v>
      </c>
      <c r="I126" s="27" t="s">
        <v>569</v>
      </c>
      <c r="J126" s="27" t="s">
        <v>569</v>
      </c>
      <c r="K126" s="27" t="e">
        <f t="shared" si="1"/>
        <v>#VALUE!</v>
      </c>
    </row>
    <row r="127" spans="2:11" outlineLevel="1">
      <c r="B127" s="26" t="s">
        <v>134</v>
      </c>
      <c r="C127" s="27" t="s">
        <v>569</v>
      </c>
      <c r="D127" s="27" t="s">
        <v>569</v>
      </c>
      <c r="E127" s="27" t="s">
        <v>569</v>
      </c>
      <c r="F127" s="27" t="s">
        <v>569</v>
      </c>
      <c r="G127" s="27" t="s">
        <v>569</v>
      </c>
      <c r="H127" s="27" t="s">
        <v>569</v>
      </c>
      <c r="I127" s="27" t="s">
        <v>569</v>
      </c>
      <c r="J127" s="27" t="s">
        <v>569</v>
      </c>
      <c r="K127" s="27" t="e">
        <f t="shared" si="1"/>
        <v>#VALUE!</v>
      </c>
    </row>
    <row r="128" spans="2:11" outlineLevel="1">
      <c r="B128" s="26" t="s">
        <v>127</v>
      </c>
      <c r="C128" s="27">
        <v>54</v>
      </c>
      <c r="D128" s="27" t="s">
        <v>569</v>
      </c>
      <c r="E128" s="27">
        <v>54</v>
      </c>
      <c r="F128" s="27" t="s">
        <v>569</v>
      </c>
      <c r="G128" s="27" t="s">
        <v>569</v>
      </c>
      <c r="H128" s="27" t="s">
        <v>569</v>
      </c>
      <c r="I128" s="27" t="s">
        <v>569</v>
      </c>
      <c r="J128" s="27" t="s">
        <v>569</v>
      </c>
      <c r="K128" s="27" t="e">
        <f t="shared" si="1"/>
        <v>#VALUE!</v>
      </c>
    </row>
    <row r="129" spans="1:11">
      <c r="B129" s="26" t="s">
        <v>19</v>
      </c>
      <c r="C129" s="27">
        <v>17635</v>
      </c>
      <c r="D129" s="27">
        <v>38026</v>
      </c>
      <c r="E129" s="27">
        <v>55661</v>
      </c>
      <c r="F129" s="27" t="s">
        <v>569</v>
      </c>
      <c r="G129" s="27">
        <v>16145</v>
      </c>
      <c r="H129" s="27">
        <v>46752</v>
      </c>
      <c r="I129" s="27">
        <v>62896</v>
      </c>
      <c r="J129" s="27" t="s">
        <v>569</v>
      </c>
      <c r="K129" s="27">
        <f t="shared" si="1"/>
        <v>7235</v>
      </c>
    </row>
    <row r="130" spans="1:11">
      <c r="A130" s="23" t="s">
        <v>569</v>
      </c>
      <c r="B130" s="24" t="s">
        <v>20</v>
      </c>
      <c r="C130" s="25">
        <v>19172</v>
      </c>
      <c r="D130" s="25">
        <v>39327</v>
      </c>
      <c r="E130" s="25">
        <v>58499</v>
      </c>
      <c r="F130" s="25">
        <v>0</v>
      </c>
      <c r="G130" s="25">
        <v>17512</v>
      </c>
      <c r="H130" s="25">
        <v>48657</v>
      </c>
      <c r="I130" s="25">
        <v>66170</v>
      </c>
      <c r="J130" s="25">
        <v>0</v>
      </c>
      <c r="K130" s="25"/>
    </row>
    <row r="131" spans="1:11">
      <c r="A131" s="23" t="s">
        <v>569</v>
      </c>
      <c r="B131" s="24" t="s">
        <v>21</v>
      </c>
      <c r="C131" s="25">
        <v>-51302</v>
      </c>
      <c r="D131" s="25">
        <v>24588</v>
      </c>
      <c r="E131" s="25">
        <v>-26714</v>
      </c>
      <c r="F131" s="25">
        <v>0</v>
      </c>
      <c r="G131" s="25">
        <v>25190</v>
      </c>
      <c r="H131" s="25">
        <v>-29821</v>
      </c>
      <c r="I131" s="25">
        <v>-4632</v>
      </c>
      <c r="J131" s="25">
        <v>0</v>
      </c>
      <c r="K131" s="25"/>
    </row>
    <row r="132" spans="1:11">
      <c r="A132" s="23" t="s">
        <v>569</v>
      </c>
      <c r="B132" s="24" t="s">
        <v>22</v>
      </c>
      <c r="C132" s="25" t="s">
        <v>628</v>
      </c>
      <c r="D132" s="25" t="s">
        <v>629</v>
      </c>
      <c r="E132" s="25" t="s">
        <v>630</v>
      </c>
      <c r="F132" s="25">
        <v>0</v>
      </c>
      <c r="G132" s="25" t="s">
        <v>624</v>
      </c>
      <c r="H132" s="25" t="s">
        <v>631</v>
      </c>
      <c r="I132" s="25" t="s">
        <v>602</v>
      </c>
      <c r="J132" s="25">
        <v>0</v>
      </c>
      <c r="K132" s="25"/>
    </row>
    <row r="133" spans="1:11">
      <c r="A133" s="23" t="s">
        <v>569</v>
      </c>
      <c r="B133" s="24" t="s">
        <v>569</v>
      </c>
      <c r="C133" s="25" t="s">
        <v>569</v>
      </c>
      <c r="D133" s="25" t="s">
        <v>569</v>
      </c>
      <c r="E133" s="25" t="s">
        <v>569</v>
      </c>
      <c r="F133" s="25" t="s">
        <v>569</v>
      </c>
      <c r="G133" s="25" t="s">
        <v>569</v>
      </c>
      <c r="H133" s="25" t="s">
        <v>569</v>
      </c>
      <c r="I133" s="25" t="s">
        <v>569</v>
      </c>
      <c r="J133" s="25" t="s">
        <v>569</v>
      </c>
      <c r="K133" s="25"/>
    </row>
    <row r="134" spans="1:11">
      <c r="B134" s="26" t="s">
        <v>603</v>
      </c>
      <c r="C134" s="27">
        <v>-8480</v>
      </c>
      <c r="D134" s="27">
        <v>2507</v>
      </c>
      <c r="E134" s="27">
        <v>-5973</v>
      </c>
      <c r="F134" s="27" t="s">
        <v>569</v>
      </c>
      <c r="G134" s="27">
        <v>-4642</v>
      </c>
      <c r="H134" s="27">
        <v>3614</v>
      </c>
      <c r="I134" s="27">
        <v>-1027</v>
      </c>
      <c r="J134" s="27" t="s">
        <v>569</v>
      </c>
      <c r="K134" s="27">
        <f t="shared" ref="K134:K147" si="2">I134-E134</f>
        <v>4946</v>
      </c>
    </row>
    <row r="135" spans="1:11" hidden="1" outlineLevel="1">
      <c r="B135" s="26" t="s">
        <v>149</v>
      </c>
      <c r="C135" s="27" t="s">
        <v>569</v>
      </c>
      <c r="D135" s="27" t="s">
        <v>569</v>
      </c>
      <c r="E135" s="27" t="s">
        <v>569</v>
      </c>
      <c r="F135" s="27" t="s">
        <v>569</v>
      </c>
      <c r="G135" s="27" t="s">
        <v>569</v>
      </c>
      <c r="H135" s="27" t="s">
        <v>569</v>
      </c>
      <c r="I135" s="27" t="s">
        <v>569</v>
      </c>
      <c r="J135" s="27" t="s">
        <v>569</v>
      </c>
      <c r="K135" s="27" t="e">
        <f t="shared" si="2"/>
        <v>#VALUE!</v>
      </c>
    </row>
    <row r="136" spans="1:11" hidden="1" outlineLevel="1">
      <c r="B136" s="26" t="s">
        <v>150</v>
      </c>
      <c r="C136" s="27">
        <v>2</v>
      </c>
      <c r="D136" s="27">
        <v>6</v>
      </c>
      <c r="E136" s="27">
        <v>8</v>
      </c>
      <c r="F136" s="27" t="s">
        <v>569</v>
      </c>
      <c r="G136" s="27">
        <v>1</v>
      </c>
      <c r="H136" s="27">
        <v>1095</v>
      </c>
      <c r="I136" s="27">
        <v>1096</v>
      </c>
      <c r="J136" s="27" t="s">
        <v>569</v>
      </c>
      <c r="K136" s="27">
        <f t="shared" si="2"/>
        <v>1088</v>
      </c>
    </row>
    <row r="137" spans="1:11" hidden="1" outlineLevel="1">
      <c r="B137" s="26" t="s">
        <v>151</v>
      </c>
      <c r="C137" s="27">
        <v>-8482</v>
      </c>
      <c r="D137" s="27" t="s">
        <v>569</v>
      </c>
      <c r="E137" s="27">
        <v>-8482</v>
      </c>
      <c r="F137" s="27" t="s">
        <v>569</v>
      </c>
      <c r="G137" s="27">
        <v>-4642</v>
      </c>
      <c r="H137" s="27" t="s">
        <v>569</v>
      </c>
      <c r="I137" s="27">
        <v>-4642</v>
      </c>
      <c r="J137" s="27" t="s">
        <v>569</v>
      </c>
      <c r="K137" s="27">
        <f t="shared" si="2"/>
        <v>3840</v>
      </c>
    </row>
    <row r="138" spans="1:11" hidden="1" outlineLevel="1">
      <c r="B138" s="26" t="s">
        <v>152</v>
      </c>
      <c r="C138" s="27" t="s">
        <v>569</v>
      </c>
      <c r="D138" s="27" t="s">
        <v>569</v>
      </c>
      <c r="E138" s="27" t="s">
        <v>569</v>
      </c>
      <c r="F138" s="27" t="s">
        <v>569</v>
      </c>
      <c r="G138" s="27" t="s">
        <v>569</v>
      </c>
      <c r="H138" s="27" t="s">
        <v>569</v>
      </c>
      <c r="I138" s="27" t="s">
        <v>569</v>
      </c>
      <c r="J138" s="27" t="s">
        <v>569</v>
      </c>
      <c r="K138" s="27" t="e">
        <f t="shared" si="2"/>
        <v>#VALUE!</v>
      </c>
    </row>
    <row r="139" spans="1:11" hidden="1" outlineLevel="1">
      <c r="B139" s="26" t="s">
        <v>154</v>
      </c>
      <c r="C139" s="27" t="s">
        <v>569</v>
      </c>
      <c r="D139" s="27">
        <v>140</v>
      </c>
      <c r="E139" s="27">
        <v>140</v>
      </c>
      <c r="F139" s="27" t="s">
        <v>569</v>
      </c>
      <c r="G139" s="27" t="s">
        <v>569</v>
      </c>
      <c r="H139" s="27">
        <v>159</v>
      </c>
      <c r="I139" s="27">
        <v>159</v>
      </c>
      <c r="J139" s="27" t="s">
        <v>569</v>
      </c>
      <c r="K139" s="27">
        <f t="shared" si="2"/>
        <v>19</v>
      </c>
    </row>
    <row r="140" spans="1:11" hidden="1" outlineLevel="1">
      <c r="B140" s="26" t="s">
        <v>604</v>
      </c>
      <c r="C140" s="27" t="s">
        <v>569</v>
      </c>
      <c r="D140" s="27" t="s">
        <v>569</v>
      </c>
      <c r="E140" s="27" t="s">
        <v>569</v>
      </c>
      <c r="F140" s="27" t="s">
        <v>569</v>
      </c>
      <c r="G140" s="27" t="s">
        <v>569</v>
      </c>
      <c r="H140" s="27" t="s">
        <v>569</v>
      </c>
      <c r="I140" s="27" t="s">
        <v>569</v>
      </c>
      <c r="J140" s="27" t="s">
        <v>569</v>
      </c>
      <c r="K140" s="27" t="e">
        <f t="shared" si="2"/>
        <v>#VALUE!</v>
      </c>
    </row>
    <row r="141" spans="1:11" hidden="1" outlineLevel="1">
      <c r="B141" s="26" t="s">
        <v>153</v>
      </c>
      <c r="C141" s="27" t="s">
        <v>569</v>
      </c>
      <c r="D141" s="27">
        <v>2360</v>
      </c>
      <c r="E141" s="27">
        <v>2360</v>
      </c>
      <c r="F141" s="27" t="s">
        <v>569</v>
      </c>
      <c r="G141" s="27" t="s">
        <v>569</v>
      </c>
      <c r="H141" s="27">
        <v>2360</v>
      </c>
      <c r="I141" s="27">
        <v>2360</v>
      </c>
      <c r="J141" s="27" t="s">
        <v>569</v>
      </c>
      <c r="K141" s="27">
        <f t="shared" si="2"/>
        <v>0</v>
      </c>
    </row>
    <row r="142" spans="1:11" collapsed="1">
      <c r="B142" s="26" t="s">
        <v>605</v>
      </c>
      <c r="C142" s="27" t="s">
        <v>569</v>
      </c>
      <c r="D142" s="27">
        <v>517</v>
      </c>
      <c r="E142" s="27">
        <v>517</v>
      </c>
      <c r="F142" s="27" t="s">
        <v>569</v>
      </c>
      <c r="G142" s="27" t="s">
        <v>569</v>
      </c>
      <c r="H142" s="27" t="s">
        <v>569</v>
      </c>
      <c r="I142" s="27">
        <v>0</v>
      </c>
      <c r="J142" s="27" t="s">
        <v>569</v>
      </c>
      <c r="K142" s="27">
        <f t="shared" si="2"/>
        <v>-517</v>
      </c>
    </row>
    <row r="143" spans="1:11" hidden="1" outlineLevel="1">
      <c r="B143" s="26" t="s">
        <v>24</v>
      </c>
      <c r="C143" s="27" t="s">
        <v>569</v>
      </c>
      <c r="D143" s="27">
        <v>517</v>
      </c>
      <c r="E143" s="27">
        <v>517</v>
      </c>
      <c r="F143" s="27" t="s">
        <v>569</v>
      </c>
      <c r="G143" s="27" t="s">
        <v>569</v>
      </c>
      <c r="H143" s="27" t="s">
        <v>569</v>
      </c>
      <c r="I143" s="27" t="s">
        <v>569</v>
      </c>
      <c r="J143" s="27" t="s">
        <v>569</v>
      </c>
      <c r="K143" s="27" t="e">
        <f t="shared" si="2"/>
        <v>#VALUE!</v>
      </c>
    </row>
    <row r="144" spans="1:11" collapsed="1">
      <c r="B144" s="26" t="s">
        <v>608</v>
      </c>
      <c r="C144" s="27" t="s">
        <v>569</v>
      </c>
      <c r="D144" s="27" t="s">
        <v>569</v>
      </c>
      <c r="E144" s="27">
        <v>0</v>
      </c>
      <c r="F144" s="27" t="s">
        <v>569</v>
      </c>
      <c r="G144" s="27" t="s">
        <v>569</v>
      </c>
      <c r="H144" s="27" t="s">
        <v>569</v>
      </c>
      <c r="I144" s="27">
        <v>0</v>
      </c>
      <c r="J144" s="27" t="s">
        <v>569</v>
      </c>
      <c r="K144" s="27">
        <f t="shared" si="2"/>
        <v>0</v>
      </c>
    </row>
    <row r="145" spans="1:11" hidden="1" outlineLevel="1">
      <c r="B145" s="26" t="s">
        <v>25</v>
      </c>
      <c r="C145" s="27" t="s">
        <v>569</v>
      </c>
      <c r="D145" s="27" t="s">
        <v>569</v>
      </c>
      <c r="E145" s="27" t="s">
        <v>569</v>
      </c>
      <c r="F145" s="27" t="s">
        <v>569</v>
      </c>
      <c r="G145" s="27" t="s">
        <v>569</v>
      </c>
      <c r="H145" s="27" t="s">
        <v>569</v>
      </c>
      <c r="I145" s="27" t="s">
        <v>569</v>
      </c>
      <c r="J145" s="27" t="s">
        <v>569</v>
      </c>
      <c r="K145" s="27" t="e">
        <f t="shared" si="2"/>
        <v>#VALUE!</v>
      </c>
    </row>
    <row r="146" spans="1:11" collapsed="1">
      <c r="B146" s="26" t="s">
        <v>609</v>
      </c>
      <c r="C146" s="27">
        <v>-8480</v>
      </c>
      <c r="D146" s="27">
        <v>3023</v>
      </c>
      <c r="E146" s="27">
        <v>-5457</v>
      </c>
      <c r="F146" s="27" t="s">
        <v>569</v>
      </c>
      <c r="G146" s="27">
        <v>-4642</v>
      </c>
      <c r="H146" s="27">
        <v>3614</v>
      </c>
      <c r="I146" s="27">
        <v>-1027</v>
      </c>
      <c r="J146" s="27" t="s">
        <v>569</v>
      </c>
      <c r="K146" s="27">
        <f t="shared" si="2"/>
        <v>4430</v>
      </c>
    </row>
    <row r="147" spans="1:11">
      <c r="A147" s="23" t="s">
        <v>569</v>
      </c>
      <c r="B147" s="24" t="s">
        <v>26</v>
      </c>
      <c r="C147" s="25">
        <v>-42822</v>
      </c>
      <c r="D147" s="25">
        <v>21564</v>
      </c>
      <c r="E147" s="25">
        <v>-21258</v>
      </c>
      <c r="F147" s="25">
        <v>0</v>
      </c>
      <c r="G147" s="25">
        <v>29831</v>
      </c>
      <c r="H147" s="25">
        <v>-33436</v>
      </c>
      <c r="I147" s="25">
        <v>-3604</v>
      </c>
      <c r="J147" s="25">
        <v>0</v>
      </c>
      <c r="K147" s="25">
        <f t="shared" si="2"/>
        <v>17654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3B3C-C00A-4DE9-BF0A-B7E041E46B8A}">
  <dimension ref="A1:I223"/>
  <sheetViews>
    <sheetView showGridLines="0" zoomScale="70" zoomScaleNormal="70" workbookViewId="0">
      <pane xSplit="2" ySplit="4" topLeftCell="C70" activePane="bottomRight" state="frozen"/>
      <selection pane="topRight" activeCell="G34" sqref="G34"/>
      <selection pane="bottomLeft" activeCell="G34" sqref="G34"/>
      <selection pane="bottomRight" activeCell="D10" sqref="D10"/>
    </sheetView>
  </sheetViews>
  <sheetFormatPr defaultColWidth="8.4140625" defaultRowHeight="15.5" outlineLevelRow="1" outlineLevelCol="1"/>
  <cols>
    <col min="1" max="1" width="1.83203125" style="31" customWidth="1"/>
    <col min="2" max="2" width="36.5" style="31" bestFit="1" customWidth="1"/>
    <col min="3" max="3" width="11.4140625" style="29" customWidth="1" outlineLevel="1"/>
    <col min="4" max="4" width="13.25" style="29" customWidth="1" outlineLevel="1"/>
    <col min="5" max="5" width="13" style="30" bestFit="1" customWidth="1"/>
    <col min="6" max="6" width="68.25" style="29" hidden="1" customWidth="1"/>
    <col min="7" max="16384" width="8.4140625" style="31"/>
  </cols>
  <sheetData>
    <row r="1" spans="2:6">
      <c r="B1" s="28" t="s">
        <v>559</v>
      </c>
    </row>
    <row r="2" spans="2:6">
      <c r="B2" s="32" t="str">
        <f ca="1">MID(CELL("filename",B1),FIND("]",CELL("filename",B1))+1,250)</f>
        <v>Jan</v>
      </c>
      <c r="C2" s="33"/>
      <c r="D2" s="33"/>
      <c r="E2" s="34"/>
    </row>
    <row r="3" spans="2:6" ht="3.65" customHeight="1"/>
    <row r="4" spans="2:6" s="39" customFormat="1" ht="28">
      <c r="B4" s="35" t="s">
        <v>0</v>
      </c>
      <c r="C4" s="36" t="s">
        <v>41</v>
      </c>
      <c r="D4" s="36" t="s">
        <v>42</v>
      </c>
      <c r="E4" s="37" t="s">
        <v>43</v>
      </c>
      <c r="F4" s="36" t="s">
        <v>610</v>
      </c>
    </row>
    <row r="5" spans="2:6" outlineLevel="1">
      <c r="B5" s="40" t="s">
        <v>1</v>
      </c>
      <c r="C5" s="41"/>
      <c r="D5" s="41"/>
      <c r="E5" s="42"/>
      <c r="F5" s="41"/>
    </row>
    <row r="6" spans="2:6" outlineLevel="1">
      <c r="B6" s="43" t="s">
        <v>2</v>
      </c>
      <c r="C6" s="44">
        <f>C77</f>
        <v>226814</v>
      </c>
      <c r="D6" s="44">
        <f>D77</f>
        <v>0</v>
      </c>
      <c r="E6" s="45">
        <f>C6+D6</f>
        <v>226814</v>
      </c>
      <c r="F6" s="44"/>
    </row>
    <row r="7" spans="2:6" s="32" customFormat="1" ht="15">
      <c r="B7" s="40" t="s">
        <v>3</v>
      </c>
      <c r="C7" s="41">
        <f>SUM(C6)</f>
        <v>226814</v>
      </c>
      <c r="D7" s="41">
        <f>SUM(D6)</f>
        <v>0</v>
      </c>
      <c r="E7" s="42">
        <f>C7+D7</f>
        <v>226814</v>
      </c>
      <c r="F7" s="41"/>
    </row>
    <row r="8" spans="2:6" outlineLevel="1">
      <c r="B8" s="43"/>
      <c r="C8" s="47"/>
      <c r="D8" s="47"/>
      <c r="E8" s="45"/>
      <c r="F8" s="47"/>
    </row>
    <row r="9" spans="2:6" outlineLevel="1">
      <c r="B9" s="40" t="s">
        <v>4</v>
      </c>
      <c r="C9" s="41"/>
      <c r="D9" s="41"/>
      <c r="E9" s="42"/>
      <c r="F9" s="41"/>
    </row>
    <row r="10" spans="2:6" ht="17.25" customHeight="1" outlineLevel="1">
      <c r="B10" s="43" t="s">
        <v>5</v>
      </c>
      <c r="C10" s="44">
        <f>C99</f>
        <v>0</v>
      </c>
      <c r="D10" s="44">
        <f>D99</f>
        <v>114851.43478260865</v>
      </c>
      <c r="E10" s="44">
        <f>E99</f>
        <v>114851.43478260865</v>
      </c>
      <c r="F10" s="49" t="s">
        <v>611</v>
      </c>
    </row>
    <row r="11" spans="2:6" s="55" customFormat="1" outlineLevel="1">
      <c r="B11" s="50" t="s">
        <v>6</v>
      </c>
      <c r="C11" s="51">
        <f>C112</f>
        <v>2000</v>
      </c>
      <c r="D11" s="51">
        <f>D112</f>
        <v>13975.718478260877</v>
      </c>
      <c r="E11" s="52">
        <f>C11+D11</f>
        <v>15975.718478260877</v>
      </c>
      <c r="F11" s="54"/>
    </row>
    <row r="12" spans="2:6" s="55" customFormat="1" outlineLevel="1">
      <c r="B12" s="50" t="s">
        <v>7</v>
      </c>
      <c r="C12" s="56">
        <f>C123</f>
        <v>3270.2300000000005</v>
      </c>
      <c r="D12" s="56">
        <f>D123</f>
        <v>1668.7610869565224</v>
      </c>
      <c r="E12" s="52">
        <f>C12+D12</f>
        <v>4938.9910869565228</v>
      </c>
      <c r="F12" s="49"/>
    </row>
    <row r="13" spans="2:6" outlineLevel="1">
      <c r="B13" s="57" t="s">
        <v>8</v>
      </c>
      <c r="C13" s="58">
        <f>C127</f>
        <v>0</v>
      </c>
      <c r="D13" s="58">
        <f>D127</f>
        <v>4438.5869565217399</v>
      </c>
      <c r="E13" s="46">
        <f>C13+D13</f>
        <v>4438.5869565217399</v>
      </c>
      <c r="F13" s="59" t="s">
        <v>612</v>
      </c>
    </row>
    <row r="14" spans="2:6" s="61" customFormat="1" outlineLevel="1">
      <c r="B14" s="57" t="s">
        <v>9</v>
      </c>
      <c r="C14" s="60">
        <f>C142</f>
        <v>14832.9</v>
      </c>
      <c r="D14" s="60">
        <f>D142</f>
        <v>5397.5485869565209</v>
      </c>
      <c r="E14" s="46">
        <f>C14+D14</f>
        <v>20230.448586956521</v>
      </c>
      <c r="F14" s="54" t="s">
        <v>613</v>
      </c>
    </row>
    <row r="15" spans="2:6">
      <c r="B15" s="40" t="s">
        <v>10</v>
      </c>
      <c r="C15" s="41">
        <f>SUM(C10:C14)</f>
        <v>20103.13</v>
      </c>
      <c r="D15" s="41">
        <f>SUM(D10:D14)</f>
        <v>140332.04989130431</v>
      </c>
      <c r="E15" s="42">
        <f>SUM(E10:E14)</f>
        <v>160435.17989130429</v>
      </c>
      <c r="F15" s="41"/>
    </row>
    <row r="16" spans="2:6">
      <c r="B16" s="40" t="s">
        <v>11</v>
      </c>
      <c r="C16" s="41">
        <f>C7-C15</f>
        <v>206710.87</v>
      </c>
      <c r="D16" s="41">
        <f>D7-D15</f>
        <v>-140332.04989130431</v>
      </c>
      <c r="E16" s="42">
        <f>E7-E15</f>
        <v>66378.820108695712</v>
      </c>
      <c r="F16" s="41"/>
    </row>
    <row r="17" spans="1:9" s="62" customFormat="1">
      <c r="B17" s="63" t="s">
        <v>12</v>
      </c>
      <c r="C17" s="64"/>
      <c r="D17" s="64"/>
      <c r="E17" s="65">
        <f>E16/E7</f>
        <v>0.29265750839320198</v>
      </c>
      <c r="F17" s="64"/>
    </row>
    <row r="18" spans="1:9" outlineLevel="1">
      <c r="B18" s="63"/>
      <c r="C18" s="41"/>
      <c r="D18" s="41"/>
      <c r="E18" s="42"/>
      <c r="F18" s="41"/>
    </row>
    <row r="19" spans="1:9" outlineLevel="1">
      <c r="B19" s="40"/>
      <c r="C19" s="41"/>
      <c r="D19" s="41"/>
      <c r="E19" s="42"/>
      <c r="F19" s="41"/>
      <c r="I19" s="32"/>
    </row>
    <row r="20" spans="1:9" outlineLevel="1">
      <c r="B20" s="40" t="s">
        <v>13</v>
      </c>
      <c r="C20" s="41"/>
      <c r="D20" s="41"/>
      <c r="E20" s="42"/>
      <c r="F20" s="41"/>
    </row>
    <row r="21" spans="1:9" s="61" customFormat="1" outlineLevel="1">
      <c r="B21" s="57" t="s">
        <v>14</v>
      </c>
      <c r="C21" s="58">
        <f>C159</f>
        <v>3440.6899999999996</v>
      </c>
      <c r="D21" s="58">
        <f>D159</f>
        <v>1759.788043478261</v>
      </c>
      <c r="E21" s="46">
        <f>C21+D21</f>
        <v>5200.4780434782606</v>
      </c>
      <c r="F21" s="53"/>
    </row>
    <row r="22" spans="1:9" outlineLevel="1">
      <c r="B22" s="40" t="s">
        <v>15</v>
      </c>
      <c r="C22" s="41"/>
      <c r="D22" s="41"/>
      <c r="E22" s="42"/>
      <c r="F22" s="41"/>
    </row>
    <row r="23" spans="1:9" s="69" customFormat="1" outlineLevel="1">
      <c r="A23" s="66"/>
      <c r="B23" s="67" t="s">
        <v>16</v>
      </c>
      <c r="C23" s="68">
        <f>C210</f>
        <v>37269.019999999997</v>
      </c>
      <c r="D23" s="68">
        <f>D210</f>
        <v>9892.1086956521704</v>
      </c>
      <c r="E23" s="68">
        <f>C23+D23</f>
        <v>47161.128695652165</v>
      </c>
      <c r="F23" s="68"/>
    </row>
    <row r="24" spans="1:9" outlineLevel="1">
      <c r="B24" s="43" t="s">
        <v>17</v>
      </c>
      <c r="C24" s="47">
        <f>C205</f>
        <v>7940.38</v>
      </c>
      <c r="D24" s="47">
        <f>D205</f>
        <v>1413.0434782608666</v>
      </c>
      <c r="E24" s="45">
        <f>C24+D24</f>
        <v>9353.4234782608673</v>
      </c>
      <c r="F24" s="70"/>
    </row>
    <row r="25" spans="1:9" outlineLevel="1">
      <c r="B25" s="57" t="s">
        <v>18</v>
      </c>
      <c r="C25" s="58">
        <f>C198</f>
        <v>11722.56</v>
      </c>
      <c r="D25" s="58">
        <f>D198</f>
        <v>2606.086956521739</v>
      </c>
      <c r="E25" s="46">
        <f>C25+D25</f>
        <v>14328.646956521738</v>
      </c>
      <c r="F25" s="48"/>
    </row>
    <row r="26" spans="1:9" ht="31" outlineLevel="1">
      <c r="B26" s="57" t="s">
        <v>614</v>
      </c>
      <c r="C26" s="58">
        <f>C190</f>
        <v>15020.47</v>
      </c>
      <c r="D26" s="58">
        <f>D190</f>
        <v>1528.3030434782604</v>
      </c>
      <c r="E26" s="46">
        <f>C26+D26</f>
        <v>16548.773043478261</v>
      </c>
      <c r="F26" s="48" t="s">
        <v>615</v>
      </c>
    </row>
    <row r="27" spans="1:9" outlineLevel="1">
      <c r="B27" s="40" t="s">
        <v>19</v>
      </c>
      <c r="C27" s="41">
        <f>SUM(C23:C26)</f>
        <v>71952.429999999993</v>
      </c>
      <c r="D27" s="41">
        <f>SUM(D23:D26)</f>
        <v>15439.542173913036</v>
      </c>
      <c r="E27" s="42">
        <f>C27+D27</f>
        <v>87391.972173913033</v>
      </c>
      <c r="F27" s="71"/>
    </row>
    <row r="28" spans="1:9" outlineLevel="1">
      <c r="B28" s="40"/>
      <c r="C28" s="41"/>
      <c r="D28" s="41"/>
      <c r="E28" s="42"/>
      <c r="F28" s="71"/>
    </row>
    <row r="29" spans="1:9">
      <c r="B29" s="40" t="s">
        <v>20</v>
      </c>
      <c r="C29" s="41">
        <f>+C21+C27</f>
        <v>75393.119999999995</v>
      </c>
      <c r="D29" s="41">
        <f>+D21+D27</f>
        <v>17199.330217391296</v>
      </c>
      <c r="E29" s="42">
        <f>C29+D29</f>
        <v>92592.450217391292</v>
      </c>
      <c r="F29" s="71"/>
    </row>
    <row r="30" spans="1:9" ht="21.75" customHeight="1">
      <c r="B30" s="40"/>
      <c r="C30" s="41"/>
      <c r="D30" s="41"/>
      <c r="E30" s="42"/>
      <c r="F30" s="71"/>
    </row>
    <row r="31" spans="1:9">
      <c r="B31" s="40" t="s">
        <v>21</v>
      </c>
      <c r="C31" s="41">
        <f>C16-C29</f>
        <v>131317.75</v>
      </c>
      <c r="D31" s="41">
        <f>D16-D29</f>
        <v>-157531.38010869559</v>
      </c>
      <c r="E31" s="42">
        <f>E16-E29</f>
        <v>-26213.630108695579</v>
      </c>
      <c r="F31" s="71"/>
    </row>
    <row r="32" spans="1:9">
      <c r="B32" s="40" t="s">
        <v>22</v>
      </c>
      <c r="C32" s="64"/>
      <c r="D32" s="64"/>
      <c r="E32" s="65">
        <f>E31/E7</f>
        <v>-0.11557324551701209</v>
      </c>
      <c r="F32" s="71"/>
    </row>
    <row r="33" spans="2:6" outlineLevel="1">
      <c r="B33" s="40"/>
      <c r="C33" s="64"/>
      <c r="D33" s="64"/>
      <c r="E33" s="65"/>
      <c r="F33" s="71"/>
    </row>
    <row r="34" spans="2:6" outlineLevel="1">
      <c r="B34" s="72" t="s">
        <v>23</v>
      </c>
      <c r="C34" s="70">
        <f>C219</f>
        <v>4889.5200000000004</v>
      </c>
      <c r="D34" s="70">
        <f>D219</f>
        <v>-6231.8295652173929</v>
      </c>
      <c r="E34" s="73">
        <f>C34+D34</f>
        <v>-1342.3095652173924</v>
      </c>
      <c r="F34" s="70"/>
    </row>
    <row r="35" spans="2:6" outlineLevel="1">
      <c r="B35" s="72" t="s">
        <v>24</v>
      </c>
      <c r="C35" s="76">
        <f>C221</f>
        <v>0</v>
      </c>
      <c r="D35" s="76">
        <f>D221</f>
        <v>0</v>
      </c>
      <c r="E35" s="73">
        <f>C35+D35</f>
        <v>0</v>
      </c>
      <c r="F35" s="76"/>
    </row>
    <row r="36" spans="2:6" outlineLevel="1">
      <c r="B36" s="72" t="s">
        <v>25</v>
      </c>
      <c r="C36" s="76">
        <f>C222</f>
        <v>0</v>
      </c>
      <c r="D36" s="76">
        <f>D222</f>
        <v>0</v>
      </c>
      <c r="E36" s="73">
        <f>C36+D36</f>
        <v>0</v>
      </c>
      <c r="F36" s="76"/>
    </row>
    <row r="37" spans="2:6" outlineLevel="1">
      <c r="B37" s="77" t="s">
        <v>19</v>
      </c>
      <c r="C37" s="78">
        <f>SUM(C34:C36)</f>
        <v>4889.5200000000004</v>
      </c>
      <c r="D37" s="78">
        <f>SUM(D34:D36)</f>
        <v>-6231.8295652173929</v>
      </c>
      <c r="E37" s="79">
        <f>C37+D37</f>
        <v>-1342.3095652173924</v>
      </c>
      <c r="F37" s="78"/>
    </row>
    <row r="38" spans="2:6" outlineLevel="1">
      <c r="B38" s="77"/>
      <c r="C38" s="78"/>
      <c r="D38" s="78"/>
      <c r="E38" s="79"/>
      <c r="F38" s="78"/>
    </row>
    <row r="39" spans="2:6" s="32" customFormat="1" ht="15">
      <c r="B39" s="80" t="s">
        <v>26</v>
      </c>
      <c r="C39" s="81">
        <f>C31-C37</f>
        <v>126428.23</v>
      </c>
      <c r="D39" s="81">
        <f>D31-D37</f>
        <v>-151299.5505434782</v>
      </c>
      <c r="E39" s="82">
        <f>E31-E37</f>
        <v>-24871.320543478185</v>
      </c>
      <c r="F39" s="81"/>
    </row>
    <row r="40" spans="2:6">
      <c r="B40" s="32"/>
      <c r="C40" s="83"/>
      <c r="D40" s="84"/>
      <c r="E40" s="85">
        <f>E39/E7</f>
        <v>-0.10965513832249414</v>
      </c>
      <c r="F40" s="84"/>
    </row>
    <row r="41" spans="2:6" hidden="1">
      <c r="B41" s="32" t="s">
        <v>27</v>
      </c>
      <c r="C41" s="84"/>
      <c r="D41" s="84"/>
      <c r="E41" s="86"/>
      <c r="F41" s="84"/>
    </row>
    <row r="42" spans="2:6" hidden="1">
      <c r="B42" s="31" t="s">
        <v>616</v>
      </c>
      <c r="C42" s="31"/>
      <c r="D42" s="87"/>
      <c r="E42" s="88">
        <f>C72</f>
        <v>226527</v>
      </c>
      <c r="F42" s="87"/>
    </row>
    <row r="43" spans="2:6" hidden="1">
      <c r="B43" s="31" t="s">
        <v>617</v>
      </c>
      <c r="C43" s="31"/>
      <c r="D43" s="87"/>
      <c r="E43" s="88">
        <v>151604.876630435</v>
      </c>
      <c r="F43" s="87"/>
    </row>
    <row r="44" spans="2:6" hidden="1">
      <c r="B44" s="31" t="s">
        <v>30</v>
      </c>
      <c r="C44" s="31"/>
      <c r="D44" s="87"/>
      <c r="E44" s="88">
        <f>C7-C39</f>
        <v>100385.77</v>
      </c>
      <c r="F44" s="87"/>
    </row>
    <row r="45" spans="2:6" s="32" customFormat="1" ht="15" hidden="1">
      <c r="B45" s="32" t="s">
        <v>31</v>
      </c>
      <c r="D45" s="84"/>
      <c r="E45" s="86">
        <f>E42-E43-E44</f>
        <v>-25463.646630435003</v>
      </c>
      <c r="F45" s="84"/>
    </row>
    <row r="46" spans="2:6" s="32" customFormat="1" ht="15" hidden="1">
      <c r="D46" s="84"/>
      <c r="E46" s="86">
        <f>E45-E39</f>
        <v>-592.32608695681847</v>
      </c>
      <c r="F46" s="84"/>
    </row>
    <row r="47" spans="2:6" s="32" customFormat="1" ht="15">
      <c r="D47" s="84"/>
      <c r="E47" s="86"/>
      <c r="F47" s="84"/>
    </row>
    <row r="48" spans="2:6" s="32" customFormat="1" ht="15">
      <c r="D48" s="84"/>
      <c r="E48" s="86"/>
      <c r="F48" s="84"/>
    </row>
    <row r="49" spans="2:6" s="32" customFormat="1">
      <c r="B49" s="31" t="s">
        <v>3</v>
      </c>
      <c r="C49" s="31"/>
      <c r="D49" s="87"/>
      <c r="E49" s="89">
        <f>E7</f>
        <v>226814</v>
      </c>
      <c r="F49" s="84"/>
    </row>
    <row r="50" spans="2:6" s="32" customFormat="1">
      <c r="B50" s="31" t="s">
        <v>32</v>
      </c>
      <c r="C50" s="31"/>
      <c r="D50" s="90"/>
      <c r="E50" s="91">
        <v>197</v>
      </c>
      <c r="F50" s="84"/>
    </row>
    <row r="51" spans="2:6" s="32" customFormat="1">
      <c r="B51" s="31" t="s">
        <v>33</v>
      </c>
      <c r="C51" s="31"/>
      <c r="D51" s="87"/>
      <c r="E51" s="91">
        <v>281</v>
      </c>
      <c r="F51" s="84"/>
    </row>
    <row r="52" spans="2:6" s="32" customFormat="1">
      <c r="B52" s="31"/>
      <c r="C52" s="31"/>
      <c r="D52" s="87"/>
      <c r="E52" s="89"/>
      <c r="F52" s="84"/>
    </row>
    <row r="53" spans="2:6" s="32" customFormat="1">
      <c r="B53" s="31"/>
      <c r="C53" s="31"/>
      <c r="D53" s="87"/>
      <c r="E53" s="89"/>
      <c r="F53" s="84"/>
    </row>
    <row r="54" spans="2:6" s="32" customFormat="1">
      <c r="B54" s="31" t="s">
        <v>34</v>
      </c>
      <c r="C54" s="31"/>
      <c r="D54" s="87"/>
      <c r="E54" s="89">
        <f>E49/E50</f>
        <v>1151.3401015228426</v>
      </c>
      <c r="F54" s="84"/>
    </row>
    <row r="55" spans="2:6" s="32" customFormat="1">
      <c r="B55" s="31" t="s">
        <v>35</v>
      </c>
      <c r="C55" s="31"/>
      <c r="D55" s="87"/>
      <c r="E55" s="89">
        <f>E15/E50</f>
        <v>814.39177609799128</v>
      </c>
      <c r="F55" s="84"/>
    </row>
    <row r="56" spans="2:6" s="32" customFormat="1">
      <c r="B56" s="32" t="s">
        <v>36</v>
      </c>
      <c r="C56" s="31"/>
      <c r="D56" s="87"/>
      <c r="E56" s="89">
        <f>E54-E55</f>
        <v>336.9483254248513</v>
      </c>
      <c r="F56" s="84"/>
    </row>
    <row r="57" spans="2:6" s="92" customFormat="1">
      <c r="C57" s="62"/>
      <c r="D57" s="93"/>
      <c r="E57" s="94">
        <f>E56/E54</f>
        <v>0.29265750839320198</v>
      </c>
      <c r="F57" s="83"/>
    </row>
    <row r="58" spans="2:6" s="92" customFormat="1">
      <c r="C58" s="62"/>
      <c r="D58" s="93"/>
      <c r="E58" s="94"/>
      <c r="F58" s="83"/>
    </row>
    <row r="59" spans="2:6" s="92" customFormat="1">
      <c r="C59" s="62"/>
      <c r="D59" s="93"/>
      <c r="E59" s="94"/>
      <c r="F59" s="83"/>
    </row>
    <row r="60" spans="2:6" s="32" customFormat="1">
      <c r="B60" s="31" t="s">
        <v>37</v>
      </c>
      <c r="C60" s="31"/>
      <c r="D60" s="87"/>
      <c r="E60" s="89">
        <f>E49/E51</f>
        <v>807.16725978647685</v>
      </c>
      <c r="F60" s="84"/>
    </row>
    <row r="61" spans="2:6" s="32" customFormat="1">
      <c r="B61" s="31" t="s">
        <v>38</v>
      </c>
      <c r="C61" s="31"/>
      <c r="D61" s="87"/>
      <c r="E61" s="89">
        <f>(E7-E39)/E51</f>
        <v>895.67729730775159</v>
      </c>
      <c r="F61" s="84"/>
    </row>
    <row r="62" spans="2:6" s="32" customFormat="1">
      <c r="B62" s="31" t="s">
        <v>39</v>
      </c>
      <c r="C62" s="31"/>
      <c r="D62" s="87"/>
      <c r="E62" s="89">
        <f>E60-E61</f>
        <v>-88.510037521274739</v>
      </c>
      <c r="F62" s="84"/>
    </row>
    <row r="63" spans="2:6" s="32" customFormat="1">
      <c r="B63" s="31"/>
      <c r="D63" s="84"/>
      <c r="E63" s="95">
        <f>E62/E60</f>
        <v>-0.10965513832249421</v>
      </c>
      <c r="F63" s="84"/>
    </row>
    <row r="64" spans="2:6" s="32" customFormat="1" ht="15">
      <c r="D64" s="84"/>
      <c r="E64" s="86"/>
      <c r="F64" s="84"/>
    </row>
    <row r="65" spans="2:6" s="32" customFormat="1" ht="15">
      <c r="D65" s="84"/>
      <c r="E65" s="86"/>
      <c r="F65" s="84"/>
    </row>
    <row r="66" spans="2:6" s="32" customFormat="1" ht="15">
      <c r="D66" s="84"/>
      <c r="E66" s="86"/>
      <c r="F66" s="84"/>
    </row>
    <row r="68" spans="2:6">
      <c r="B68" s="32" t="s">
        <v>40</v>
      </c>
    </row>
    <row r="69" spans="2:6">
      <c r="C69" s="96">
        <v>27</v>
      </c>
    </row>
    <row r="70" spans="2:6" s="39" customFormat="1" ht="28">
      <c r="B70" s="38" t="str">
        <f>B4</f>
        <v>Particulars</v>
      </c>
      <c r="C70" s="651" t="str">
        <f>C4</f>
        <v>Jan-US</v>
      </c>
      <c r="D70" s="651" t="str">
        <f>D4</f>
        <v>Jan-India</v>
      </c>
      <c r="E70" s="652" t="str">
        <f>E4</f>
        <v>Jan Consolidation</v>
      </c>
      <c r="F70" s="651" t="str">
        <f>F4</f>
        <v>Budget Remarks</v>
      </c>
    </row>
    <row r="71" spans="2:6">
      <c r="B71" s="40" t="s">
        <v>1</v>
      </c>
      <c r="C71" s="70"/>
      <c r="D71" s="70"/>
      <c r="E71" s="73"/>
      <c r="F71" s="70"/>
    </row>
    <row r="72" spans="2:6">
      <c r="B72" s="97" t="s">
        <v>2</v>
      </c>
      <c r="C72" s="70">
        <v>226527</v>
      </c>
      <c r="D72" s="70"/>
      <c r="E72" s="73">
        <f>C72+D72</f>
        <v>226527</v>
      </c>
      <c r="F72" s="70"/>
    </row>
    <row r="73" spans="2:6">
      <c r="B73" s="97" t="s">
        <v>44</v>
      </c>
      <c r="C73" s="70">
        <v>0</v>
      </c>
      <c r="D73" s="70"/>
      <c r="E73" s="73">
        <f>C73+D73</f>
        <v>0</v>
      </c>
      <c r="F73" s="70"/>
    </row>
    <row r="74" spans="2:6">
      <c r="B74" s="97" t="s">
        <v>45</v>
      </c>
      <c r="C74" s="70">
        <v>0</v>
      </c>
      <c r="D74" s="70">
        <v>0</v>
      </c>
      <c r="E74" s="73">
        <f>C74+D74</f>
        <v>0</v>
      </c>
      <c r="F74" s="70"/>
    </row>
    <row r="75" spans="2:6">
      <c r="B75" s="97" t="s">
        <v>46</v>
      </c>
      <c r="C75" s="70">
        <v>0</v>
      </c>
      <c r="D75" s="70">
        <v>0</v>
      </c>
      <c r="E75" s="73">
        <f>C75+D75</f>
        <v>0</v>
      </c>
      <c r="F75" s="70"/>
    </row>
    <row r="76" spans="2:6">
      <c r="B76" s="97" t="s">
        <v>47</v>
      </c>
      <c r="C76" s="70">
        <v>287</v>
      </c>
      <c r="D76" s="70"/>
      <c r="E76" s="73">
        <f>C76+D76</f>
        <v>287</v>
      </c>
      <c r="F76" s="70"/>
    </row>
    <row r="77" spans="2:6" s="32" customFormat="1" ht="15">
      <c r="B77" s="98" t="s">
        <v>48</v>
      </c>
      <c r="C77" s="78">
        <f>SUM(C72:C76)</f>
        <v>226814</v>
      </c>
      <c r="D77" s="78">
        <f>SUM(D72:D76)</f>
        <v>0</v>
      </c>
      <c r="E77" s="79">
        <f>SUM(E72:E76)</f>
        <v>226814</v>
      </c>
      <c r="F77" s="78"/>
    </row>
    <row r="78" spans="2:6">
      <c r="B78" s="98"/>
      <c r="C78" s="70"/>
      <c r="D78" s="70"/>
      <c r="E78" s="73"/>
      <c r="F78" s="70"/>
    </row>
    <row r="79" spans="2:6">
      <c r="B79" s="99" t="s">
        <v>5</v>
      </c>
      <c r="C79" s="70"/>
      <c r="D79" s="70"/>
      <c r="E79" s="73"/>
      <c r="F79" s="70"/>
    </row>
    <row r="80" spans="2:6">
      <c r="B80" s="59" t="s">
        <v>29</v>
      </c>
      <c r="C80" s="70"/>
      <c r="D80" s="70"/>
      <c r="E80" s="73"/>
      <c r="F80" s="70"/>
    </row>
    <row r="81" spans="2:6">
      <c r="B81" s="59" t="s">
        <v>49</v>
      </c>
      <c r="C81" s="70">
        <v>0</v>
      </c>
      <c r="D81" s="70">
        <v>0</v>
      </c>
      <c r="E81" s="73">
        <f>C81+D81</f>
        <v>0</v>
      </c>
      <c r="F81" s="70"/>
    </row>
    <row r="82" spans="2:6">
      <c r="B82" s="59" t="s">
        <v>50</v>
      </c>
      <c r="C82" s="70">
        <v>0</v>
      </c>
      <c r="D82" s="70">
        <v>65898.684782608703</v>
      </c>
      <c r="E82" s="73">
        <f>C82+D82</f>
        <v>65898.684782608703</v>
      </c>
      <c r="F82" s="70"/>
    </row>
    <row r="83" spans="2:6">
      <c r="B83" s="59" t="s">
        <v>51</v>
      </c>
      <c r="C83" s="70">
        <v>0</v>
      </c>
      <c r="D83" s="70">
        <v>37200.967391304301</v>
      </c>
      <c r="E83" s="73">
        <f>C83+D83</f>
        <v>37200.967391304301</v>
      </c>
      <c r="F83" s="70"/>
    </row>
    <row r="84" spans="2:6">
      <c r="B84" s="49" t="s">
        <v>52</v>
      </c>
      <c r="C84" s="70">
        <v>0</v>
      </c>
      <c r="D84" s="70">
        <v>0</v>
      </c>
      <c r="E84" s="73">
        <f>C84+D84</f>
        <v>0</v>
      </c>
      <c r="F84" s="71"/>
    </row>
    <row r="85" spans="2:6">
      <c r="B85" s="59" t="s">
        <v>53</v>
      </c>
      <c r="C85" s="70">
        <v>0</v>
      </c>
      <c r="D85" s="70">
        <v>0</v>
      </c>
      <c r="E85" s="76">
        <f>C85+D85</f>
        <v>0</v>
      </c>
      <c r="F85" s="100"/>
    </row>
    <row r="86" spans="2:6" s="32" customFormat="1" ht="15">
      <c r="B86" s="99" t="s">
        <v>618</v>
      </c>
      <c r="C86" s="78">
        <f>SUM(C81:C85)</f>
        <v>0</v>
      </c>
      <c r="D86" s="78">
        <f>SUM(D81:D85)</f>
        <v>103099.652173913</v>
      </c>
      <c r="E86" s="79">
        <f>SUM(E81:E85)</f>
        <v>103099.652173913</v>
      </c>
      <c r="F86" s="78"/>
    </row>
    <row r="87" spans="2:6" s="32" customFormat="1" ht="15">
      <c r="B87" s="99"/>
      <c r="C87" s="78"/>
      <c r="D87" s="78"/>
      <c r="E87" s="79"/>
      <c r="F87" s="78"/>
    </row>
    <row r="88" spans="2:6" s="32" customFormat="1" ht="15">
      <c r="B88" s="99" t="s">
        <v>54</v>
      </c>
      <c r="C88" s="78"/>
      <c r="D88" s="78"/>
      <c r="E88" s="79"/>
      <c r="F88" s="78"/>
    </row>
    <row r="89" spans="2:6">
      <c r="B89" s="59" t="s">
        <v>55</v>
      </c>
      <c r="C89" s="70">
        <v>0</v>
      </c>
      <c r="D89" s="70">
        <v>82.630434782608702</v>
      </c>
      <c r="E89" s="73">
        <f t="shared" ref="E89:E97" si="0">C89+D89</f>
        <v>82.630434782608702</v>
      </c>
      <c r="F89" s="70"/>
    </row>
    <row r="90" spans="2:6">
      <c r="B90" s="59" t="s">
        <v>56</v>
      </c>
      <c r="C90" s="70">
        <v>0</v>
      </c>
      <c r="D90" s="70">
        <v>406.91304347826099</v>
      </c>
      <c r="E90" s="73">
        <f t="shared" si="0"/>
        <v>406.91304347826099</v>
      </c>
      <c r="F90" s="70"/>
    </row>
    <row r="91" spans="2:6">
      <c r="B91" s="59" t="s">
        <v>57</v>
      </c>
      <c r="C91" s="70">
        <v>0</v>
      </c>
      <c r="D91" s="70">
        <v>5078.7173913043498</v>
      </c>
      <c r="E91" s="73">
        <f t="shared" si="0"/>
        <v>5078.7173913043498</v>
      </c>
      <c r="F91" s="70"/>
    </row>
    <row r="92" spans="2:6">
      <c r="B92" s="59" t="s">
        <v>58</v>
      </c>
      <c r="C92" s="70">
        <v>0</v>
      </c>
      <c r="D92" s="70">
        <v>356.89130434782601</v>
      </c>
      <c r="E92" s="73">
        <f t="shared" si="0"/>
        <v>356.89130434782601</v>
      </c>
      <c r="F92" s="70"/>
    </row>
    <row r="93" spans="2:6">
      <c r="B93" s="59" t="s">
        <v>59</v>
      </c>
      <c r="C93" s="70">
        <v>0</v>
      </c>
      <c r="D93" s="70">
        <v>5078.7173913043498</v>
      </c>
      <c r="E93" s="73">
        <f t="shared" si="0"/>
        <v>5078.7173913043498</v>
      </c>
      <c r="F93" s="70"/>
    </row>
    <row r="94" spans="2:6">
      <c r="B94" s="59" t="s">
        <v>60</v>
      </c>
      <c r="C94" s="70">
        <v>0</v>
      </c>
      <c r="D94" s="70">
        <v>747.91304347826099</v>
      </c>
      <c r="E94" s="73">
        <f t="shared" si="0"/>
        <v>747.91304347826099</v>
      </c>
      <c r="F94" s="70"/>
    </row>
    <row r="95" spans="2:6">
      <c r="B95" s="59" t="s">
        <v>61</v>
      </c>
      <c r="C95" s="70">
        <v>0</v>
      </c>
      <c r="D95" s="70">
        <v>0</v>
      </c>
      <c r="E95" s="73">
        <f t="shared" si="0"/>
        <v>0</v>
      </c>
      <c r="F95" s="70"/>
    </row>
    <row r="96" spans="2:6">
      <c r="B96" s="59" t="s">
        <v>62</v>
      </c>
      <c r="C96" s="70">
        <v>0</v>
      </c>
      <c r="D96" s="70">
        <v>0</v>
      </c>
      <c r="E96" s="73">
        <f t="shared" si="0"/>
        <v>0</v>
      </c>
      <c r="F96" s="70"/>
    </row>
    <row r="97" spans="2:6" s="32" customFormat="1" ht="15">
      <c r="B97" s="99" t="s">
        <v>19</v>
      </c>
      <c r="C97" s="78">
        <f>SUM(C88:C96)</f>
        <v>0</v>
      </c>
      <c r="D97" s="78">
        <f>SUM(D88:D96)</f>
        <v>11751.782608695656</v>
      </c>
      <c r="E97" s="79">
        <f t="shared" si="0"/>
        <v>11751.782608695656</v>
      </c>
      <c r="F97" s="78"/>
    </row>
    <row r="98" spans="2:6" s="32" customFormat="1" ht="15">
      <c r="B98" s="99"/>
      <c r="C98" s="78"/>
      <c r="D98" s="78"/>
      <c r="E98" s="79"/>
      <c r="F98" s="78"/>
    </row>
    <row r="99" spans="2:6" s="32" customFormat="1" ht="15">
      <c r="B99" s="99" t="s">
        <v>63</v>
      </c>
      <c r="C99" s="78">
        <f>C86+C97</f>
        <v>0</v>
      </c>
      <c r="D99" s="78">
        <f>D86+D97</f>
        <v>114851.43478260865</v>
      </c>
      <c r="E99" s="79">
        <f>E86+E97</f>
        <v>114851.43478260865</v>
      </c>
      <c r="F99" s="78"/>
    </row>
    <row r="100" spans="2:6">
      <c r="B100" s="98"/>
      <c r="C100" s="70"/>
      <c r="D100" s="70"/>
      <c r="E100" s="73"/>
      <c r="F100" s="70"/>
    </row>
    <row r="101" spans="2:6">
      <c r="B101" s="99" t="s">
        <v>6</v>
      </c>
      <c r="C101" s="70"/>
      <c r="D101" s="70"/>
      <c r="E101" s="73"/>
      <c r="F101" s="70"/>
    </row>
    <row r="102" spans="2:6">
      <c r="B102" s="101" t="s">
        <v>64</v>
      </c>
      <c r="C102" s="70">
        <v>0</v>
      </c>
      <c r="D102" s="70">
        <v>0</v>
      </c>
      <c r="E102" s="73">
        <f t="shared" ref="E102:E112" si="1">C102+D102</f>
        <v>0</v>
      </c>
      <c r="F102" s="70"/>
    </row>
    <row r="103" spans="2:6">
      <c r="B103" s="101" t="s">
        <v>65</v>
      </c>
      <c r="C103" s="70">
        <v>0</v>
      </c>
      <c r="D103" s="70">
        <v>1968.04347826087</v>
      </c>
      <c r="E103" s="73">
        <f t="shared" si="1"/>
        <v>1968.04347826087</v>
      </c>
      <c r="F103" s="70"/>
    </row>
    <row r="104" spans="2:6">
      <c r="B104" s="101" t="s">
        <v>66</v>
      </c>
      <c r="C104" s="70">
        <v>0</v>
      </c>
      <c r="D104" s="70">
        <v>0</v>
      </c>
      <c r="E104" s="73">
        <f t="shared" si="1"/>
        <v>0</v>
      </c>
      <c r="F104" s="70"/>
    </row>
    <row r="105" spans="2:6">
      <c r="B105" s="101" t="s">
        <v>67</v>
      </c>
      <c r="C105" s="70">
        <v>0</v>
      </c>
      <c r="D105" s="70">
        <v>743.04347826086996</v>
      </c>
      <c r="E105" s="73">
        <f t="shared" si="1"/>
        <v>743.04347826086996</v>
      </c>
      <c r="F105" s="70"/>
    </row>
    <row r="106" spans="2:6">
      <c r="B106" s="101" t="s">
        <v>68</v>
      </c>
      <c r="C106" s="70">
        <v>0</v>
      </c>
      <c r="D106" s="70">
        <v>4301.8369565217399</v>
      </c>
      <c r="E106" s="73">
        <f t="shared" si="1"/>
        <v>4301.8369565217399</v>
      </c>
      <c r="F106" s="70"/>
    </row>
    <row r="107" spans="2:6">
      <c r="B107" s="101" t="s">
        <v>69</v>
      </c>
      <c r="C107" s="70">
        <v>0</v>
      </c>
      <c r="D107" s="70">
        <v>2057.9032608695702</v>
      </c>
      <c r="E107" s="73">
        <f t="shared" si="1"/>
        <v>2057.9032608695702</v>
      </c>
      <c r="F107" s="70"/>
    </row>
    <row r="108" spans="2:6">
      <c r="B108" s="101" t="s">
        <v>70</v>
      </c>
      <c r="C108" s="70">
        <v>0</v>
      </c>
      <c r="D108" s="70">
        <v>271.73913043478302</v>
      </c>
      <c r="E108" s="73">
        <f t="shared" si="1"/>
        <v>271.73913043478302</v>
      </c>
      <c r="F108" s="70"/>
    </row>
    <row r="109" spans="2:6">
      <c r="B109" s="101" t="s">
        <v>71</v>
      </c>
      <c r="C109" s="70">
        <v>0</v>
      </c>
      <c r="D109" s="70">
        <v>285.32608695652198</v>
      </c>
      <c r="E109" s="73">
        <f t="shared" si="1"/>
        <v>285.32608695652198</v>
      </c>
      <c r="F109" s="70"/>
    </row>
    <row r="110" spans="2:6">
      <c r="B110" s="101" t="s">
        <v>72</v>
      </c>
      <c r="C110" s="70">
        <v>0</v>
      </c>
      <c r="D110" s="70">
        <v>4347.8260869565202</v>
      </c>
      <c r="E110" s="73">
        <f t="shared" si="1"/>
        <v>4347.8260869565202</v>
      </c>
      <c r="F110" s="70"/>
    </row>
    <row r="111" spans="2:6">
      <c r="B111" s="101" t="s">
        <v>73</v>
      </c>
      <c r="C111" s="70">
        <v>2000</v>
      </c>
      <c r="D111" s="70">
        <v>0</v>
      </c>
      <c r="E111" s="73">
        <f t="shared" si="1"/>
        <v>2000</v>
      </c>
      <c r="F111" s="70"/>
    </row>
    <row r="112" spans="2:6" s="32" customFormat="1" ht="15">
      <c r="B112" s="99" t="s">
        <v>19</v>
      </c>
      <c r="C112" s="78">
        <f>SUM(C102:C111)</f>
        <v>2000</v>
      </c>
      <c r="D112" s="78">
        <f>SUM(D102:D111)</f>
        <v>13975.718478260877</v>
      </c>
      <c r="E112" s="79">
        <f t="shared" si="1"/>
        <v>15975.718478260877</v>
      </c>
      <c r="F112" s="78"/>
    </row>
    <row r="113" spans="2:6" s="32" customFormat="1" ht="15">
      <c r="B113" s="99"/>
      <c r="C113" s="78"/>
      <c r="D113" s="78"/>
      <c r="E113" s="79"/>
      <c r="F113" s="78"/>
    </row>
    <row r="114" spans="2:6" s="32" customFormat="1" ht="15">
      <c r="B114" s="99"/>
      <c r="C114" s="78"/>
      <c r="D114" s="78"/>
      <c r="E114" s="79"/>
      <c r="F114" s="78"/>
    </row>
    <row r="115" spans="2:6">
      <c r="B115" s="99" t="s">
        <v>74</v>
      </c>
      <c r="C115" s="70"/>
      <c r="D115" s="70"/>
      <c r="E115" s="73"/>
      <c r="F115" s="70"/>
    </row>
    <row r="116" spans="2:6">
      <c r="B116" s="59" t="s">
        <v>75</v>
      </c>
      <c r="C116" s="70">
        <v>2335.84</v>
      </c>
      <c r="D116" s="70">
        <v>0</v>
      </c>
      <c r="E116" s="73">
        <f t="shared" ref="E116:E123" si="2">C116+D116</f>
        <v>2335.84</v>
      </c>
      <c r="F116" s="70"/>
    </row>
    <row r="117" spans="2:6">
      <c r="B117" s="59" t="s">
        <v>76</v>
      </c>
      <c r="C117" s="70">
        <v>435.09</v>
      </c>
      <c r="D117" s="70">
        <v>0</v>
      </c>
      <c r="E117" s="74">
        <f t="shared" si="2"/>
        <v>435.09</v>
      </c>
      <c r="F117" s="71"/>
    </row>
    <row r="118" spans="2:6">
      <c r="B118" s="59" t="s">
        <v>77</v>
      </c>
      <c r="C118" s="70">
        <v>0</v>
      </c>
      <c r="D118" s="70">
        <v>0</v>
      </c>
      <c r="E118" s="73">
        <f t="shared" si="2"/>
        <v>0</v>
      </c>
      <c r="F118" s="70"/>
    </row>
    <row r="119" spans="2:6" s="61" customFormat="1">
      <c r="B119" s="59" t="s">
        <v>78</v>
      </c>
      <c r="C119" s="70">
        <v>0</v>
      </c>
      <c r="D119" s="70">
        <v>988.99130434782603</v>
      </c>
      <c r="E119" s="74">
        <f t="shared" si="2"/>
        <v>988.99130434782603</v>
      </c>
      <c r="F119" s="71"/>
    </row>
    <row r="120" spans="2:6">
      <c r="B120" s="59" t="s">
        <v>79</v>
      </c>
      <c r="C120" s="70">
        <v>499.3</v>
      </c>
      <c r="D120" s="70">
        <v>466.48913043478302</v>
      </c>
      <c r="E120" s="73">
        <f t="shared" si="2"/>
        <v>965.78913043478303</v>
      </c>
      <c r="F120" s="75"/>
    </row>
    <row r="121" spans="2:6">
      <c r="B121" s="59" t="s">
        <v>74</v>
      </c>
      <c r="C121" s="70">
        <v>0</v>
      </c>
      <c r="D121" s="70">
        <v>24.150217391304299</v>
      </c>
      <c r="E121" s="74">
        <f t="shared" si="2"/>
        <v>24.150217391304299</v>
      </c>
      <c r="F121" s="70"/>
    </row>
    <row r="122" spans="2:6">
      <c r="B122" s="59" t="s">
        <v>80</v>
      </c>
      <c r="C122" s="70">
        <v>0</v>
      </c>
      <c r="D122" s="70">
        <v>189.130434782609</v>
      </c>
      <c r="E122" s="73">
        <f t="shared" si="2"/>
        <v>189.130434782609</v>
      </c>
      <c r="F122" s="70"/>
    </row>
    <row r="123" spans="2:6" s="32" customFormat="1" ht="15">
      <c r="B123" s="99" t="s">
        <v>19</v>
      </c>
      <c r="C123" s="78">
        <f>SUM(C116:C122)</f>
        <v>3270.2300000000005</v>
      </c>
      <c r="D123" s="78">
        <f>SUM(D116:D122)</f>
        <v>1668.7610869565224</v>
      </c>
      <c r="E123" s="79">
        <f t="shared" si="2"/>
        <v>4938.9910869565228</v>
      </c>
      <c r="F123" s="78"/>
    </row>
    <row r="124" spans="2:6">
      <c r="B124" s="99"/>
      <c r="C124" s="70"/>
      <c r="D124" s="70"/>
      <c r="E124" s="73"/>
      <c r="F124" s="70"/>
    </row>
    <row r="125" spans="2:6">
      <c r="B125" s="99" t="s">
        <v>81</v>
      </c>
      <c r="C125" s="70"/>
      <c r="D125" s="70"/>
      <c r="E125" s="73"/>
      <c r="F125" s="70"/>
    </row>
    <row r="126" spans="2:6">
      <c r="B126" s="59" t="s">
        <v>82</v>
      </c>
      <c r="C126" s="70">
        <v>0</v>
      </c>
      <c r="D126" s="70">
        <v>4438.5869565217399</v>
      </c>
      <c r="E126" s="73">
        <f>C126+D126</f>
        <v>4438.5869565217399</v>
      </c>
      <c r="F126" s="70"/>
    </row>
    <row r="127" spans="2:6" s="32" customFormat="1" ht="15">
      <c r="B127" s="99" t="s">
        <v>19</v>
      </c>
      <c r="C127" s="78">
        <f>SUM(C126)</f>
        <v>0</v>
      </c>
      <c r="D127" s="78">
        <f>SUM(D126)</f>
        <v>4438.5869565217399</v>
      </c>
      <c r="E127" s="79">
        <f>C127+D127</f>
        <v>4438.5869565217399</v>
      </c>
      <c r="F127" s="78"/>
    </row>
    <row r="128" spans="2:6">
      <c r="B128" s="99"/>
      <c r="C128" s="70"/>
      <c r="D128" s="70"/>
      <c r="E128" s="73"/>
      <c r="F128" s="70"/>
    </row>
    <row r="129" spans="2:6">
      <c r="B129" s="99" t="s">
        <v>83</v>
      </c>
      <c r="C129" s="70"/>
      <c r="D129" s="70"/>
      <c r="E129" s="73"/>
      <c r="F129" s="70"/>
    </row>
    <row r="130" spans="2:6">
      <c r="B130" s="59" t="s">
        <v>84</v>
      </c>
      <c r="C130" s="70">
        <v>0</v>
      </c>
      <c r="D130" s="70">
        <v>0</v>
      </c>
      <c r="E130" s="73">
        <f t="shared" ref="E130:E142" si="3">C130+D130</f>
        <v>0</v>
      </c>
      <c r="F130" s="70"/>
    </row>
    <row r="131" spans="2:6">
      <c r="B131" s="59" t="s">
        <v>85</v>
      </c>
      <c r="C131" s="70">
        <v>0</v>
      </c>
      <c r="D131" s="70">
        <v>755.83695652173901</v>
      </c>
      <c r="E131" s="73">
        <f t="shared" si="3"/>
        <v>755.83695652173901</v>
      </c>
      <c r="F131" s="70"/>
    </row>
    <row r="132" spans="2:6">
      <c r="B132" s="59" t="s">
        <v>86</v>
      </c>
      <c r="C132" s="70">
        <v>0</v>
      </c>
      <c r="D132" s="70">
        <v>0</v>
      </c>
      <c r="E132" s="73">
        <f t="shared" si="3"/>
        <v>0</v>
      </c>
      <c r="F132" s="70"/>
    </row>
    <row r="133" spans="2:6">
      <c r="B133" s="59" t="s">
        <v>87</v>
      </c>
      <c r="C133" s="70">
        <v>14832.9</v>
      </c>
      <c r="D133" s="70">
        <v>0</v>
      </c>
      <c r="E133" s="103">
        <f t="shared" si="3"/>
        <v>14832.9</v>
      </c>
      <c r="F133" s="102"/>
    </row>
    <row r="134" spans="2:6">
      <c r="B134" s="59" t="s">
        <v>88</v>
      </c>
      <c r="C134" s="70">
        <v>0</v>
      </c>
      <c r="D134" s="70">
        <v>364.23902173913001</v>
      </c>
      <c r="E134" s="73">
        <f t="shared" si="3"/>
        <v>364.23902173913001</v>
      </c>
      <c r="F134" s="75"/>
    </row>
    <row r="135" spans="2:6">
      <c r="B135" s="59" t="s">
        <v>89</v>
      </c>
      <c r="C135" s="70">
        <v>0</v>
      </c>
      <c r="D135" s="70">
        <v>0</v>
      </c>
      <c r="E135" s="103">
        <f t="shared" si="3"/>
        <v>0</v>
      </c>
      <c r="F135" s="102"/>
    </row>
    <row r="136" spans="2:6">
      <c r="B136" s="59" t="s">
        <v>90</v>
      </c>
      <c r="C136" s="70">
        <v>0</v>
      </c>
      <c r="D136" s="70">
        <v>0</v>
      </c>
      <c r="E136" s="73">
        <f t="shared" si="3"/>
        <v>0</v>
      </c>
      <c r="F136" s="71"/>
    </row>
    <row r="137" spans="2:6" s="55" customFormat="1">
      <c r="B137" s="104" t="s">
        <v>91</v>
      </c>
      <c r="C137" s="70">
        <v>0</v>
      </c>
      <c r="D137" s="70">
        <v>418.62478260869602</v>
      </c>
      <c r="E137" s="105">
        <f t="shared" si="3"/>
        <v>418.62478260869602</v>
      </c>
      <c r="F137" s="71"/>
    </row>
    <row r="138" spans="2:6" s="55" customFormat="1">
      <c r="B138" s="104" t="s">
        <v>92</v>
      </c>
      <c r="C138" s="70">
        <v>0</v>
      </c>
      <c r="D138" s="70">
        <v>638.68478260869597</v>
      </c>
      <c r="E138" s="105">
        <f t="shared" si="3"/>
        <v>638.68478260869597</v>
      </c>
      <c r="F138" s="71"/>
    </row>
    <row r="139" spans="2:6" s="55" customFormat="1">
      <c r="B139" s="104" t="s">
        <v>93</v>
      </c>
      <c r="C139" s="70">
        <v>0</v>
      </c>
      <c r="D139" s="70">
        <v>0</v>
      </c>
      <c r="E139" s="105">
        <f t="shared" si="3"/>
        <v>0</v>
      </c>
      <c r="F139" s="71"/>
    </row>
    <row r="140" spans="2:6" s="55" customFormat="1">
      <c r="B140" s="104" t="s">
        <v>94</v>
      </c>
      <c r="C140" s="70">
        <v>0</v>
      </c>
      <c r="D140" s="70">
        <v>0</v>
      </c>
      <c r="E140" s="105">
        <f t="shared" si="3"/>
        <v>0</v>
      </c>
      <c r="F140" s="71"/>
    </row>
    <row r="141" spans="2:6">
      <c r="B141" s="59" t="s">
        <v>95</v>
      </c>
      <c r="C141" s="70">
        <v>0</v>
      </c>
      <c r="D141" s="70">
        <v>3220.1630434782601</v>
      </c>
      <c r="E141" s="73">
        <f t="shared" si="3"/>
        <v>3220.1630434782601</v>
      </c>
      <c r="F141" s="71"/>
    </row>
    <row r="142" spans="2:6" s="32" customFormat="1" ht="15">
      <c r="B142" s="99" t="s">
        <v>19</v>
      </c>
      <c r="C142" s="78">
        <f>SUM(C130:C141)</f>
        <v>14832.9</v>
      </c>
      <c r="D142" s="78">
        <f>SUM(D130:D141)</f>
        <v>5397.5485869565209</v>
      </c>
      <c r="E142" s="79">
        <f t="shared" si="3"/>
        <v>20230.448586956521</v>
      </c>
      <c r="F142" s="78"/>
    </row>
    <row r="143" spans="2:6">
      <c r="B143" s="99"/>
      <c r="C143" s="70"/>
      <c r="D143" s="70"/>
      <c r="E143" s="73"/>
      <c r="F143" s="70"/>
    </row>
    <row r="144" spans="2:6">
      <c r="B144" s="106" t="s">
        <v>13</v>
      </c>
      <c r="C144" s="70"/>
      <c r="D144" s="70"/>
      <c r="E144" s="73"/>
      <c r="F144" s="70"/>
    </row>
    <row r="145" spans="2:6">
      <c r="B145" s="106" t="s">
        <v>14</v>
      </c>
      <c r="C145" s="70"/>
      <c r="D145" s="70"/>
      <c r="E145" s="73"/>
      <c r="F145" s="70"/>
    </row>
    <row r="146" spans="2:6" s="61" customFormat="1">
      <c r="B146" s="59" t="s">
        <v>96</v>
      </c>
      <c r="C146" s="70">
        <v>1498.83</v>
      </c>
      <c r="D146" s="70">
        <v>0</v>
      </c>
      <c r="E146" s="74">
        <f t="shared" ref="E146:E159" si="4">C146+D146</f>
        <v>1498.83</v>
      </c>
      <c r="F146" s="71"/>
    </row>
    <row r="147" spans="2:6">
      <c r="B147" s="59" t="s">
        <v>97</v>
      </c>
      <c r="C147" s="70">
        <v>0</v>
      </c>
      <c r="D147" s="70">
        <v>0</v>
      </c>
      <c r="E147" s="73">
        <f t="shared" si="4"/>
        <v>0</v>
      </c>
      <c r="F147" s="70"/>
    </row>
    <row r="148" spans="2:6">
      <c r="B148" s="59" t="s">
        <v>98</v>
      </c>
      <c r="C148" s="70">
        <v>0</v>
      </c>
      <c r="D148" s="70">
        <v>0</v>
      </c>
      <c r="E148" s="103">
        <f t="shared" si="4"/>
        <v>0</v>
      </c>
      <c r="F148" s="102"/>
    </row>
    <row r="149" spans="2:6">
      <c r="B149" s="59" t="s">
        <v>99</v>
      </c>
      <c r="C149" s="70">
        <v>579.89</v>
      </c>
      <c r="D149" s="70">
        <v>25.288043478260899</v>
      </c>
      <c r="E149" s="103">
        <f t="shared" si="4"/>
        <v>605.17804347826086</v>
      </c>
      <c r="F149" s="102"/>
    </row>
    <row r="150" spans="2:6" s="61" customFormat="1">
      <c r="B150" s="59" t="s">
        <v>100</v>
      </c>
      <c r="C150" s="70">
        <v>0</v>
      </c>
      <c r="D150" s="70">
        <v>0</v>
      </c>
      <c r="E150" s="74">
        <f t="shared" si="4"/>
        <v>0</v>
      </c>
      <c r="F150" s="71"/>
    </row>
    <row r="151" spans="2:6" s="61" customFormat="1">
      <c r="B151" s="59" t="s">
        <v>101</v>
      </c>
      <c r="C151" s="70">
        <v>0</v>
      </c>
      <c r="D151" s="70">
        <v>0</v>
      </c>
      <c r="E151" s="74">
        <f t="shared" si="4"/>
        <v>0</v>
      </c>
      <c r="F151" s="71"/>
    </row>
    <row r="152" spans="2:6" s="61" customFormat="1">
      <c r="B152" s="59" t="s">
        <v>102</v>
      </c>
      <c r="C152" s="70">
        <v>0</v>
      </c>
      <c r="D152" s="70">
        <v>0</v>
      </c>
      <c r="E152" s="74">
        <f t="shared" si="4"/>
        <v>0</v>
      </c>
      <c r="F152" s="71"/>
    </row>
    <row r="153" spans="2:6" s="61" customFormat="1">
      <c r="B153" s="59" t="s">
        <v>103</v>
      </c>
      <c r="C153" s="70">
        <v>0</v>
      </c>
      <c r="D153" s="70">
        <v>0</v>
      </c>
      <c r="E153" s="74">
        <f t="shared" si="4"/>
        <v>0</v>
      </c>
      <c r="F153" s="71"/>
    </row>
    <row r="154" spans="2:6" s="61" customFormat="1">
      <c r="B154" s="59" t="s">
        <v>104</v>
      </c>
      <c r="C154" s="70">
        <v>1361.97</v>
      </c>
      <c r="D154" s="70">
        <v>0</v>
      </c>
      <c r="E154" s="74">
        <f t="shared" si="4"/>
        <v>1361.97</v>
      </c>
      <c r="F154" s="71"/>
    </row>
    <row r="155" spans="2:6" s="61" customFormat="1">
      <c r="B155" s="59" t="s">
        <v>105</v>
      </c>
      <c r="C155" s="70">
        <v>0</v>
      </c>
      <c r="D155" s="70">
        <v>0</v>
      </c>
      <c r="E155" s="74">
        <f t="shared" si="4"/>
        <v>0</v>
      </c>
      <c r="F155" s="71"/>
    </row>
    <row r="156" spans="2:6">
      <c r="B156" s="49" t="s">
        <v>106</v>
      </c>
      <c r="C156" s="70">
        <v>0</v>
      </c>
      <c r="D156" s="70">
        <v>1153.75</v>
      </c>
      <c r="E156" s="73">
        <f t="shared" si="4"/>
        <v>1153.75</v>
      </c>
      <c r="F156" s="70"/>
    </row>
    <row r="157" spans="2:6">
      <c r="B157" s="49" t="s">
        <v>107</v>
      </c>
      <c r="C157" s="70">
        <v>0</v>
      </c>
      <c r="D157" s="70">
        <v>580.75</v>
      </c>
      <c r="E157" s="73">
        <f t="shared" si="4"/>
        <v>580.75</v>
      </c>
      <c r="F157" s="70"/>
    </row>
    <row r="158" spans="2:6">
      <c r="B158" s="49" t="s">
        <v>108</v>
      </c>
      <c r="C158" s="70">
        <v>0</v>
      </c>
      <c r="D158" s="70">
        <v>0</v>
      </c>
      <c r="E158" s="73">
        <f t="shared" si="4"/>
        <v>0</v>
      </c>
      <c r="F158" s="70"/>
    </row>
    <row r="159" spans="2:6" s="32" customFormat="1" ht="15">
      <c r="B159" s="106" t="s">
        <v>109</v>
      </c>
      <c r="C159" s="78">
        <f>SUM(C146:C158)</f>
        <v>3440.6899999999996</v>
      </c>
      <c r="D159" s="78">
        <f>SUM(D146:D158)</f>
        <v>1759.788043478261</v>
      </c>
      <c r="E159" s="79">
        <f t="shared" si="4"/>
        <v>5200.4780434782606</v>
      </c>
      <c r="F159" s="78"/>
    </row>
    <row r="160" spans="2:6">
      <c r="B160" s="99"/>
      <c r="C160" s="70"/>
      <c r="D160" s="70"/>
      <c r="E160" s="73"/>
      <c r="F160" s="70"/>
    </row>
    <row r="161" spans="2:6">
      <c r="B161" s="106" t="s">
        <v>614</v>
      </c>
      <c r="C161" s="70"/>
      <c r="D161" s="70"/>
      <c r="E161" s="73"/>
      <c r="F161" s="70"/>
    </row>
    <row r="162" spans="2:6" s="61" customFormat="1">
      <c r="B162" s="59" t="s">
        <v>110</v>
      </c>
      <c r="C162" s="70">
        <v>6383.42</v>
      </c>
      <c r="D162" s="70">
        <v>0</v>
      </c>
      <c r="E162" s="74">
        <f t="shared" ref="E162:E190" si="5">C162+D162</f>
        <v>6383.42</v>
      </c>
      <c r="F162" s="71"/>
    </row>
    <row r="163" spans="2:6" s="61" customFormat="1">
      <c r="B163" s="59" t="s">
        <v>111</v>
      </c>
      <c r="C163" s="70">
        <v>0</v>
      </c>
      <c r="D163" s="70">
        <v>0</v>
      </c>
      <c r="E163" s="74">
        <f t="shared" si="5"/>
        <v>0</v>
      </c>
      <c r="F163" s="71"/>
    </row>
    <row r="164" spans="2:6">
      <c r="B164" s="49" t="s">
        <v>112</v>
      </c>
      <c r="C164" s="70">
        <v>0</v>
      </c>
      <c r="D164" s="70">
        <v>0</v>
      </c>
      <c r="E164" s="73">
        <f t="shared" si="5"/>
        <v>0</v>
      </c>
      <c r="F164" s="71"/>
    </row>
    <row r="165" spans="2:6">
      <c r="B165" s="49" t="s">
        <v>113</v>
      </c>
      <c r="C165" s="70">
        <v>0</v>
      </c>
      <c r="D165" s="70">
        <v>0</v>
      </c>
      <c r="E165" s="73">
        <f t="shared" si="5"/>
        <v>0</v>
      </c>
      <c r="F165" s="71"/>
    </row>
    <row r="166" spans="2:6">
      <c r="B166" s="49" t="s">
        <v>114</v>
      </c>
      <c r="C166" s="70">
        <v>132.06</v>
      </c>
      <c r="D166" s="70">
        <v>0</v>
      </c>
      <c r="E166" s="73">
        <f t="shared" si="5"/>
        <v>132.06</v>
      </c>
      <c r="F166" s="71"/>
    </row>
    <row r="167" spans="2:6">
      <c r="B167" s="49" t="s">
        <v>115</v>
      </c>
      <c r="C167" s="70">
        <v>962.65</v>
      </c>
      <c r="D167" s="70">
        <v>0</v>
      </c>
      <c r="E167" s="73">
        <f t="shared" si="5"/>
        <v>962.65</v>
      </c>
      <c r="F167" s="71"/>
    </row>
    <row r="168" spans="2:6">
      <c r="B168" s="49" t="s">
        <v>116</v>
      </c>
      <c r="C168" s="70">
        <v>0</v>
      </c>
      <c r="D168" s="70">
        <v>0</v>
      </c>
      <c r="E168" s="73">
        <f t="shared" si="5"/>
        <v>0</v>
      </c>
      <c r="F168" s="71"/>
    </row>
    <row r="169" spans="2:6">
      <c r="B169" s="49" t="s">
        <v>117</v>
      </c>
      <c r="C169" s="70">
        <v>25</v>
      </c>
      <c r="D169" s="70">
        <v>0</v>
      </c>
      <c r="E169" s="73">
        <f t="shared" si="5"/>
        <v>25</v>
      </c>
      <c r="F169" s="71"/>
    </row>
    <row r="170" spans="2:6">
      <c r="B170" s="49" t="s">
        <v>118</v>
      </c>
      <c r="C170" s="70">
        <v>0</v>
      </c>
      <c r="D170" s="70">
        <v>266.30554347826097</v>
      </c>
      <c r="E170" s="73">
        <f t="shared" si="5"/>
        <v>266.30554347826097</v>
      </c>
      <c r="F170" s="71"/>
    </row>
    <row r="171" spans="2:6">
      <c r="B171" s="59" t="s">
        <v>119</v>
      </c>
      <c r="C171" s="70">
        <v>6727.8</v>
      </c>
      <c r="D171" s="70">
        <v>0</v>
      </c>
      <c r="E171" s="73">
        <f t="shared" si="5"/>
        <v>6727.8</v>
      </c>
      <c r="F171" s="71"/>
    </row>
    <row r="172" spans="2:6">
      <c r="B172" s="49" t="s">
        <v>120</v>
      </c>
      <c r="C172" s="70">
        <v>14.99</v>
      </c>
      <c r="D172" s="70">
        <v>0</v>
      </c>
      <c r="E172" s="73">
        <f t="shared" si="5"/>
        <v>14.99</v>
      </c>
      <c r="F172" s="71"/>
    </row>
    <row r="173" spans="2:6">
      <c r="B173" s="49" t="s">
        <v>121</v>
      </c>
      <c r="C173" s="70">
        <v>0</v>
      </c>
      <c r="D173" s="70">
        <v>0</v>
      </c>
      <c r="E173" s="73">
        <f t="shared" si="5"/>
        <v>0</v>
      </c>
      <c r="F173" s="71"/>
    </row>
    <row r="174" spans="2:6">
      <c r="B174" s="49" t="s">
        <v>122</v>
      </c>
      <c r="C174" s="70">
        <v>0</v>
      </c>
      <c r="D174" s="70">
        <v>0</v>
      </c>
      <c r="E174" s="73">
        <f t="shared" si="5"/>
        <v>0</v>
      </c>
      <c r="F174" s="71"/>
    </row>
    <row r="175" spans="2:6">
      <c r="B175" s="49" t="s">
        <v>123</v>
      </c>
      <c r="C175" s="70">
        <v>0</v>
      </c>
      <c r="D175" s="70">
        <v>0</v>
      </c>
      <c r="E175" s="73">
        <f t="shared" si="5"/>
        <v>0</v>
      </c>
      <c r="F175" s="71"/>
    </row>
    <row r="176" spans="2:6">
      <c r="B176" s="49" t="s">
        <v>124</v>
      </c>
      <c r="C176" s="70">
        <v>0</v>
      </c>
      <c r="D176" s="70">
        <v>3.05913043478261</v>
      </c>
      <c r="E176" s="73">
        <f t="shared" si="5"/>
        <v>3.05913043478261</v>
      </c>
      <c r="F176" s="71"/>
    </row>
    <row r="177" spans="2:6">
      <c r="B177" s="49" t="s">
        <v>125</v>
      </c>
      <c r="C177" s="70">
        <v>0</v>
      </c>
      <c r="D177" s="70">
        <v>0</v>
      </c>
      <c r="E177" s="73">
        <f t="shared" si="5"/>
        <v>0</v>
      </c>
      <c r="F177" s="71"/>
    </row>
    <row r="178" spans="2:6">
      <c r="B178" s="49" t="s">
        <v>126</v>
      </c>
      <c r="C178" s="70">
        <v>0</v>
      </c>
      <c r="D178" s="70">
        <v>0</v>
      </c>
      <c r="E178" s="73">
        <f t="shared" si="5"/>
        <v>0</v>
      </c>
      <c r="F178" s="71"/>
    </row>
    <row r="179" spans="2:6">
      <c r="B179" s="49" t="s">
        <v>127</v>
      </c>
      <c r="C179" s="70">
        <v>0</v>
      </c>
      <c r="D179" s="70">
        <v>0</v>
      </c>
      <c r="E179" s="73">
        <f t="shared" si="5"/>
        <v>0</v>
      </c>
      <c r="F179" s="71"/>
    </row>
    <row r="180" spans="2:6">
      <c r="B180" s="49" t="s">
        <v>128</v>
      </c>
      <c r="C180" s="70">
        <v>0</v>
      </c>
      <c r="D180" s="70">
        <v>255.88804347826101</v>
      </c>
      <c r="E180" s="73">
        <f t="shared" si="5"/>
        <v>255.88804347826101</v>
      </c>
      <c r="F180" s="71"/>
    </row>
    <row r="181" spans="2:6">
      <c r="B181" s="49" t="s">
        <v>129</v>
      </c>
      <c r="C181" s="70">
        <v>0</v>
      </c>
      <c r="D181" s="70">
        <v>500</v>
      </c>
      <c r="E181" s="73">
        <f t="shared" si="5"/>
        <v>500</v>
      </c>
      <c r="F181" s="71"/>
    </row>
    <row r="182" spans="2:6">
      <c r="B182" s="49" t="s">
        <v>130</v>
      </c>
      <c r="C182" s="70">
        <v>0</v>
      </c>
      <c r="D182" s="70">
        <v>0</v>
      </c>
      <c r="E182" s="73">
        <f t="shared" si="5"/>
        <v>0</v>
      </c>
      <c r="F182" s="71"/>
    </row>
    <row r="183" spans="2:6">
      <c r="B183" s="59" t="s">
        <v>131</v>
      </c>
      <c r="C183" s="70">
        <v>0</v>
      </c>
      <c r="D183" s="70">
        <v>0</v>
      </c>
      <c r="E183" s="73">
        <f t="shared" si="5"/>
        <v>0</v>
      </c>
      <c r="F183" s="71"/>
    </row>
    <row r="184" spans="2:6">
      <c r="B184" s="49" t="s">
        <v>132</v>
      </c>
      <c r="C184" s="70">
        <v>0</v>
      </c>
      <c r="D184" s="70">
        <v>0</v>
      </c>
      <c r="E184" s="73">
        <f t="shared" si="5"/>
        <v>0</v>
      </c>
      <c r="F184" s="71"/>
    </row>
    <row r="185" spans="2:6">
      <c r="B185" s="49" t="s">
        <v>133</v>
      </c>
      <c r="C185" s="70">
        <v>0</v>
      </c>
      <c r="D185" s="70">
        <v>0</v>
      </c>
      <c r="E185" s="73">
        <f t="shared" si="5"/>
        <v>0</v>
      </c>
      <c r="F185" s="71"/>
    </row>
    <row r="186" spans="2:6">
      <c r="B186" s="49" t="s">
        <v>134</v>
      </c>
      <c r="C186" s="70">
        <v>0</v>
      </c>
      <c r="D186" s="70">
        <v>0</v>
      </c>
      <c r="E186" s="73">
        <f t="shared" si="5"/>
        <v>0</v>
      </c>
      <c r="F186" s="71"/>
    </row>
    <row r="187" spans="2:6">
      <c r="B187" s="49" t="s">
        <v>135</v>
      </c>
      <c r="C187" s="70">
        <v>0</v>
      </c>
      <c r="D187" s="70">
        <v>0</v>
      </c>
      <c r="E187" s="73">
        <f t="shared" si="5"/>
        <v>0</v>
      </c>
      <c r="F187" s="71"/>
    </row>
    <row r="188" spans="2:6">
      <c r="B188" s="49" t="s">
        <v>136</v>
      </c>
      <c r="C188" s="70">
        <v>0</v>
      </c>
      <c r="D188" s="70">
        <v>0</v>
      </c>
      <c r="E188" s="73">
        <f t="shared" si="5"/>
        <v>0</v>
      </c>
      <c r="F188" s="71"/>
    </row>
    <row r="189" spans="2:6" s="61" customFormat="1">
      <c r="B189" s="59" t="s">
        <v>137</v>
      </c>
      <c r="C189" s="70">
        <v>774.55</v>
      </c>
      <c r="D189" s="70">
        <v>503.05032608695598</v>
      </c>
      <c r="E189" s="74">
        <f t="shared" si="5"/>
        <v>1277.6003260869559</v>
      </c>
      <c r="F189" s="71"/>
    </row>
    <row r="190" spans="2:6" s="32" customFormat="1" ht="15">
      <c r="B190" s="99" t="s">
        <v>19</v>
      </c>
      <c r="C190" s="78">
        <f>SUM(C162:C189)</f>
        <v>15020.47</v>
      </c>
      <c r="D190" s="78">
        <f>SUM(D162:D189)</f>
        <v>1528.3030434782604</v>
      </c>
      <c r="E190" s="79">
        <f t="shared" si="5"/>
        <v>16548.773043478261</v>
      </c>
      <c r="F190" s="107"/>
    </row>
    <row r="191" spans="2:6">
      <c r="B191" s="99"/>
      <c r="C191" s="70"/>
      <c r="D191" s="70"/>
      <c r="E191" s="73"/>
      <c r="F191" s="71"/>
    </row>
    <row r="192" spans="2:6">
      <c r="B192" s="99" t="s">
        <v>619</v>
      </c>
      <c r="C192" s="70"/>
      <c r="D192" s="70"/>
      <c r="E192" s="73"/>
      <c r="F192" s="71"/>
    </row>
    <row r="193" spans="1:6">
      <c r="B193" s="59" t="s">
        <v>138</v>
      </c>
      <c r="C193" s="70">
        <v>11722.56</v>
      </c>
      <c r="D193" s="70">
        <v>0</v>
      </c>
      <c r="E193" s="73">
        <f t="shared" ref="E193:E198" si="6">C193+D193</f>
        <v>11722.56</v>
      </c>
      <c r="F193" s="71"/>
    </row>
    <row r="194" spans="1:6">
      <c r="B194" s="59" t="s">
        <v>139</v>
      </c>
      <c r="C194" s="70">
        <v>0</v>
      </c>
      <c r="D194" s="70">
        <v>757.67391304347802</v>
      </c>
      <c r="E194" s="73">
        <f t="shared" si="6"/>
        <v>757.67391304347802</v>
      </c>
      <c r="F194" s="71"/>
    </row>
    <row r="195" spans="1:6">
      <c r="B195" s="59" t="s">
        <v>140</v>
      </c>
      <c r="C195" s="70">
        <v>0</v>
      </c>
      <c r="D195" s="70">
        <v>994.23913043478296</v>
      </c>
      <c r="E195" s="73">
        <f t="shared" si="6"/>
        <v>994.23913043478296</v>
      </c>
      <c r="F195" s="71"/>
    </row>
    <row r="196" spans="1:6">
      <c r="B196" s="59" t="s">
        <v>141</v>
      </c>
      <c r="C196" s="70">
        <v>0</v>
      </c>
      <c r="D196" s="70">
        <v>854.17391304347802</v>
      </c>
      <c r="E196" s="73">
        <f t="shared" si="6"/>
        <v>854.17391304347802</v>
      </c>
      <c r="F196" s="71"/>
    </row>
    <row r="197" spans="1:6">
      <c r="B197" s="59" t="s">
        <v>142</v>
      </c>
      <c r="C197" s="70">
        <v>0</v>
      </c>
      <c r="D197" s="70">
        <v>0</v>
      </c>
      <c r="E197" s="73">
        <f t="shared" si="6"/>
        <v>0</v>
      </c>
      <c r="F197" s="71"/>
    </row>
    <row r="198" spans="1:6" s="32" customFormat="1">
      <c r="B198" s="99" t="s">
        <v>19</v>
      </c>
      <c r="C198" s="78">
        <f>SUM(C193:C197)</f>
        <v>11722.56</v>
      </c>
      <c r="D198" s="78">
        <f>SUM(D193:D197)</f>
        <v>2606.086956521739</v>
      </c>
      <c r="E198" s="79">
        <f t="shared" si="6"/>
        <v>14328.646956521738</v>
      </c>
      <c r="F198" s="71"/>
    </row>
    <row r="199" spans="1:6">
      <c r="B199" s="59"/>
      <c r="C199" s="70"/>
      <c r="D199" s="70"/>
      <c r="E199" s="73"/>
      <c r="F199" s="71"/>
    </row>
    <row r="200" spans="1:6">
      <c r="B200" s="99" t="s">
        <v>17</v>
      </c>
      <c r="C200" s="70"/>
      <c r="D200" s="70"/>
      <c r="E200" s="73"/>
      <c r="F200" s="71"/>
    </row>
    <row r="201" spans="1:6">
      <c r="B201" s="59" t="s">
        <v>143</v>
      </c>
      <c r="C201" s="70">
        <v>0</v>
      </c>
      <c r="D201" s="70">
        <v>54.347826086956502</v>
      </c>
      <c r="E201" s="73">
        <f>C201+D201</f>
        <v>54.347826086956502</v>
      </c>
      <c r="F201" s="71"/>
    </row>
    <row r="202" spans="1:6">
      <c r="B202" s="59" t="s">
        <v>144</v>
      </c>
      <c r="C202" s="70">
        <v>0</v>
      </c>
      <c r="D202" s="70">
        <v>0</v>
      </c>
      <c r="E202" s="73">
        <f>C202+D202</f>
        <v>0</v>
      </c>
      <c r="F202" s="71"/>
    </row>
    <row r="203" spans="1:6">
      <c r="B203" s="59" t="s">
        <v>145</v>
      </c>
      <c r="C203" s="70">
        <v>7940.38</v>
      </c>
      <c r="D203" s="70">
        <v>0</v>
      </c>
      <c r="E203" s="73">
        <f>C203+D203</f>
        <v>7940.38</v>
      </c>
      <c r="F203" s="71"/>
    </row>
    <row r="204" spans="1:6">
      <c r="B204" s="59" t="s">
        <v>146</v>
      </c>
      <c r="C204" s="70">
        <v>0</v>
      </c>
      <c r="D204" s="70">
        <v>1358.69565217391</v>
      </c>
      <c r="E204" s="73">
        <f>C204+D204</f>
        <v>1358.69565217391</v>
      </c>
      <c r="F204" s="71"/>
    </row>
    <row r="205" spans="1:6" s="32" customFormat="1" ht="15">
      <c r="B205" s="99" t="s">
        <v>19</v>
      </c>
      <c r="C205" s="78">
        <f>SUM(C201:C204)</f>
        <v>7940.38</v>
      </c>
      <c r="D205" s="78">
        <f>SUM(D201:D204)</f>
        <v>1413.0434782608666</v>
      </c>
      <c r="E205" s="79">
        <f>C205+D205</f>
        <v>9353.4234782608673</v>
      </c>
      <c r="F205" s="107"/>
    </row>
    <row r="206" spans="1:6">
      <c r="B206" s="59"/>
      <c r="C206" s="70"/>
      <c r="D206" s="70"/>
      <c r="E206" s="73"/>
      <c r="F206" s="71"/>
    </row>
    <row r="207" spans="1:6" s="111" customFormat="1">
      <c r="A207" s="108"/>
      <c r="B207" s="109" t="s">
        <v>16</v>
      </c>
      <c r="C207" s="68"/>
      <c r="D207" s="68"/>
      <c r="E207" s="68"/>
      <c r="F207" s="110"/>
    </row>
    <row r="208" spans="1:6" s="111" customFormat="1">
      <c r="A208" s="108"/>
      <c r="B208" s="112" t="s">
        <v>147</v>
      </c>
      <c r="C208" s="113">
        <v>37269.019999999997</v>
      </c>
      <c r="D208" s="113">
        <v>9729.0652173913004</v>
      </c>
      <c r="E208" s="68">
        <f>C208+D208</f>
        <v>46998.085217391301</v>
      </c>
      <c r="F208" s="114"/>
    </row>
    <row r="209" spans="1:6" s="111" customFormat="1">
      <c r="A209" s="108"/>
      <c r="B209" s="112" t="s">
        <v>148</v>
      </c>
      <c r="C209" s="113">
        <v>0</v>
      </c>
      <c r="D209" s="113">
        <v>163.04347826086999</v>
      </c>
      <c r="E209" s="68">
        <f>C209+D209</f>
        <v>163.04347826086999</v>
      </c>
      <c r="F209" s="114"/>
    </row>
    <row r="210" spans="1:6" s="118" customFormat="1">
      <c r="A210" s="115"/>
      <c r="B210" s="109" t="s">
        <v>19</v>
      </c>
      <c r="C210" s="68">
        <f>SUM(C208:C209)</f>
        <v>37269.019999999997</v>
      </c>
      <c r="D210" s="116">
        <f>SUM(D208:D209)</f>
        <v>9892.1086956521704</v>
      </c>
      <c r="E210" s="116">
        <f>SUM(E208:E209)</f>
        <v>47161.128695652173</v>
      </c>
      <c r="F210" s="117"/>
    </row>
    <row r="211" spans="1:6">
      <c r="B211" s="59"/>
      <c r="C211" s="70"/>
      <c r="D211" s="70"/>
      <c r="E211" s="73"/>
      <c r="F211" s="70"/>
    </row>
    <row r="212" spans="1:6">
      <c r="B212" s="99" t="s">
        <v>620</v>
      </c>
      <c r="C212" s="70"/>
      <c r="D212" s="70"/>
      <c r="E212" s="73"/>
      <c r="F212" s="70"/>
    </row>
    <row r="213" spans="1:6">
      <c r="B213" s="59" t="s">
        <v>149</v>
      </c>
      <c r="C213" s="70">
        <v>6</v>
      </c>
      <c r="D213" s="70">
        <v>0</v>
      </c>
      <c r="E213" s="73">
        <f t="shared" ref="E213:E219" si="7">C213+D213</f>
        <v>6</v>
      </c>
      <c r="F213" s="70"/>
    </row>
    <row r="214" spans="1:6">
      <c r="B214" s="59" t="s">
        <v>150</v>
      </c>
      <c r="C214" s="70">
        <v>0</v>
      </c>
      <c r="D214" s="70">
        <v>14.350869565217399</v>
      </c>
      <c r="E214" s="73">
        <f t="shared" si="7"/>
        <v>14.350869565217399</v>
      </c>
      <c r="F214" s="70"/>
    </row>
    <row r="215" spans="1:6">
      <c r="B215" s="59" t="s">
        <v>151</v>
      </c>
      <c r="C215" s="70">
        <v>0</v>
      </c>
      <c r="D215" s="70">
        <v>-6246.1804347826101</v>
      </c>
      <c r="E215" s="73">
        <f t="shared" si="7"/>
        <v>-6246.1804347826101</v>
      </c>
      <c r="F215" s="70"/>
    </row>
    <row r="216" spans="1:6">
      <c r="B216" s="59" t="s">
        <v>152</v>
      </c>
      <c r="C216" s="70">
        <v>0</v>
      </c>
      <c r="D216" s="70">
        <v>0</v>
      </c>
      <c r="E216" s="73">
        <f t="shared" si="7"/>
        <v>0</v>
      </c>
      <c r="F216" s="70"/>
    </row>
    <row r="217" spans="1:6">
      <c r="B217" s="57" t="s">
        <v>153</v>
      </c>
      <c r="C217" s="70">
        <v>4720.8</v>
      </c>
      <c r="D217" s="70">
        <v>0</v>
      </c>
      <c r="E217" s="73">
        <f t="shared" si="7"/>
        <v>4720.8</v>
      </c>
      <c r="F217" s="70"/>
    </row>
    <row r="218" spans="1:6">
      <c r="B218" s="57" t="s">
        <v>154</v>
      </c>
      <c r="C218" s="70">
        <v>162.72</v>
      </c>
      <c r="D218" s="70">
        <v>0</v>
      </c>
      <c r="E218" s="73">
        <f t="shared" si="7"/>
        <v>162.72</v>
      </c>
      <c r="F218" s="70"/>
    </row>
    <row r="219" spans="1:6" s="32" customFormat="1" ht="15">
      <c r="B219" s="99" t="s">
        <v>19</v>
      </c>
      <c r="C219" s="78">
        <f>SUM(C213:C218)</f>
        <v>4889.5200000000004</v>
      </c>
      <c r="D219" s="78">
        <f>SUM(D213:D218)</f>
        <v>-6231.8295652173929</v>
      </c>
      <c r="E219" s="79">
        <f t="shared" si="7"/>
        <v>-1342.3095652173924</v>
      </c>
      <c r="F219" s="78"/>
    </row>
    <row r="220" spans="1:6">
      <c r="B220" s="99"/>
      <c r="C220" s="70"/>
      <c r="D220" s="70"/>
      <c r="E220" s="73"/>
      <c r="F220" s="70"/>
    </row>
    <row r="221" spans="1:6">
      <c r="B221" s="59" t="s">
        <v>24</v>
      </c>
      <c r="C221" s="70">
        <v>0</v>
      </c>
      <c r="D221" s="70">
        <v>0</v>
      </c>
      <c r="E221" s="73">
        <f>C221+D221</f>
        <v>0</v>
      </c>
      <c r="F221" s="70"/>
    </row>
    <row r="222" spans="1:6">
      <c r="B222" s="119" t="s">
        <v>25</v>
      </c>
      <c r="C222" s="70">
        <v>0</v>
      </c>
      <c r="D222" s="70">
        <v>0</v>
      </c>
      <c r="E222" s="73">
        <f>C222+D222</f>
        <v>0</v>
      </c>
      <c r="F222" s="70"/>
    </row>
    <row r="223" spans="1:6" s="32" customFormat="1" ht="15">
      <c r="B223" s="120" t="s">
        <v>19</v>
      </c>
      <c r="C223" s="81">
        <f>SUM(C221:C222)</f>
        <v>0</v>
      </c>
      <c r="D223" s="81">
        <f>SUM(D221:D222)</f>
        <v>0</v>
      </c>
      <c r="E223" s="82">
        <f>C223+D223</f>
        <v>0</v>
      </c>
      <c r="F223" s="81"/>
    </row>
  </sheetData>
  <pageMargins left="0.7" right="0.7" top="0.75" bottom="0.75" header="0.3" footer="0.3"/>
  <pageSetup scale="3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4686-5D49-4D98-BB67-AE9492EFF62A}">
  <dimension ref="A1:V320"/>
  <sheetViews>
    <sheetView showGridLines="0" zoomScale="80" zoomScaleNormal="80" workbookViewId="0">
      <pane xSplit="2" ySplit="4" topLeftCell="O35" activePane="bottomRight" state="frozen"/>
      <selection pane="topRight" activeCell="C1" sqref="C1"/>
      <selection pane="bottomLeft" activeCell="A4" sqref="A4"/>
      <selection pane="bottomRight" activeCell="AA43" sqref="AA43"/>
    </sheetView>
  </sheetViews>
  <sheetFormatPr defaultColWidth="8.4140625" defaultRowHeight="14"/>
  <cols>
    <col min="1" max="1" width="3.5" style="1" customWidth="1"/>
    <col min="2" max="2" width="41.4140625" style="2" bestFit="1" customWidth="1"/>
    <col min="3" max="3" width="16.33203125" style="135" hidden="1" customWidth="1"/>
    <col min="4" max="14" width="9.4140625" style="135" hidden="1" customWidth="1"/>
    <col min="15" max="20" width="9.4140625" style="135" customWidth="1"/>
    <col min="21" max="21" width="9.9140625" style="2" bestFit="1" customWidth="1"/>
    <col min="22" max="16384" width="8.4140625" style="2"/>
  </cols>
  <sheetData>
    <row r="1" spans="1:21">
      <c r="L1" s="134"/>
      <c r="M1" s="134"/>
      <c r="N1" s="134"/>
      <c r="O1" s="134"/>
      <c r="P1" s="134"/>
      <c r="Q1" s="134"/>
      <c r="R1" s="134"/>
      <c r="S1" s="134"/>
      <c r="T1" s="134"/>
    </row>
    <row r="2" spans="1:21" ht="14.5">
      <c r="A2" s="3" t="s">
        <v>559</v>
      </c>
    </row>
    <row r="3" spans="1:21" ht="14.5">
      <c r="A3" s="2"/>
      <c r="B3" s="136" t="s">
        <v>560</v>
      </c>
      <c r="C3" s="137" t="s">
        <v>561</v>
      </c>
      <c r="D3" s="137"/>
      <c r="E3" s="137"/>
      <c r="F3" s="137"/>
      <c r="G3" s="137"/>
      <c r="H3" s="137"/>
      <c r="I3" s="137"/>
      <c r="J3" s="137"/>
      <c r="K3" s="137"/>
      <c r="L3" s="137"/>
      <c r="M3" s="137"/>
      <c r="N3" s="137"/>
      <c r="O3" s="137"/>
      <c r="P3" s="137"/>
      <c r="Q3" s="137"/>
      <c r="R3" s="137"/>
      <c r="S3" s="137"/>
      <c r="T3" s="137"/>
      <c r="U3" s="138"/>
    </row>
    <row r="4" spans="1:21" ht="14.5">
      <c r="A4" s="2"/>
      <c r="B4" s="136" t="s">
        <v>158</v>
      </c>
      <c r="C4" s="139">
        <v>45688</v>
      </c>
      <c r="D4" s="139">
        <v>45716</v>
      </c>
      <c r="E4" s="139">
        <v>45747</v>
      </c>
      <c r="F4" s="140">
        <v>45777</v>
      </c>
      <c r="G4" s="140">
        <v>45808</v>
      </c>
      <c r="H4" s="140">
        <v>45838</v>
      </c>
      <c r="I4" s="140">
        <v>45869</v>
      </c>
      <c r="J4" s="140">
        <v>45900</v>
      </c>
      <c r="K4" s="140">
        <v>45930</v>
      </c>
      <c r="L4" s="140">
        <v>45961</v>
      </c>
      <c r="M4" s="140">
        <v>45991</v>
      </c>
      <c r="N4" s="140">
        <v>46022</v>
      </c>
      <c r="O4" s="140">
        <v>46053</v>
      </c>
      <c r="P4" s="140">
        <v>46081</v>
      </c>
      <c r="Q4" s="140">
        <v>46112</v>
      </c>
      <c r="R4" s="140">
        <v>46142</v>
      </c>
      <c r="S4" s="140">
        <v>46173</v>
      </c>
      <c r="T4" s="140">
        <v>46203</v>
      </c>
      <c r="U4" s="141" t="s">
        <v>648</v>
      </c>
    </row>
    <row r="5" spans="1:21" ht="14.5">
      <c r="A5" s="2"/>
      <c r="B5" s="142" t="s">
        <v>159</v>
      </c>
      <c r="C5" s="137">
        <v>140372.38000000003</v>
      </c>
      <c r="D5" s="137">
        <v>156066.25</v>
      </c>
      <c r="E5" s="137">
        <v>163126.01</v>
      </c>
      <c r="F5" s="137">
        <v>182521.70999999996</v>
      </c>
      <c r="G5" s="137">
        <v>172967.16999999993</v>
      </c>
      <c r="H5" s="137">
        <v>217751.88999999993</v>
      </c>
      <c r="I5" s="137">
        <v>187196.35</v>
      </c>
      <c r="J5" s="137">
        <v>211746.72999999998</v>
      </c>
      <c r="K5" s="137">
        <v>209436.87000000002</v>
      </c>
      <c r="L5" s="137">
        <v>208717.44999999998</v>
      </c>
      <c r="M5" s="137">
        <v>216280.72</v>
      </c>
      <c r="N5" s="137">
        <v>209450.29999999996</v>
      </c>
      <c r="O5" s="137">
        <v>211311.47</v>
      </c>
      <c r="P5" s="137">
        <v>203313.12</v>
      </c>
      <c r="Q5" s="137">
        <v>106950.86000000002</v>
      </c>
      <c r="R5" s="137">
        <v>193910.07999999996</v>
      </c>
      <c r="S5" s="137">
        <v>179687.53</v>
      </c>
      <c r="T5" s="137">
        <v>163379.68</v>
      </c>
      <c r="U5" s="143">
        <f>S5-T5</f>
        <v>16307.850000000006</v>
      </c>
    </row>
    <row r="6" spans="1:21" ht="14.5">
      <c r="A6" s="2"/>
      <c r="B6" s="144" t="s">
        <v>160</v>
      </c>
      <c r="C6" s="137">
        <v>137139</v>
      </c>
      <c r="D6" s="137">
        <v>141484</v>
      </c>
      <c r="E6" s="137">
        <v>140018</v>
      </c>
      <c r="F6" s="137">
        <v>164649</v>
      </c>
      <c r="G6" s="137">
        <v>151760</v>
      </c>
      <c r="H6" s="137">
        <v>200674</v>
      </c>
      <c r="I6" s="137">
        <v>158956</v>
      </c>
      <c r="J6" s="137">
        <v>173054</v>
      </c>
      <c r="K6" s="137">
        <v>187101</v>
      </c>
      <c r="L6" s="137">
        <v>183412</v>
      </c>
      <c r="M6" s="137">
        <v>190966</v>
      </c>
      <c r="N6" s="137">
        <v>187035</v>
      </c>
      <c r="O6" s="137">
        <v>184697</v>
      </c>
      <c r="P6" s="137">
        <v>184916</v>
      </c>
      <c r="Q6" s="137">
        <v>75319</v>
      </c>
      <c r="R6" s="137">
        <v>175901</v>
      </c>
      <c r="S6" s="137">
        <v>158280</v>
      </c>
      <c r="T6" s="137">
        <v>157139</v>
      </c>
      <c r="U6" s="145">
        <f t="shared" ref="U6:U69" si="0">S6-T6</f>
        <v>1141</v>
      </c>
    </row>
    <row r="7" spans="1:21" ht="14.5">
      <c r="A7" s="2"/>
      <c r="B7" s="146" t="s">
        <v>161</v>
      </c>
      <c r="C7" s="137">
        <v>137139</v>
      </c>
      <c r="D7" s="137">
        <v>141484</v>
      </c>
      <c r="E7" s="137">
        <v>140018</v>
      </c>
      <c r="F7" s="137">
        <v>164649</v>
      </c>
      <c r="G7" s="137">
        <v>151760</v>
      </c>
      <c r="H7" s="137">
        <v>200674</v>
      </c>
      <c r="I7" s="137">
        <v>158956</v>
      </c>
      <c r="J7" s="137">
        <v>173054</v>
      </c>
      <c r="K7" s="137">
        <v>187101</v>
      </c>
      <c r="L7" s="137">
        <v>183412</v>
      </c>
      <c r="M7" s="137">
        <v>190966</v>
      </c>
      <c r="N7" s="137">
        <v>187035</v>
      </c>
      <c r="O7" s="137">
        <v>184697</v>
      </c>
      <c r="P7" s="137">
        <v>184916</v>
      </c>
      <c r="Q7" s="137">
        <v>75319</v>
      </c>
      <c r="R7" s="137">
        <v>175901</v>
      </c>
      <c r="S7" s="137">
        <v>158280</v>
      </c>
      <c r="T7" s="137">
        <v>157139</v>
      </c>
      <c r="U7" s="137">
        <f t="shared" si="0"/>
        <v>1141</v>
      </c>
    </row>
    <row r="8" spans="1:21" s="1" customFormat="1" ht="14.5">
      <c r="B8" s="147" t="s">
        <v>162</v>
      </c>
      <c r="C8" s="137">
        <v>137139</v>
      </c>
      <c r="D8" s="137">
        <v>141484</v>
      </c>
      <c r="E8" s="137">
        <v>140018</v>
      </c>
      <c r="F8" s="137">
        <v>164649</v>
      </c>
      <c r="G8" s="137">
        <v>151760</v>
      </c>
      <c r="H8" s="137">
        <v>200674</v>
      </c>
      <c r="I8" s="137">
        <v>158956</v>
      </c>
      <c r="J8" s="137">
        <v>173054</v>
      </c>
      <c r="K8" s="137">
        <v>187101</v>
      </c>
      <c r="L8" s="137">
        <v>183412</v>
      </c>
      <c r="M8" s="137">
        <v>190966</v>
      </c>
      <c r="N8" s="137">
        <v>187035</v>
      </c>
      <c r="O8" s="137">
        <v>184697</v>
      </c>
      <c r="P8" s="137">
        <v>184916</v>
      </c>
      <c r="Q8" s="137">
        <v>75319</v>
      </c>
      <c r="R8" s="137">
        <v>175901</v>
      </c>
      <c r="S8" s="137">
        <v>158280</v>
      </c>
      <c r="T8" s="137">
        <v>157139</v>
      </c>
      <c r="U8" s="137">
        <f t="shared" si="0"/>
        <v>1141</v>
      </c>
    </row>
    <row r="9" spans="1:21" s="1" customFormat="1" ht="14.5">
      <c r="B9" s="144" t="s">
        <v>6</v>
      </c>
      <c r="C9" s="137"/>
      <c r="D9" s="137"/>
      <c r="E9" s="137"/>
      <c r="F9" s="137">
        <v>1050</v>
      </c>
      <c r="G9" s="137"/>
      <c r="H9" s="137">
        <v>2000</v>
      </c>
      <c r="I9" s="137"/>
      <c r="J9" s="137"/>
      <c r="K9" s="137">
        <v>2000</v>
      </c>
      <c r="L9" s="137"/>
      <c r="M9" s="137">
        <v>2000</v>
      </c>
      <c r="N9" s="137"/>
      <c r="O9" s="137">
        <v>2000</v>
      </c>
      <c r="P9" s="137"/>
      <c r="Q9" s="137">
        <v>1000</v>
      </c>
      <c r="R9" s="137"/>
      <c r="S9" s="137">
        <v>3000</v>
      </c>
      <c r="T9" s="137"/>
      <c r="U9" s="145">
        <f t="shared" si="0"/>
        <v>3000</v>
      </c>
    </row>
    <row r="10" spans="1:21" s="1" customFormat="1" ht="14.5">
      <c r="B10" s="146" t="s">
        <v>73</v>
      </c>
      <c r="C10" s="137"/>
      <c r="D10" s="137"/>
      <c r="E10" s="137"/>
      <c r="F10" s="137">
        <v>1050</v>
      </c>
      <c r="G10" s="137"/>
      <c r="H10" s="137">
        <v>2000</v>
      </c>
      <c r="I10" s="137"/>
      <c r="J10" s="137"/>
      <c r="K10" s="137">
        <v>2000</v>
      </c>
      <c r="L10" s="137"/>
      <c r="M10" s="137">
        <v>2000</v>
      </c>
      <c r="N10" s="137"/>
      <c r="O10" s="137">
        <v>2000</v>
      </c>
      <c r="P10" s="137"/>
      <c r="Q10" s="137">
        <v>1000</v>
      </c>
      <c r="R10" s="137"/>
      <c r="S10" s="137">
        <v>3000</v>
      </c>
      <c r="T10" s="137"/>
      <c r="U10" s="137">
        <f t="shared" si="0"/>
        <v>3000</v>
      </c>
    </row>
    <row r="11" spans="1:21" ht="14.5">
      <c r="A11" s="2"/>
      <c r="B11" s="147" t="s">
        <v>163</v>
      </c>
      <c r="C11" s="137"/>
      <c r="D11" s="137"/>
      <c r="E11" s="137"/>
      <c r="F11" s="137">
        <v>1050</v>
      </c>
      <c r="G11" s="137"/>
      <c r="H11" s="137">
        <v>2000</v>
      </c>
      <c r="I11" s="137"/>
      <c r="J11" s="137"/>
      <c r="K11" s="137">
        <v>2000</v>
      </c>
      <c r="L11" s="137"/>
      <c r="M11" s="137">
        <v>2000</v>
      </c>
      <c r="N11" s="137"/>
      <c r="O11" s="137">
        <v>2000</v>
      </c>
      <c r="P11" s="137"/>
      <c r="Q11" s="137">
        <v>1000</v>
      </c>
      <c r="R11" s="137"/>
      <c r="S11" s="137">
        <v>3000</v>
      </c>
      <c r="T11" s="137"/>
      <c r="U11" s="137">
        <f t="shared" si="0"/>
        <v>3000</v>
      </c>
    </row>
    <row r="12" spans="1:21" ht="14.5">
      <c r="A12" s="2"/>
      <c r="B12" s="144" t="s">
        <v>164</v>
      </c>
      <c r="C12" s="137">
        <v>1990.87</v>
      </c>
      <c r="D12" s="137">
        <v>613.96</v>
      </c>
      <c r="E12" s="137">
        <v>673.09</v>
      </c>
      <c r="F12" s="137">
        <v>924.82</v>
      </c>
      <c r="G12" s="137">
        <v>1687.9</v>
      </c>
      <c r="H12" s="137">
        <v>1193.9199999999998</v>
      </c>
      <c r="I12" s="137">
        <v>2480.7600000000002</v>
      </c>
      <c r="J12" s="137">
        <v>1380.4899999999998</v>
      </c>
      <c r="K12" s="137">
        <v>1568.8400000000001</v>
      </c>
      <c r="L12" s="137">
        <v>1388.64</v>
      </c>
      <c r="M12" s="137">
        <v>1260.19</v>
      </c>
      <c r="N12" s="137">
        <v>967.90000000000009</v>
      </c>
      <c r="O12" s="137">
        <v>3270.23</v>
      </c>
      <c r="P12" s="137">
        <v>1439.74</v>
      </c>
      <c r="Q12" s="137">
        <v>1254.75</v>
      </c>
      <c r="R12" s="137">
        <v>850.88</v>
      </c>
      <c r="S12" s="137">
        <v>874.67</v>
      </c>
      <c r="T12" s="137">
        <v>907.78</v>
      </c>
      <c r="U12" s="145">
        <f t="shared" si="0"/>
        <v>-33.110000000000014</v>
      </c>
    </row>
    <row r="13" spans="1:21" ht="14.5">
      <c r="A13" s="2"/>
      <c r="B13" s="146" t="s">
        <v>76</v>
      </c>
      <c r="C13" s="137">
        <v>314.83999999999997</v>
      </c>
      <c r="D13" s="137">
        <v>321.81</v>
      </c>
      <c r="E13" s="137">
        <v>431.18</v>
      </c>
      <c r="F13" s="137">
        <v>309.74</v>
      </c>
      <c r="G13" s="137">
        <v>1155.5899999999999</v>
      </c>
      <c r="H13" s="137">
        <v>447.55999999999995</v>
      </c>
      <c r="I13" s="137">
        <v>375.96999999999997</v>
      </c>
      <c r="J13" s="137">
        <v>492.03999999999996</v>
      </c>
      <c r="K13" s="137">
        <v>610.89</v>
      </c>
      <c r="L13" s="137">
        <v>494.47</v>
      </c>
      <c r="M13" s="137">
        <v>426.89000000000004</v>
      </c>
      <c r="N13" s="137">
        <v>403.23</v>
      </c>
      <c r="O13" s="137">
        <v>435.09000000000003</v>
      </c>
      <c r="P13" s="137">
        <v>392.63</v>
      </c>
      <c r="Q13" s="137">
        <v>459.20000000000005</v>
      </c>
      <c r="R13" s="137">
        <v>352.46000000000004</v>
      </c>
      <c r="S13" s="137">
        <v>376.66999999999996</v>
      </c>
      <c r="T13" s="137">
        <v>366.03</v>
      </c>
      <c r="U13" s="137">
        <f t="shared" si="0"/>
        <v>10.639999999999986</v>
      </c>
    </row>
    <row r="14" spans="1:21" ht="14.5">
      <c r="A14" s="2"/>
      <c r="B14" s="147" t="s">
        <v>165</v>
      </c>
      <c r="C14" s="137"/>
      <c r="D14" s="137"/>
      <c r="E14" s="137"/>
      <c r="F14" s="137"/>
      <c r="G14" s="137"/>
      <c r="H14" s="137"/>
      <c r="I14" s="137"/>
      <c r="J14" s="137"/>
      <c r="K14" s="137">
        <v>212.26</v>
      </c>
      <c r="L14" s="137"/>
      <c r="M14" s="137"/>
      <c r="N14" s="137"/>
      <c r="O14" s="137"/>
      <c r="P14" s="137"/>
      <c r="Q14" s="137"/>
      <c r="R14" s="137"/>
      <c r="S14" s="137"/>
      <c r="T14" s="137"/>
      <c r="U14" s="137">
        <f t="shared" si="0"/>
        <v>0</v>
      </c>
    </row>
    <row r="15" spans="1:21" ht="14.5">
      <c r="A15" s="2"/>
      <c r="B15" s="147" t="s">
        <v>166</v>
      </c>
      <c r="C15" s="137">
        <v>13.8</v>
      </c>
      <c r="D15" s="137">
        <v>13.8</v>
      </c>
      <c r="E15" s="137">
        <v>13.8</v>
      </c>
      <c r="F15" s="137">
        <v>13.8</v>
      </c>
      <c r="G15" s="137">
        <v>13.8</v>
      </c>
      <c r="H15" s="137">
        <v>13.8</v>
      </c>
      <c r="I15" s="137">
        <v>13.8</v>
      </c>
      <c r="J15" s="137">
        <v>13.8</v>
      </c>
      <c r="K15" s="137">
        <v>13.8</v>
      </c>
      <c r="L15" s="137">
        <v>13.8</v>
      </c>
      <c r="M15" s="137">
        <v>13.8</v>
      </c>
      <c r="N15" s="137">
        <v>13.8</v>
      </c>
      <c r="O15" s="137">
        <v>45.66</v>
      </c>
      <c r="P15" s="137">
        <v>13.8</v>
      </c>
      <c r="Q15" s="137">
        <v>13.8</v>
      </c>
      <c r="R15" s="137">
        <v>13.8</v>
      </c>
      <c r="S15" s="137">
        <v>13.8</v>
      </c>
      <c r="T15" s="137">
        <v>13.8</v>
      </c>
      <c r="U15" s="137">
        <f t="shared" si="0"/>
        <v>0</v>
      </c>
    </row>
    <row r="16" spans="1:21" ht="14.5">
      <c r="A16" s="2"/>
      <c r="B16" s="147" t="s">
        <v>167</v>
      </c>
      <c r="C16" s="137"/>
      <c r="D16" s="137"/>
      <c r="E16" s="137"/>
      <c r="F16" s="137"/>
      <c r="G16" s="137">
        <v>26.65</v>
      </c>
      <c r="H16" s="137"/>
      <c r="I16" s="137"/>
      <c r="J16" s="137"/>
      <c r="K16" s="137"/>
      <c r="L16" s="137"/>
      <c r="M16" s="137"/>
      <c r="N16" s="137"/>
      <c r="O16" s="137"/>
      <c r="P16" s="137"/>
      <c r="Q16" s="137"/>
      <c r="R16" s="137"/>
      <c r="S16" s="137"/>
      <c r="T16" s="137"/>
      <c r="U16" s="137">
        <f t="shared" si="0"/>
        <v>0</v>
      </c>
    </row>
    <row r="17" spans="1:21" ht="14.5">
      <c r="A17" s="2"/>
      <c r="B17" s="147" t="s">
        <v>168</v>
      </c>
      <c r="C17" s="137">
        <v>25.299999999999997</v>
      </c>
      <c r="D17" s="137">
        <v>25.299999999999997</v>
      </c>
      <c r="E17" s="137">
        <v>25.299999999999997</v>
      </c>
      <c r="F17" s="137">
        <v>25.299999999999997</v>
      </c>
      <c r="G17" s="137">
        <v>25.299999999999997</v>
      </c>
      <c r="H17" s="137">
        <v>25.299999999999997</v>
      </c>
      <c r="I17" s="137">
        <v>25.299999999999997</v>
      </c>
      <c r="J17" s="137">
        <v>25.54</v>
      </c>
      <c r="K17" s="137">
        <v>25.54</v>
      </c>
      <c r="L17" s="137">
        <v>25.54</v>
      </c>
      <c r="M17" s="137">
        <v>25.54</v>
      </c>
      <c r="N17" s="137">
        <v>25.54</v>
      </c>
      <c r="O17" s="137">
        <v>25.54</v>
      </c>
      <c r="P17" s="137">
        <v>25.54</v>
      </c>
      <c r="Q17" s="137">
        <v>25.54</v>
      </c>
      <c r="R17" s="137">
        <v>25.54</v>
      </c>
      <c r="S17" s="137">
        <v>25.54</v>
      </c>
      <c r="T17" s="137">
        <v>25.54</v>
      </c>
      <c r="U17" s="137">
        <f t="shared" si="0"/>
        <v>0</v>
      </c>
    </row>
    <row r="18" spans="1:21" ht="14.5">
      <c r="A18" s="2"/>
      <c r="B18" s="147" t="s">
        <v>169</v>
      </c>
      <c r="C18" s="137">
        <v>180.88</v>
      </c>
      <c r="D18" s="137">
        <v>180.88</v>
      </c>
      <c r="E18" s="137">
        <v>180.88</v>
      </c>
      <c r="F18" s="137">
        <v>180.88</v>
      </c>
      <c r="G18" s="137">
        <v>180.88</v>
      </c>
      <c r="H18" s="137">
        <v>180.88</v>
      </c>
      <c r="I18" s="137">
        <v>186.2</v>
      </c>
      <c r="J18" s="137">
        <v>159.6</v>
      </c>
      <c r="K18" s="137">
        <v>159.6</v>
      </c>
      <c r="L18" s="137">
        <v>203.77</v>
      </c>
      <c r="M18" s="137">
        <v>191.52</v>
      </c>
      <c r="N18" s="137">
        <v>191.52</v>
      </c>
      <c r="O18" s="137">
        <v>191.52</v>
      </c>
      <c r="P18" s="137">
        <v>159.6</v>
      </c>
      <c r="Q18" s="137">
        <v>159.6</v>
      </c>
      <c r="R18" s="137">
        <v>119.43</v>
      </c>
      <c r="S18" s="137">
        <v>143.63999999999999</v>
      </c>
      <c r="T18" s="137">
        <v>133</v>
      </c>
      <c r="U18" s="137">
        <f t="shared" si="0"/>
        <v>10.639999999999986</v>
      </c>
    </row>
    <row r="19" spans="1:21" ht="14.5">
      <c r="A19" s="2"/>
      <c r="B19" s="147" t="s">
        <v>170</v>
      </c>
      <c r="C19" s="137">
        <v>12.78</v>
      </c>
      <c r="D19" s="137"/>
      <c r="E19" s="137">
        <v>25.56</v>
      </c>
      <c r="F19" s="137">
        <v>12.78</v>
      </c>
      <c r="G19" s="137">
        <v>12.78</v>
      </c>
      <c r="H19" s="137">
        <v>12.78</v>
      </c>
      <c r="I19" s="137">
        <v>12.78</v>
      </c>
      <c r="J19" s="137">
        <v>12.78</v>
      </c>
      <c r="K19" s="137">
        <v>12.78</v>
      </c>
      <c r="L19" s="137">
        <v>12.78</v>
      </c>
      <c r="M19" s="137">
        <v>12.78</v>
      </c>
      <c r="N19" s="137">
        <v>12.78</v>
      </c>
      <c r="O19" s="137">
        <v>12.78</v>
      </c>
      <c r="P19" s="137">
        <v>12.78</v>
      </c>
      <c r="Q19" s="137">
        <v>12.78</v>
      </c>
      <c r="R19" s="137">
        <v>12.78</v>
      </c>
      <c r="S19" s="137">
        <v>12.78</v>
      </c>
      <c r="T19" s="137">
        <v>12.78</v>
      </c>
      <c r="U19" s="137">
        <f t="shared" si="0"/>
        <v>0</v>
      </c>
    </row>
    <row r="20" spans="1:21" ht="14.5">
      <c r="A20" s="2"/>
      <c r="B20" s="147" t="s">
        <v>171</v>
      </c>
      <c r="C20" s="137"/>
      <c r="D20" s="137"/>
      <c r="E20" s="137"/>
      <c r="F20" s="137"/>
      <c r="G20" s="137"/>
      <c r="H20" s="137"/>
      <c r="I20" s="137"/>
      <c r="J20" s="137">
        <v>137.79</v>
      </c>
      <c r="K20" s="137"/>
      <c r="L20" s="137"/>
      <c r="M20" s="137"/>
      <c r="N20" s="137"/>
      <c r="O20" s="137"/>
      <c r="P20" s="137"/>
      <c r="Q20" s="137"/>
      <c r="R20" s="137"/>
      <c r="S20" s="137"/>
      <c r="T20" s="137"/>
      <c r="U20" s="137">
        <f t="shared" si="0"/>
        <v>0</v>
      </c>
    </row>
    <row r="21" spans="1:21" ht="14.5">
      <c r="A21" s="2"/>
      <c r="B21" s="147" t="s">
        <v>172</v>
      </c>
      <c r="C21" s="137"/>
      <c r="D21" s="137"/>
      <c r="E21" s="137"/>
      <c r="F21" s="137"/>
      <c r="G21" s="137">
        <v>814.40000000000009</v>
      </c>
      <c r="H21" s="137"/>
      <c r="I21" s="137"/>
      <c r="J21" s="137"/>
      <c r="K21" s="137"/>
      <c r="L21" s="137"/>
      <c r="M21" s="137"/>
      <c r="N21" s="137"/>
      <c r="O21" s="137"/>
      <c r="P21" s="137"/>
      <c r="Q21" s="137"/>
      <c r="R21" s="137"/>
      <c r="S21" s="137"/>
      <c r="T21" s="137"/>
      <c r="U21" s="137">
        <f t="shared" si="0"/>
        <v>0</v>
      </c>
    </row>
    <row r="22" spans="1:21" ht="14.5">
      <c r="A22" s="2"/>
      <c r="B22" s="147" t="s">
        <v>173</v>
      </c>
      <c r="C22" s="137">
        <v>82.08</v>
      </c>
      <c r="D22" s="137">
        <v>82.08</v>
      </c>
      <c r="E22" s="137">
        <v>82.08</v>
      </c>
      <c r="F22" s="137"/>
      <c r="G22" s="137"/>
      <c r="H22" s="137"/>
      <c r="I22" s="137"/>
      <c r="J22" s="137"/>
      <c r="K22" s="137"/>
      <c r="L22" s="137"/>
      <c r="M22" s="137"/>
      <c r="N22" s="137"/>
      <c r="O22" s="137"/>
      <c r="P22" s="137">
        <v>21.32</v>
      </c>
      <c r="Q22" s="137">
        <v>21.32</v>
      </c>
      <c r="R22" s="137">
        <v>21.32</v>
      </c>
      <c r="S22" s="137">
        <v>21.32</v>
      </c>
      <c r="T22" s="137">
        <v>21.32</v>
      </c>
      <c r="U22" s="137">
        <f t="shared" si="0"/>
        <v>0</v>
      </c>
    </row>
    <row r="23" spans="1:21" ht="14.5">
      <c r="A23" s="2"/>
      <c r="B23" s="147" t="s">
        <v>174</v>
      </c>
      <c r="C23" s="137"/>
      <c r="D23" s="137">
        <v>19.75</v>
      </c>
      <c r="E23" s="137">
        <v>21.01</v>
      </c>
      <c r="F23" s="137">
        <v>21.01</v>
      </c>
      <c r="G23" s="137">
        <v>21.01</v>
      </c>
      <c r="H23" s="137">
        <v>21.01</v>
      </c>
      <c r="I23" s="137">
        <v>21.01</v>
      </c>
      <c r="J23" s="137">
        <v>21.01</v>
      </c>
      <c r="K23" s="137">
        <v>21.01</v>
      </c>
      <c r="L23" s="137">
        <v>21.01</v>
      </c>
      <c r="M23" s="137">
        <v>21.01</v>
      </c>
      <c r="N23" s="137">
        <v>21.01</v>
      </c>
      <c r="O23" s="137">
        <v>21.01</v>
      </c>
      <c r="P23" s="137">
        <v>21.01</v>
      </c>
      <c r="Q23" s="137">
        <v>21.01</v>
      </c>
      <c r="R23" s="137">
        <v>21.01</v>
      </c>
      <c r="S23" s="137">
        <v>21.01</v>
      </c>
      <c r="T23" s="137">
        <v>21.01</v>
      </c>
      <c r="U23" s="137">
        <f t="shared" si="0"/>
        <v>0</v>
      </c>
    </row>
    <row r="24" spans="1:21" ht="14.5">
      <c r="A24" s="2"/>
      <c r="B24" s="147" t="s">
        <v>175</v>
      </c>
      <c r="C24" s="137"/>
      <c r="D24" s="137"/>
      <c r="E24" s="137">
        <v>56.57</v>
      </c>
      <c r="F24" s="137"/>
      <c r="G24" s="137"/>
      <c r="H24" s="137"/>
      <c r="I24" s="137"/>
      <c r="J24" s="137"/>
      <c r="K24" s="137"/>
      <c r="L24" s="137"/>
      <c r="M24" s="137"/>
      <c r="N24" s="137"/>
      <c r="O24" s="137"/>
      <c r="P24" s="137"/>
      <c r="Q24" s="137"/>
      <c r="R24" s="137"/>
      <c r="S24" s="137"/>
      <c r="T24" s="137"/>
      <c r="U24" s="137">
        <f t="shared" si="0"/>
        <v>0</v>
      </c>
    </row>
    <row r="25" spans="1:21" ht="14.5">
      <c r="A25" s="2"/>
      <c r="B25" s="147" t="s">
        <v>176</v>
      </c>
      <c r="C25" s="137"/>
      <c r="D25" s="137"/>
      <c r="E25" s="137">
        <v>25.98</v>
      </c>
      <c r="F25" s="137"/>
      <c r="G25" s="137"/>
      <c r="H25" s="137">
        <v>133.02000000000001</v>
      </c>
      <c r="I25" s="137"/>
      <c r="J25" s="137"/>
      <c r="K25" s="137">
        <v>44.38</v>
      </c>
      <c r="L25" s="137"/>
      <c r="M25" s="137"/>
      <c r="N25" s="137"/>
      <c r="O25" s="137"/>
      <c r="P25" s="137"/>
      <c r="Q25" s="137">
        <v>66.569999999999993</v>
      </c>
      <c r="R25" s="137"/>
      <c r="S25" s="137"/>
      <c r="T25" s="137"/>
      <c r="U25" s="137">
        <f t="shared" si="0"/>
        <v>0</v>
      </c>
    </row>
    <row r="26" spans="1:21" ht="14.5">
      <c r="A26" s="2"/>
      <c r="B26" s="147" t="s">
        <v>177</v>
      </c>
      <c r="C26" s="137"/>
      <c r="D26" s="137"/>
      <c r="E26" s="137"/>
      <c r="F26" s="137">
        <v>55.970000000000006</v>
      </c>
      <c r="G26" s="137">
        <v>60.77</v>
      </c>
      <c r="H26" s="137">
        <v>60.77</v>
      </c>
      <c r="I26" s="137">
        <v>116.88</v>
      </c>
      <c r="J26" s="137">
        <v>121.52</v>
      </c>
      <c r="K26" s="137">
        <v>121.52</v>
      </c>
      <c r="L26" s="137">
        <v>138.58000000000001</v>
      </c>
      <c r="M26" s="137">
        <v>138.58000000000001</v>
      </c>
      <c r="N26" s="137">
        <v>138.58000000000001</v>
      </c>
      <c r="O26" s="137">
        <v>138.58000000000001</v>
      </c>
      <c r="P26" s="137">
        <v>138.58000000000001</v>
      </c>
      <c r="Q26" s="137">
        <v>138.58000000000001</v>
      </c>
      <c r="R26" s="137">
        <v>138.58000000000001</v>
      </c>
      <c r="S26" s="137">
        <v>138.58000000000001</v>
      </c>
      <c r="T26" s="137">
        <v>138.58000000000001</v>
      </c>
      <c r="U26" s="137">
        <f t="shared" si="0"/>
        <v>0</v>
      </c>
    </row>
    <row r="27" spans="1:21" ht="14.5">
      <c r="A27" s="2"/>
      <c r="B27" s="147" t="s">
        <v>178</v>
      </c>
      <c r="C27" s="137"/>
      <c r="D27" s="137"/>
      <c r="E27" s="137"/>
      <c r="F27" s="137"/>
      <c r="G27" s="137"/>
      <c r="H27" s="137"/>
      <c r="I27" s="137"/>
      <c r="J27" s="137"/>
      <c r="K27" s="137"/>
      <c r="L27" s="137">
        <v>49.99</v>
      </c>
      <c r="M27" s="137"/>
      <c r="N27" s="137"/>
      <c r="O27" s="137"/>
      <c r="P27" s="137"/>
      <c r="Q27" s="137"/>
      <c r="R27" s="137"/>
      <c r="S27" s="137"/>
      <c r="T27" s="137"/>
      <c r="U27" s="137">
        <f t="shared" si="0"/>
        <v>0</v>
      </c>
    </row>
    <row r="28" spans="1:21" ht="14.5">
      <c r="A28" s="2"/>
      <c r="B28" s="147" t="s">
        <v>179</v>
      </c>
      <c r="C28" s="137"/>
      <c r="D28" s="137"/>
      <c r="E28" s="137"/>
      <c r="F28" s="137"/>
      <c r="G28" s="137"/>
      <c r="H28" s="137"/>
      <c r="I28" s="137"/>
      <c r="J28" s="137"/>
      <c r="K28" s="137"/>
      <c r="L28" s="137">
        <v>29</v>
      </c>
      <c r="M28" s="137"/>
      <c r="N28" s="137"/>
      <c r="O28" s="137"/>
      <c r="P28" s="137"/>
      <c r="Q28" s="137"/>
      <c r="R28" s="137"/>
      <c r="S28" s="137"/>
      <c r="T28" s="137"/>
      <c r="U28" s="137">
        <f t="shared" si="0"/>
        <v>0</v>
      </c>
    </row>
    <row r="29" spans="1:21" ht="14.5">
      <c r="A29" s="2"/>
      <c r="B29" s="147" t="s">
        <v>180</v>
      </c>
      <c r="C29" s="137"/>
      <c r="D29" s="137"/>
      <c r="E29" s="137"/>
      <c r="F29" s="137"/>
      <c r="G29" s="137"/>
      <c r="H29" s="137"/>
      <c r="I29" s="137"/>
      <c r="J29" s="137"/>
      <c r="K29" s="137"/>
      <c r="L29" s="137"/>
      <c r="M29" s="137">
        <v>23.66</v>
      </c>
      <c r="N29" s="137"/>
      <c r="O29" s="137"/>
      <c r="P29" s="137"/>
      <c r="Q29" s="137"/>
      <c r="R29" s="137"/>
      <c r="S29" s="137"/>
      <c r="T29" s="137"/>
      <c r="U29" s="137">
        <f t="shared" si="0"/>
        <v>0</v>
      </c>
    </row>
    <row r="30" spans="1:21" ht="14.5">
      <c r="A30" s="2"/>
      <c r="B30" s="146" t="s">
        <v>79</v>
      </c>
      <c r="C30" s="137">
        <v>31.92</v>
      </c>
      <c r="D30" s="137">
        <v>31.92</v>
      </c>
      <c r="E30" s="137"/>
      <c r="F30" s="137">
        <v>227.68</v>
      </c>
      <c r="G30" s="137">
        <v>274.94</v>
      </c>
      <c r="H30" s="137">
        <v>509.84</v>
      </c>
      <c r="I30" s="137">
        <v>1726.01</v>
      </c>
      <c r="J30" s="137">
        <v>511.61</v>
      </c>
      <c r="K30" s="137">
        <v>586.55000000000007</v>
      </c>
      <c r="L30" s="137">
        <v>582.65</v>
      </c>
      <c r="M30" s="137">
        <v>540.68000000000006</v>
      </c>
      <c r="N30" s="137">
        <v>255.71</v>
      </c>
      <c r="O30" s="137">
        <v>499.29999999999995</v>
      </c>
      <c r="P30" s="137">
        <v>506.14</v>
      </c>
      <c r="Q30" s="137">
        <v>500.65</v>
      </c>
      <c r="R30" s="137">
        <v>213.15</v>
      </c>
      <c r="S30" s="137">
        <v>213.15</v>
      </c>
      <c r="T30" s="137">
        <v>213.15</v>
      </c>
      <c r="U30" s="137">
        <f t="shared" si="0"/>
        <v>0</v>
      </c>
    </row>
    <row r="31" spans="1:21" ht="14.5">
      <c r="A31" s="2"/>
      <c r="B31" s="147" t="s">
        <v>181</v>
      </c>
      <c r="C31" s="137"/>
      <c r="D31" s="137"/>
      <c r="E31" s="137"/>
      <c r="F31" s="137">
        <v>227.68</v>
      </c>
      <c r="G31" s="137">
        <v>274.94</v>
      </c>
      <c r="H31" s="137">
        <v>275.52999999999997</v>
      </c>
      <c r="I31" s="137">
        <v>303.7</v>
      </c>
      <c r="J31" s="137">
        <v>277.3</v>
      </c>
      <c r="K31" s="137">
        <v>283.79000000000002</v>
      </c>
      <c r="L31" s="137">
        <v>284.38</v>
      </c>
      <c r="M31" s="137">
        <v>284.97000000000003</v>
      </c>
      <c r="N31" s="137"/>
      <c r="O31" s="137">
        <v>286.14999999999998</v>
      </c>
      <c r="P31" s="137">
        <v>292.99</v>
      </c>
      <c r="Q31" s="137">
        <v>287.5</v>
      </c>
      <c r="R31" s="137"/>
      <c r="S31" s="137"/>
      <c r="T31" s="137"/>
      <c r="U31" s="137">
        <f t="shared" si="0"/>
        <v>0</v>
      </c>
    </row>
    <row r="32" spans="1:21" ht="14.5">
      <c r="A32" s="2"/>
      <c r="B32" s="147" t="s">
        <v>182</v>
      </c>
      <c r="C32" s="137">
        <v>31.92</v>
      </c>
      <c r="D32" s="137">
        <v>31.92</v>
      </c>
      <c r="E32" s="137"/>
      <c r="F32" s="137"/>
      <c r="G32" s="137"/>
      <c r="H32" s="137">
        <v>85.12</v>
      </c>
      <c r="I32" s="137">
        <v>85.12</v>
      </c>
      <c r="J32" s="137">
        <v>85.12</v>
      </c>
      <c r="K32" s="137">
        <v>85.12</v>
      </c>
      <c r="L32" s="137">
        <v>85.12</v>
      </c>
      <c r="M32" s="137">
        <v>42.56</v>
      </c>
      <c r="N32" s="137">
        <v>42.56</v>
      </c>
      <c r="O32" s="137"/>
      <c r="P32" s="137"/>
      <c r="Q32" s="137"/>
      <c r="R32" s="137"/>
      <c r="S32" s="137"/>
      <c r="T32" s="137"/>
      <c r="U32" s="137">
        <f t="shared" si="0"/>
        <v>0</v>
      </c>
    </row>
    <row r="33" spans="1:21" ht="14.5">
      <c r="A33" s="2"/>
      <c r="B33" s="147" t="s">
        <v>183</v>
      </c>
      <c r="C33" s="137"/>
      <c r="D33" s="137"/>
      <c r="E33" s="137"/>
      <c r="F33" s="137"/>
      <c r="G33" s="137"/>
      <c r="H33" s="137"/>
      <c r="I33" s="137">
        <v>1188</v>
      </c>
      <c r="J33" s="137"/>
      <c r="K33" s="137"/>
      <c r="L33" s="137"/>
      <c r="M33" s="137"/>
      <c r="N33" s="137"/>
      <c r="O33" s="137"/>
      <c r="P33" s="137"/>
      <c r="Q33" s="137"/>
      <c r="R33" s="137"/>
      <c r="S33" s="137"/>
      <c r="T33" s="137"/>
      <c r="U33" s="137">
        <f t="shared" si="0"/>
        <v>0</v>
      </c>
    </row>
    <row r="34" spans="1:21" ht="14.5">
      <c r="A34" s="2"/>
      <c r="B34" s="147" t="s">
        <v>184</v>
      </c>
      <c r="C34" s="137"/>
      <c r="D34" s="137"/>
      <c r="E34" s="137"/>
      <c r="F34" s="137"/>
      <c r="G34" s="137"/>
      <c r="H34" s="137">
        <v>149.19</v>
      </c>
      <c r="I34" s="137">
        <v>149.19</v>
      </c>
      <c r="J34" s="137">
        <v>149.19</v>
      </c>
      <c r="K34" s="137">
        <v>217.64000000000001</v>
      </c>
      <c r="L34" s="137">
        <v>213.15</v>
      </c>
      <c r="M34" s="137">
        <v>213.15</v>
      </c>
      <c r="N34" s="137">
        <v>213.15</v>
      </c>
      <c r="O34" s="137">
        <v>213.15</v>
      </c>
      <c r="P34" s="137">
        <v>213.15</v>
      </c>
      <c r="Q34" s="137">
        <v>213.15</v>
      </c>
      <c r="R34" s="137">
        <v>213.15</v>
      </c>
      <c r="S34" s="137">
        <v>213.15</v>
      </c>
      <c r="T34" s="137">
        <v>213.15</v>
      </c>
      <c r="U34" s="137">
        <f t="shared" si="0"/>
        <v>0</v>
      </c>
    </row>
    <row r="35" spans="1:21" ht="14.5">
      <c r="A35" s="2"/>
      <c r="B35" s="146" t="s">
        <v>75</v>
      </c>
      <c r="C35" s="137">
        <v>1644.1100000000001</v>
      </c>
      <c r="D35" s="137">
        <v>260.23</v>
      </c>
      <c r="E35" s="137">
        <v>241.91</v>
      </c>
      <c r="F35" s="137">
        <v>387.4</v>
      </c>
      <c r="G35" s="137">
        <v>257.37</v>
      </c>
      <c r="H35" s="137">
        <v>236.52</v>
      </c>
      <c r="I35" s="137">
        <v>378.78</v>
      </c>
      <c r="J35" s="137">
        <v>376.84</v>
      </c>
      <c r="K35" s="137">
        <v>371.4</v>
      </c>
      <c r="L35" s="137">
        <v>311.52</v>
      </c>
      <c r="M35" s="137">
        <v>292.62</v>
      </c>
      <c r="N35" s="137">
        <v>308.95999999999998</v>
      </c>
      <c r="O35" s="137">
        <v>2335.84</v>
      </c>
      <c r="P35" s="137">
        <v>540.97</v>
      </c>
      <c r="Q35" s="137">
        <v>294.89999999999998</v>
      </c>
      <c r="R35" s="137">
        <v>285.27</v>
      </c>
      <c r="S35" s="137">
        <v>284.85000000000002</v>
      </c>
      <c r="T35" s="137">
        <v>328.6</v>
      </c>
      <c r="U35" s="137">
        <f t="shared" si="0"/>
        <v>-43.75</v>
      </c>
    </row>
    <row r="36" spans="1:21" ht="14.5">
      <c r="A36" s="2"/>
      <c r="B36" s="147" t="s">
        <v>185</v>
      </c>
      <c r="C36" s="137">
        <v>1427.47</v>
      </c>
      <c r="D36" s="137"/>
      <c r="E36" s="137"/>
      <c r="F36" s="137"/>
      <c r="G36" s="137"/>
      <c r="H36" s="137"/>
      <c r="I36" s="137"/>
      <c r="J36" s="137"/>
      <c r="K36" s="137"/>
      <c r="L36" s="137"/>
      <c r="M36" s="137"/>
      <c r="N36" s="137">
        <v>32.25</v>
      </c>
      <c r="O36" s="137">
        <v>2036.8</v>
      </c>
      <c r="P36" s="137"/>
      <c r="Q36" s="137"/>
      <c r="R36" s="137"/>
      <c r="S36" s="137"/>
      <c r="T36" s="137"/>
      <c r="U36" s="137">
        <f t="shared" si="0"/>
        <v>0</v>
      </c>
    </row>
    <row r="37" spans="1:21" ht="14.5">
      <c r="A37" s="2"/>
      <c r="B37" s="147" t="s">
        <v>186</v>
      </c>
      <c r="C37" s="137">
        <v>216.64</v>
      </c>
      <c r="D37" s="137">
        <v>260.23</v>
      </c>
      <c r="E37" s="137">
        <v>241.91</v>
      </c>
      <c r="F37" s="137">
        <v>387.4</v>
      </c>
      <c r="G37" s="137">
        <v>257.37</v>
      </c>
      <c r="H37" s="137">
        <v>236.52</v>
      </c>
      <c r="I37" s="137">
        <v>378.78</v>
      </c>
      <c r="J37" s="137">
        <v>376.84</v>
      </c>
      <c r="K37" s="137">
        <v>371.4</v>
      </c>
      <c r="L37" s="137">
        <v>311.52</v>
      </c>
      <c r="M37" s="137">
        <v>292.62</v>
      </c>
      <c r="N37" s="137">
        <v>276.70999999999998</v>
      </c>
      <c r="O37" s="137">
        <v>299.04000000000002</v>
      </c>
      <c r="P37" s="137">
        <v>540.97</v>
      </c>
      <c r="Q37" s="137">
        <v>294.89999999999998</v>
      </c>
      <c r="R37" s="137">
        <v>285.27</v>
      </c>
      <c r="S37" s="137">
        <v>284.85000000000002</v>
      </c>
      <c r="T37" s="137">
        <v>328.6</v>
      </c>
      <c r="U37" s="137">
        <f t="shared" si="0"/>
        <v>-43.75</v>
      </c>
    </row>
    <row r="38" spans="1:21" s="1" customFormat="1" ht="14.5">
      <c r="B38" s="144" t="s">
        <v>9</v>
      </c>
      <c r="C38" s="137">
        <v>1007.5600000000001</v>
      </c>
      <c r="D38" s="137">
        <v>13069.289999999999</v>
      </c>
      <c r="E38" s="137">
        <v>14339.92</v>
      </c>
      <c r="F38" s="137">
        <v>15297.89</v>
      </c>
      <c r="G38" s="137">
        <v>17266.72</v>
      </c>
      <c r="H38" s="137">
        <v>13768.539999999999</v>
      </c>
      <c r="I38" s="137">
        <v>18080.939999999999</v>
      </c>
      <c r="J38" s="137">
        <v>37312.239999999998</v>
      </c>
      <c r="K38" s="137">
        <v>15322.03</v>
      </c>
      <c r="L38" s="137">
        <v>20416.809999999998</v>
      </c>
      <c r="M38" s="137">
        <v>20804.530000000002</v>
      </c>
      <c r="N38" s="137">
        <v>17697.400000000001</v>
      </c>
      <c r="O38" s="137">
        <v>14960.82</v>
      </c>
      <c r="P38" s="137">
        <v>16793.61</v>
      </c>
      <c r="Q38" s="137">
        <v>29302.109999999997</v>
      </c>
      <c r="R38" s="137">
        <v>17158.2</v>
      </c>
      <c r="S38" s="137">
        <v>17532.86</v>
      </c>
      <c r="T38" s="137">
        <v>5332.9000000000005</v>
      </c>
      <c r="U38" s="145">
        <f t="shared" si="0"/>
        <v>12199.96</v>
      </c>
    </row>
    <row r="39" spans="1:21" ht="14.5">
      <c r="A39" s="2"/>
      <c r="B39" s="146" t="s">
        <v>77</v>
      </c>
      <c r="C39" s="137">
        <v>1007.5600000000001</v>
      </c>
      <c r="D39" s="137">
        <v>13069.289999999999</v>
      </c>
      <c r="E39" s="137">
        <v>14339.92</v>
      </c>
      <c r="F39" s="137">
        <v>15297.89</v>
      </c>
      <c r="G39" s="137">
        <v>17266.72</v>
      </c>
      <c r="H39" s="137">
        <v>13768.539999999999</v>
      </c>
      <c r="I39" s="137">
        <v>18080.939999999999</v>
      </c>
      <c r="J39" s="137">
        <v>37312.239999999998</v>
      </c>
      <c r="K39" s="137">
        <v>15322.03</v>
      </c>
      <c r="L39" s="137">
        <v>20416.809999999998</v>
      </c>
      <c r="M39" s="137">
        <v>20804.530000000002</v>
      </c>
      <c r="N39" s="137">
        <v>17697.400000000001</v>
      </c>
      <c r="O39" s="137">
        <v>14960.82</v>
      </c>
      <c r="P39" s="137">
        <v>16793.61</v>
      </c>
      <c r="Q39" s="137">
        <v>29302.109999999997</v>
      </c>
      <c r="R39" s="137">
        <v>17158.2</v>
      </c>
      <c r="S39" s="137">
        <v>17532.86</v>
      </c>
      <c r="T39" s="137">
        <v>5332.9000000000005</v>
      </c>
      <c r="U39" s="137">
        <f t="shared" si="0"/>
        <v>12199.96</v>
      </c>
    </row>
    <row r="40" spans="1:21" ht="14.5">
      <c r="A40" s="2"/>
      <c r="B40" s="147" t="s">
        <v>187</v>
      </c>
      <c r="C40" s="137">
        <v>310.67</v>
      </c>
      <c r="D40" s="137">
        <v>7171.4</v>
      </c>
      <c r="E40" s="137">
        <v>6399.9</v>
      </c>
      <c r="F40" s="137">
        <v>9071.33</v>
      </c>
      <c r="G40" s="137">
        <v>9087.09</v>
      </c>
      <c r="H40" s="137">
        <v>9063.5300000000007</v>
      </c>
      <c r="I40" s="137">
        <v>9078.5</v>
      </c>
      <c r="J40" s="137">
        <v>21415.87</v>
      </c>
      <c r="K40" s="137">
        <v>9163.02</v>
      </c>
      <c r="L40" s="137">
        <v>17541.849999999999</v>
      </c>
      <c r="M40" s="137">
        <v>13980.76</v>
      </c>
      <c r="N40" s="137">
        <v>13265.710000000001</v>
      </c>
      <c r="O40" s="137">
        <v>9421.8000000000011</v>
      </c>
      <c r="P40" s="137">
        <v>13419.37</v>
      </c>
      <c r="Q40" s="137">
        <v>18963.629999999997</v>
      </c>
      <c r="R40" s="137">
        <v>7046.68</v>
      </c>
      <c r="S40" s="137">
        <v>7046.68</v>
      </c>
      <c r="T40" s="137">
        <v>106.6</v>
      </c>
      <c r="U40" s="137">
        <f t="shared" si="0"/>
        <v>6940.08</v>
      </c>
    </row>
    <row r="41" spans="1:21" ht="14.5">
      <c r="A41" s="2"/>
      <c r="B41" s="147" t="s">
        <v>167</v>
      </c>
      <c r="C41" s="137">
        <v>31.64</v>
      </c>
      <c r="D41" s="137">
        <v>26.65</v>
      </c>
      <c r="E41" s="137">
        <v>26.65</v>
      </c>
      <c r="F41" s="137">
        <v>26.65</v>
      </c>
      <c r="G41" s="137"/>
      <c r="H41" s="137">
        <v>26.65</v>
      </c>
      <c r="I41" s="137">
        <v>26.65</v>
      </c>
      <c r="J41" s="137">
        <v>26.65</v>
      </c>
      <c r="K41" s="137">
        <v>28.09</v>
      </c>
      <c r="L41" s="137">
        <v>41.05</v>
      </c>
      <c r="M41" s="137">
        <v>70.69</v>
      </c>
      <c r="N41" s="137">
        <v>2734.34</v>
      </c>
      <c r="O41" s="137">
        <v>2215.06</v>
      </c>
      <c r="P41" s="137">
        <v>62.63</v>
      </c>
      <c r="Q41" s="137">
        <v>2196.77</v>
      </c>
      <c r="R41" s="137">
        <v>1398.06</v>
      </c>
      <c r="S41" s="137">
        <v>1066</v>
      </c>
      <c r="T41" s="137">
        <v>1066</v>
      </c>
      <c r="U41" s="137">
        <f t="shared" si="0"/>
        <v>0</v>
      </c>
    </row>
    <row r="42" spans="1:21" ht="14.5">
      <c r="A42" s="2"/>
      <c r="B42" s="147" t="s">
        <v>188</v>
      </c>
      <c r="C42" s="137">
        <v>105.8</v>
      </c>
      <c r="D42" s="137">
        <v>106.6</v>
      </c>
      <c r="E42" s="137">
        <v>106.6</v>
      </c>
      <c r="F42" s="137">
        <v>106.6</v>
      </c>
      <c r="G42" s="137">
        <v>111.33</v>
      </c>
      <c r="H42" s="137">
        <v>106.6</v>
      </c>
      <c r="I42" s="137">
        <v>107.67</v>
      </c>
      <c r="J42" s="137">
        <v>106.6</v>
      </c>
      <c r="K42" s="137">
        <v>106.6</v>
      </c>
      <c r="L42" s="137">
        <v>127.92</v>
      </c>
      <c r="M42" s="137">
        <v>128.56</v>
      </c>
      <c r="N42" s="137">
        <v>127.92</v>
      </c>
      <c r="O42" s="137">
        <v>127.92</v>
      </c>
      <c r="P42" s="137">
        <v>127.92</v>
      </c>
      <c r="Q42" s="137">
        <v>127.92</v>
      </c>
      <c r="R42" s="137">
        <v>127.92</v>
      </c>
      <c r="S42" s="137"/>
      <c r="T42" s="137"/>
      <c r="U42" s="137">
        <f t="shared" si="0"/>
        <v>0</v>
      </c>
    </row>
    <row r="43" spans="1:21" ht="14.5">
      <c r="A43" s="2"/>
      <c r="B43" s="147" t="s">
        <v>189</v>
      </c>
      <c r="C43" s="137">
        <v>103.84</v>
      </c>
      <c r="D43" s="137">
        <v>115.73</v>
      </c>
      <c r="E43" s="137">
        <v>151.38</v>
      </c>
      <c r="F43" s="137"/>
      <c r="G43" s="137"/>
      <c r="H43" s="137"/>
      <c r="I43" s="137"/>
      <c r="J43" s="137"/>
      <c r="K43" s="137"/>
      <c r="L43" s="137"/>
      <c r="M43" s="137"/>
      <c r="N43" s="137">
        <v>286.14999999999998</v>
      </c>
      <c r="O43" s="137"/>
      <c r="P43" s="137"/>
      <c r="Q43" s="137"/>
      <c r="R43" s="137">
        <v>333.94</v>
      </c>
      <c r="S43" s="137">
        <v>334.53</v>
      </c>
      <c r="T43" s="137">
        <v>335.12</v>
      </c>
      <c r="U43" s="137">
        <f t="shared" si="0"/>
        <v>-0.59000000000003183</v>
      </c>
    </row>
    <row r="44" spans="1:21" ht="14.5">
      <c r="A44" s="2"/>
      <c r="B44" s="147" t="s">
        <v>190</v>
      </c>
      <c r="C44" s="137">
        <v>16.89</v>
      </c>
      <c r="D44" s="137">
        <v>16.89</v>
      </c>
      <c r="E44" s="137">
        <v>19.899999999999999</v>
      </c>
      <c r="F44" s="137">
        <v>19.899999999999999</v>
      </c>
      <c r="G44" s="137">
        <v>19.899999999999999</v>
      </c>
      <c r="H44" s="137">
        <v>19.899999999999999</v>
      </c>
      <c r="I44" s="137"/>
      <c r="J44" s="137">
        <v>19.899999999999999</v>
      </c>
      <c r="K44" s="137">
        <v>19.899999999999999</v>
      </c>
      <c r="L44" s="137">
        <v>19.899999999999999</v>
      </c>
      <c r="M44" s="137">
        <v>19.899999999999999</v>
      </c>
      <c r="N44" s="137">
        <v>19.899999999999999</v>
      </c>
      <c r="O44" s="137"/>
      <c r="P44" s="137"/>
      <c r="Q44" s="137">
        <v>22.45</v>
      </c>
      <c r="R44" s="137">
        <v>22.45</v>
      </c>
      <c r="S44" s="137"/>
      <c r="T44" s="137"/>
      <c r="U44" s="137">
        <f t="shared" si="0"/>
        <v>0</v>
      </c>
    </row>
    <row r="45" spans="1:21" ht="14.5">
      <c r="B45" s="147" t="s">
        <v>191</v>
      </c>
      <c r="C45" s="137"/>
      <c r="D45" s="137"/>
      <c r="E45" s="137"/>
      <c r="F45" s="137"/>
      <c r="G45" s="137"/>
      <c r="H45" s="137"/>
      <c r="I45" s="137"/>
      <c r="J45" s="137"/>
      <c r="K45" s="137"/>
      <c r="L45" s="137">
        <v>161.78</v>
      </c>
      <c r="M45" s="137"/>
      <c r="N45" s="137"/>
      <c r="O45" s="137">
        <v>89.88</v>
      </c>
      <c r="P45" s="137"/>
      <c r="Q45" s="137"/>
      <c r="R45" s="137"/>
      <c r="S45" s="137"/>
      <c r="T45" s="137"/>
      <c r="U45" s="137">
        <f t="shared" si="0"/>
        <v>0</v>
      </c>
    </row>
    <row r="46" spans="1:21" ht="14.5">
      <c r="B46" s="147" t="s">
        <v>192</v>
      </c>
      <c r="C46" s="137"/>
      <c r="D46" s="137"/>
      <c r="E46" s="137"/>
      <c r="F46" s="137"/>
      <c r="G46" s="137"/>
      <c r="H46" s="137"/>
      <c r="I46" s="137"/>
      <c r="J46" s="137">
        <v>3856.63</v>
      </c>
      <c r="K46" s="137"/>
      <c r="L46" s="137"/>
      <c r="M46" s="137"/>
      <c r="N46" s="137"/>
      <c r="O46" s="137"/>
      <c r="P46" s="137"/>
      <c r="Q46" s="137"/>
      <c r="R46" s="137"/>
      <c r="S46" s="137"/>
      <c r="T46" s="137"/>
      <c r="U46" s="137">
        <f t="shared" si="0"/>
        <v>0</v>
      </c>
    </row>
    <row r="47" spans="1:21" ht="14.5">
      <c r="B47" s="147" t="s">
        <v>172</v>
      </c>
      <c r="C47" s="137">
        <v>438.72</v>
      </c>
      <c r="D47" s="137">
        <v>487.29999999999995</v>
      </c>
      <c r="E47" s="137">
        <v>491.72999999999996</v>
      </c>
      <c r="F47" s="137">
        <v>650.58999999999992</v>
      </c>
      <c r="G47" s="137"/>
      <c r="H47" s="137">
        <v>895.13</v>
      </c>
      <c r="I47" s="137">
        <v>899.65000000000009</v>
      </c>
      <c r="J47" s="137">
        <v>938.52</v>
      </c>
      <c r="K47" s="137">
        <v>905.42</v>
      </c>
      <c r="L47" s="137">
        <v>882.67000000000007</v>
      </c>
      <c r="M47" s="137">
        <v>930.84999999999991</v>
      </c>
      <c r="N47" s="137">
        <v>913.62</v>
      </c>
      <c r="O47" s="137">
        <v>937.77</v>
      </c>
      <c r="P47" s="137">
        <v>1015.3</v>
      </c>
      <c r="Q47" s="137">
        <v>656.99</v>
      </c>
      <c r="R47" s="137">
        <v>549.36</v>
      </c>
      <c r="S47" s="137">
        <v>570.63</v>
      </c>
      <c r="T47" s="137">
        <v>589.38</v>
      </c>
      <c r="U47" s="137">
        <f t="shared" si="0"/>
        <v>-18.75</v>
      </c>
    </row>
    <row r="48" spans="1:21" ht="14.5">
      <c r="B48" s="147" t="s">
        <v>94</v>
      </c>
      <c r="C48" s="137"/>
      <c r="D48" s="137">
        <v>5000</v>
      </c>
      <c r="E48" s="137">
        <v>7000</v>
      </c>
      <c r="F48" s="137">
        <v>5000</v>
      </c>
      <c r="G48" s="137">
        <v>8000</v>
      </c>
      <c r="H48" s="137">
        <v>3500</v>
      </c>
      <c r="I48" s="137">
        <v>5000</v>
      </c>
      <c r="J48" s="137">
        <v>8000</v>
      </c>
      <c r="K48" s="137">
        <v>3500</v>
      </c>
      <c r="L48" s="137"/>
      <c r="M48" s="137">
        <v>3500</v>
      </c>
      <c r="N48" s="137"/>
      <c r="O48" s="137"/>
      <c r="P48" s="137"/>
      <c r="Q48" s="137"/>
      <c r="R48" s="137"/>
      <c r="S48" s="137"/>
      <c r="T48" s="137"/>
      <c r="U48" s="137">
        <f t="shared" si="0"/>
        <v>0</v>
      </c>
    </row>
    <row r="49" spans="1:22" ht="14.5">
      <c r="B49" s="147" t="s">
        <v>193</v>
      </c>
      <c r="C49" s="137"/>
      <c r="D49" s="137">
        <v>144.72</v>
      </c>
      <c r="E49" s="137">
        <v>143.76</v>
      </c>
      <c r="F49" s="137">
        <v>48.9</v>
      </c>
      <c r="G49" s="137">
        <v>48.4</v>
      </c>
      <c r="H49" s="137">
        <v>48.4</v>
      </c>
      <c r="I49" s="137">
        <v>48.4</v>
      </c>
      <c r="J49" s="137"/>
      <c r="K49" s="137"/>
      <c r="L49" s="137"/>
      <c r="M49" s="137"/>
      <c r="N49" s="137"/>
      <c r="O49" s="137"/>
      <c r="P49" s="137"/>
      <c r="Q49" s="137"/>
      <c r="R49" s="137"/>
      <c r="S49" s="137">
        <v>134.85</v>
      </c>
      <c r="T49" s="137">
        <v>89.9</v>
      </c>
      <c r="U49" s="137">
        <f t="shared" si="0"/>
        <v>44.949999999999989</v>
      </c>
    </row>
    <row r="50" spans="1:22" ht="14.5">
      <c r="B50" s="147" t="s">
        <v>194</v>
      </c>
      <c r="C50" s="137"/>
      <c r="D50" s="137"/>
      <c r="E50" s="137"/>
      <c r="F50" s="137">
        <v>373.92</v>
      </c>
      <c r="G50" s="137"/>
      <c r="H50" s="137">
        <v>108.33</v>
      </c>
      <c r="I50" s="137">
        <v>2920.07</v>
      </c>
      <c r="J50" s="137">
        <v>2920.07</v>
      </c>
      <c r="K50" s="137"/>
      <c r="L50" s="137"/>
      <c r="M50" s="137"/>
      <c r="N50" s="137"/>
      <c r="O50" s="137"/>
      <c r="P50" s="137"/>
      <c r="Q50" s="137"/>
      <c r="R50" s="137"/>
      <c r="S50" s="137"/>
      <c r="T50" s="137"/>
      <c r="U50" s="137">
        <f t="shared" si="0"/>
        <v>0</v>
      </c>
    </row>
    <row r="51" spans="1:22" ht="14.5">
      <c r="A51" s="4"/>
      <c r="B51" s="147" t="s">
        <v>195</v>
      </c>
      <c r="C51" s="137"/>
      <c r="D51" s="137"/>
      <c r="E51" s="137"/>
      <c r="F51" s="137"/>
      <c r="G51" s="137"/>
      <c r="H51" s="137"/>
      <c r="I51" s="137"/>
      <c r="J51" s="137">
        <v>28</v>
      </c>
      <c r="K51" s="137"/>
      <c r="L51" s="137"/>
      <c r="M51" s="137"/>
      <c r="N51" s="137"/>
      <c r="O51" s="137"/>
      <c r="P51" s="137"/>
      <c r="Q51" s="137"/>
      <c r="R51" s="137"/>
      <c r="S51" s="137"/>
      <c r="T51" s="137"/>
      <c r="U51" s="137">
        <f t="shared" si="0"/>
        <v>0</v>
      </c>
    </row>
    <row r="52" spans="1:22" ht="14.5">
      <c r="B52" s="147" t="s">
        <v>196</v>
      </c>
      <c r="C52" s="137"/>
      <c r="D52" s="137"/>
      <c r="E52" s="137"/>
      <c r="F52" s="137"/>
      <c r="G52" s="137"/>
      <c r="H52" s="137"/>
      <c r="I52" s="137"/>
      <c r="J52" s="137"/>
      <c r="K52" s="137">
        <v>1599</v>
      </c>
      <c r="L52" s="137">
        <v>1599</v>
      </c>
      <c r="M52" s="137"/>
      <c r="N52" s="137"/>
      <c r="O52" s="137"/>
      <c r="P52" s="137"/>
      <c r="Q52" s="137"/>
      <c r="R52" s="137"/>
      <c r="S52" s="137"/>
      <c r="T52" s="137"/>
      <c r="U52" s="137">
        <f t="shared" si="0"/>
        <v>0</v>
      </c>
    </row>
    <row r="53" spans="1:22" ht="14.5">
      <c r="B53" s="147" t="s">
        <v>197</v>
      </c>
      <c r="C53" s="137"/>
      <c r="D53" s="137"/>
      <c r="E53" s="137"/>
      <c r="F53" s="137"/>
      <c r="G53" s="137"/>
      <c r="H53" s="137"/>
      <c r="I53" s="137"/>
      <c r="J53" s="137"/>
      <c r="K53" s="137"/>
      <c r="L53" s="137">
        <v>42.64</v>
      </c>
      <c r="M53" s="137">
        <v>5.38</v>
      </c>
      <c r="N53" s="137"/>
      <c r="O53" s="137"/>
      <c r="P53" s="137"/>
      <c r="Q53" s="137"/>
      <c r="R53" s="137"/>
      <c r="S53" s="137"/>
      <c r="T53" s="137"/>
      <c r="U53" s="137">
        <f t="shared" si="0"/>
        <v>0</v>
      </c>
    </row>
    <row r="54" spans="1:22" ht="14.5">
      <c r="B54" s="147" t="s">
        <v>198</v>
      </c>
      <c r="C54" s="137"/>
      <c r="D54" s="137"/>
      <c r="E54" s="137"/>
      <c r="F54" s="137"/>
      <c r="G54" s="137"/>
      <c r="H54" s="137"/>
      <c r="I54" s="137"/>
      <c r="J54" s="137"/>
      <c r="K54" s="137"/>
      <c r="L54" s="137"/>
      <c r="M54" s="137">
        <v>2168.39</v>
      </c>
      <c r="N54" s="137">
        <v>349.76</v>
      </c>
      <c r="O54" s="137">
        <v>2168.39</v>
      </c>
      <c r="P54" s="137">
        <v>2168.39</v>
      </c>
      <c r="Q54" s="137">
        <v>2296.85</v>
      </c>
      <c r="R54" s="137">
        <v>2358.02</v>
      </c>
      <c r="S54" s="137">
        <v>2358.02</v>
      </c>
      <c r="T54" s="137">
        <v>2358.02</v>
      </c>
      <c r="U54" s="137">
        <f t="shared" si="0"/>
        <v>0</v>
      </c>
    </row>
    <row r="55" spans="1:22" ht="14.5">
      <c r="B55" s="147" t="s">
        <v>199</v>
      </c>
      <c r="C55" s="137"/>
      <c r="D55" s="137"/>
      <c r="E55" s="137"/>
      <c r="F55" s="137"/>
      <c r="G55" s="137"/>
      <c r="H55" s="137"/>
      <c r="I55" s="137"/>
      <c r="J55" s="137"/>
      <c r="K55" s="137"/>
      <c r="L55" s="137"/>
      <c r="M55" s="137"/>
      <c r="N55" s="137"/>
      <c r="O55" s="137"/>
      <c r="P55" s="137"/>
      <c r="Q55" s="137">
        <v>5000</v>
      </c>
      <c r="R55" s="137">
        <v>5000</v>
      </c>
      <c r="S55" s="137">
        <v>5000</v>
      </c>
      <c r="T55" s="137"/>
      <c r="U55" s="137">
        <f t="shared" si="0"/>
        <v>5000</v>
      </c>
    </row>
    <row r="56" spans="1:22" ht="14.5">
      <c r="B56" s="147" t="s">
        <v>200</v>
      </c>
      <c r="C56" s="137"/>
      <c r="D56" s="137"/>
      <c r="E56" s="137"/>
      <c r="F56" s="137"/>
      <c r="G56" s="137"/>
      <c r="H56" s="137"/>
      <c r="I56" s="137"/>
      <c r="J56" s="137"/>
      <c r="K56" s="137"/>
      <c r="L56" s="137"/>
      <c r="M56" s="137"/>
      <c r="N56" s="137"/>
      <c r="O56" s="137"/>
      <c r="P56" s="137"/>
      <c r="Q56" s="137">
        <v>37.5</v>
      </c>
      <c r="R56" s="137">
        <v>321.77</v>
      </c>
      <c r="S56" s="137">
        <v>1022.15</v>
      </c>
      <c r="T56" s="137">
        <v>787.88</v>
      </c>
      <c r="U56" s="137">
        <f t="shared" si="0"/>
        <v>234.26999999999998</v>
      </c>
    </row>
    <row r="57" spans="1:22" ht="14.5">
      <c r="B57" s="144" t="s">
        <v>5</v>
      </c>
      <c r="C57" s="137">
        <v>234.95</v>
      </c>
      <c r="D57" s="137">
        <v>899</v>
      </c>
      <c r="E57" s="137">
        <v>8095</v>
      </c>
      <c r="F57" s="137">
        <v>600</v>
      </c>
      <c r="G57" s="137">
        <v>2252.5500000000002</v>
      </c>
      <c r="H57" s="137">
        <v>115.43</v>
      </c>
      <c r="I57" s="137">
        <v>7678.65</v>
      </c>
      <c r="J57" s="137"/>
      <c r="K57" s="137">
        <v>3445</v>
      </c>
      <c r="L57" s="137">
        <v>3500</v>
      </c>
      <c r="M57" s="137">
        <v>1250</v>
      </c>
      <c r="N57" s="137">
        <v>3750</v>
      </c>
      <c r="O57" s="137">
        <v>6383.42</v>
      </c>
      <c r="P57" s="137">
        <v>163.77000000000001</v>
      </c>
      <c r="Q57" s="137">
        <v>75</v>
      </c>
      <c r="R57" s="137"/>
      <c r="S57" s="137"/>
      <c r="T57" s="137"/>
      <c r="U57" s="145">
        <f t="shared" si="0"/>
        <v>0</v>
      </c>
    </row>
    <row r="58" spans="1:22" ht="14.5">
      <c r="A58" s="4"/>
      <c r="B58" s="146" t="s">
        <v>110</v>
      </c>
      <c r="C58" s="137">
        <v>234.95</v>
      </c>
      <c r="D58" s="137">
        <v>899</v>
      </c>
      <c r="E58" s="137">
        <v>8095</v>
      </c>
      <c r="F58" s="137">
        <v>600</v>
      </c>
      <c r="G58" s="137">
        <v>2252.5500000000002</v>
      </c>
      <c r="H58" s="137">
        <v>115.43</v>
      </c>
      <c r="I58" s="137">
        <v>7678.65</v>
      </c>
      <c r="J58" s="137"/>
      <c r="K58" s="137">
        <v>3445</v>
      </c>
      <c r="L58" s="137">
        <v>3500</v>
      </c>
      <c r="M58" s="137">
        <v>1250</v>
      </c>
      <c r="N58" s="137">
        <v>3750</v>
      </c>
      <c r="O58" s="137">
        <v>6383.42</v>
      </c>
      <c r="P58" s="137">
        <v>163.77000000000001</v>
      </c>
      <c r="Q58" s="137">
        <v>75</v>
      </c>
      <c r="R58" s="137"/>
      <c r="S58" s="137"/>
      <c r="T58" s="137"/>
      <c r="U58" s="137">
        <f t="shared" si="0"/>
        <v>0</v>
      </c>
    </row>
    <row r="59" spans="1:22" ht="14.5">
      <c r="B59" s="147" t="s">
        <v>201</v>
      </c>
      <c r="C59" s="137"/>
      <c r="D59" s="137"/>
      <c r="E59" s="137">
        <v>8095</v>
      </c>
      <c r="F59" s="137">
        <v>600</v>
      </c>
      <c r="G59" s="137"/>
      <c r="H59" s="137">
        <v>115.43</v>
      </c>
      <c r="I59" s="137"/>
      <c r="J59" s="137"/>
      <c r="K59" s="137"/>
      <c r="L59" s="137"/>
      <c r="M59" s="137"/>
      <c r="N59" s="137"/>
      <c r="O59" s="137"/>
      <c r="P59" s="137"/>
      <c r="Q59" s="137"/>
      <c r="R59" s="137"/>
      <c r="S59" s="137"/>
      <c r="T59" s="137"/>
      <c r="U59" s="137">
        <f t="shared" si="0"/>
        <v>0</v>
      </c>
    </row>
    <row r="60" spans="1:22" ht="14.5">
      <c r="B60" s="147" t="s">
        <v>202</v>
      </c>
      <c r="C60" s="137"/>
      <c r="D60" s="137">
        <v>899</v>
      </c>
      <c r="E60" s="137"/>
      <c r="F60" s="137"/>
      <c r="G60" s="137"/>
      <c r="H60" s="137"/>
      <c r="I60" s="137">
        <v>2750</v>
      </c>
      <c r="J60" s="137"/>
      <c r="K60" s="137"/>
      <c r="L60" s="137"/>
      <c r="M60" s="137"/>
      <c r="N60" s="137"/>
      <c r="O60" s="137"/>
      <c r="P60" s="137"/>
      <c r="Q60" s="137"/>
      <c r="R60" s="137"/>
      <c r="S60" s="137"/>
      <c r="T60" s="137"/>
      <c r="U60" s="137">
        <f t="shared" si="0"/>
        <v>0</v>
      </c>
    </row>
    <row r="61" spans="1:22" ht="14.5">
      <c r="A61" s="4"/>
      <c r="B61" s="147" t="s">
        <v>203</v>
      </c>
      <c r="C61" s="137">
        <v>234.95</v>
      </c>
      <c r="D61" s="137"/>
      <c r="E61" s="137"/>
      <c r="F61" s="137"/>
      <c r="G61" s="137"/>
      <c r="H61" s="137"/>
      <c r="I61" s="137"/>
      <c r="J61" s="137"/>
      <c r="K61" s="137"/>
      <c r="L61" s="137"/>
      <c r="M61" s="137"/>
      <c r="N61" s="137"/>
      <c r="O61" s="137"/>
      <c r="P61" s="137"/>
      <c r="Q61" s="137"/>
      <c r="R61" s="137"/>
      <c r="S61" s="137"/>
      <c r="T61" s="137"/>
      <c r="U61" s="137">
        <f t="shared" si="0"/>
        <v>0</v>
      </c>
    </row>
    <row r="62" spans="1:22" s="148" customFormat="1" ht="14.5">
      <c r="A62" s="4"/>
      <c r="B62" s="147" t="s">
        <v>204</v>
      </c>
      <c r="C62" s="137"/>
      <c r="D62" s="137"/>
      <c r="E62" s="137"/>
      <c r="F62" s="137"/>
      <c r="G62" s="137">
        <v>2252.5500000000002</v>
      </c>
      <c r="H62" s="137"/>
      <c r="I62" s="137">
        <v>661.65</v>
      </c>
      <c r="J62" s="137"/>
      <c r="K62" s="137"/>
      <c r="L62" s="137"/>
      <c r="M62" s="137"/>
      <c r="N62" s="137"/>
      <c r="O62" s="137">
        <v>1688.42</v>
      </c>
      <c r="P62" s="137"/>
      <c r="Q62" s="137"/>
      <c r="R62" s="137"/>
      <c r="S62" s="137"/>
      <c r="T62" s="137"/>
      <c r="U62" s="137">
        <f t="shared" si="0"/>
        <v>0</v>
      </c>
      <c r="V62" s="2"/>
    </row>
    <row r="63" spans="1:22" s="148" customFormat="1" ht="14.5">
      <c r="A63" s="4"/>
      <c r="B63" s="147" t="s">
        <v>163</v>
      </c>
      <c r="C63" s="137"/>
      <c r="D63" s="137"/>
      <c r="E63" s="137"/>
      <c r="F63" s="137"/>
      <c r="G63" s="137"/>
      <c r="H63" s="137"/>
      <c r="I63" s="137">
        <v>2000</v>
      </c>
      <c r="J63" s="137"/>
      <c r="K63" s="137"/>
      <c r="L63" s="137"/>
      <c r="M63" s="137"/>
      <c r="N63" s="137"/>
      <c r="O63" s="137"/>
      <c r="P63" s="137"/>
      <c r="Q63" s="137"/>
      <c r="R63" s="137"/>
      <c r="S63" s="137"/>
      <c r="T63" s="137"/>
      <c r="U63" s="137">
        <f t="shared" si="0"/>
        <v>0</v>
      </c>
    </row>
    <row r="64" spans="1:22" s="148" customFormat="1" ht="14.5">
      <c r="A64" s="4"/>
      <c r="B64" s="147" t="s">
        <v>205</v>
      </c>
      <c r="C64" s="137"/>
      <c r="D64" s="137"/>
      <c r="E64" s="137"/>
      <c r="F64" s="137"/>
      <c r="G64" s="137"/>
      <c r="H64" s="137"/>
      <c r="I64" s="137">
        <v>2267</v>
      </c>
      <c r="J64" s="137"/>
      <c r="K64" s="137"/>
      <c r="L64" s="137"/>
      <c r="M64" s="137"/>
      <c r="N64" s="137"/>
      <c r="O64" s="137"/>
      <c r="P64" s="137"/>
      <c r="Q64" s="137"/>
      <c r="R64" s="137"/>
      <c r="S64" s="137"/>
      <c r="T64" s="137"/>
      <c r="U64" s="137">
        <f t="shared" si="0"/>
        <v>0</v>
      </c>
    </row>
    <row r="65" spans="1:21" s="148" customFormat="1" ht="14.5">
      <c r="B65" s="147" t="s">
        <v>206</v>
      </c>
      <c r="C65" s="137"/>
      <c r="D65" s="137"/>
      <c r="E65" s="137"/>
      <c r="F65" s="137"/>
      <c r="G65" s="137"/>
      <c r="H65" s="137"/>
      <c r="I65" s="137"/>
      <c r="J65" s="137"/>
      <c r="K65" s="137">
        <v>895</v>
      </c>
      <c r="L65" s="137"/>
      <c r="M65" s="137"/>
      <c r="N65" s="137"/>
      <c r="O65" s="137">
        <v>2195</v>
      </c>
      <c r="P65" s="137"/>
      <c r="Q65" s="137"/>
      <c r="R65" s="137"/>
      <c r="S65" s="137"/>
      <c r="T65" s="137"/>
      <c r="U65" s="137">
        <f t="shared" si="0"/>
        <v>0</v>
      </c>
    </row>
    <row r="66" spans="1:21" s="148" customFormat="1" ht="14.5">
      <c r="B66" s="147" t="s">
        <v>207</v>
      </c>
      <c r="C66" s="137"/>
      <c r="D66" s="137"/>
      <c r="E66" s="137"/>
      <c r="F66" s="137"/>
      <c r="G66" s="137"/>
      <c r="H66" s="137"/>
      <c r="I66" s="137"/>
      <c r="J66" s="137"/>
      <c r="K66" s="137">
        <v>2550</v>
      </c>
      <c r="L66" s="137"/>
      <c r="M66" s="137"/>
      <c r="N66" s="137"/>
      <c r="O66" s="137"/>
      <c r="P66" s="137"/>
      <c r="Q66" s="137"/>
      <c r="R66" s="137"/>
      <c r="S66" s="137"/>
      <c r="T66" s="137"/>
      <c r="U66" s="137">
        <f t="shared" si="0"/>
        <v>0</v>
      </c>
    </row>
    <row r="67" spans="1:21" s="148" customFormat="1" ht="14.5">
      <c r="B67" s="147" t="s">
        <v>208</v>
      </c>
      <c r="C67" s="137"/>
      <c r="D67" s="137"/>
      <c r="E67" s="137"/>
      <c r="F67" s="137"/>
      <c r="G67" s="137"/>
      <c r="H67" s="137"/>
      <c r="I67" s="137"/>
      <c r="J67" s="137"/>
      <c r="K67" s="137"/>
      <c r="L67" s="137">
        <v>500</v>
      </c>
      <c r="M67" s="137"/>
      <c r="N67" s="137"/>
      <c r="O67" s="137"/>
      <c r="P67" s="137"/>
      <c r="Q67" s="137"/>
      <c r="R67" s="137"/>
      <c r="S67" s="137"/>
      <c r="T67" s="137"/>
      <c r="U67" s="137">
        <f t="shared" si="0"/>
        <v>0</v>
      </c>
    </row>
    <row r="68" spans="1:21" s="148" customFormat="1" ht="14.5">
      <c r="B68" s="147" t="s">
        <v>209</v>
      </c>
      <c r="C68" s="137"/>
      <c r="D68" s="137"/>
      <c r="E68" s="137"/>
      <c r="F68" s="137"/>
      <c r="G68" s="137"/>
      <c r="H68" s="137"/>
      <c r="I68" s="137"/>
      <c r="J68" s="137"/>
      <c r="K68" s="137"/>
      <c r="L68" s="137">
        <v>3000</v>
      </c>
      <c r="M68" s="137"/>
      <c r="N68" s="137"/>
      <c r="O68" s="137"/>
      <c r="P68" s="137"/>
      <c r="Q68" s="137"/>
      <c r="R68" s="137"/>
      <c r="S68" s="137"/>
      <c r="T68" s="137"/>
      <c r="U68" s="137">
        <f t="shared" si="0"/>
        <v>0</v>
      </c>
    </row>
    <row r="69" spans="1:21" s="148" customFormat="1" ht="14.5">
      <c r="B69" s="147" t="s">
        <v>210</v>
      </c>
      <c r="C69" s="137"/>
      <c r="D69" s="137"/>
      <c r="E69" s="137"/>
      <c r="F69" s="137"/>
      <c r="G69" s="137"/>
      <c r="H69" s="137"/>
      <c r="I69" s="137"/>
      <c r="J69" s="137"/>
      <c r="K69" s="137"/>
      <c r="L69" s="137"/>
      <c r="M69" s="137">
        <v>1250</v>
      </c>
      <c r="N69" s="137">
        <v>3750</v>
      </c>
      <c r="O69" s="137">
        <v>2500</v>
      </c>
      <c r="P69" s="137"/>
      <c r="Q69" s="137"/>
      <c r="R69" s="137"/>
      <c r="S69" s="137"/>
      <c r="T69" s="137"/>
      <c r="U69" s="137">
        <f t="shared" si="0"/>
        <v>0</v>
      </c>
    </row>
    <row r="70" spans="1:21" s="148" customFormat="1" ht="14.5">
      <c r="B70" s="147" t="s">
        <v>211</v>
      </c>
      <c r="C70" s="137"/>
      <c r="D70" s="137"/>
      <c r="E70" s="137"/>
      <c r="F70" s="137"/>
      <c r="G70" s="137"/>
      <c r="H70" s="137"/>
      <c r="I70" s="137"/>
      <c r="J70" s="137"/>
      <c r="K70" s="137"/>
      <c r="L70" s="137"/>
      <c r="M70" s="137"/>
      <c r="N70" s="137"/>
      <c r="O70" s="137"/>
      <c r="P70" s="137">
        <v>163.77000000000001</v>
      </c>
      <c r="Q70" s="137"/>
      <c r="R70" s="137"/>
      <c r="S70" s="137"/>
      <c r="T70" s="137"/>
      <c r="U70" s="137">
        <f t="shared" ref="U70:U133" si="1">S70-T70</f>
        <v>0</v>
      </c>
    </row>
    <row r="71" spans="1:21" s="148" customFormat="1" ht="14.5">
      <c r="B71" s="147" t="s">
        <v>212</v>
      </c>
      <c r="C71" s="137"/>
      <c r="D71" s="137"/>
      <c r="E71" s="137"/>
      <c r="F71" s="137"/>
      <c r="G71" s="137"/>
      <c r="H71" s="137"/>
      <c r="I71" s="137"/>
      <c r="J71" s="137"/>
      <c r="K71" s="137"/>
      <c r="L71" s="137"/>
      <c r="M71" s="137"/>
      <c r="N71" s="137"/>
      <c r="O71" s="137"/>
      <c r="P71" s="137"/>
      <c r="Q71" s="137">
        <v>75</v>
      </c>
      <c r="R71" s="137"/>
      <c r="S71" s="137"/>
      <c r="T71" s="137"/>
      <c r="U71" s="137">
        <f t="shared" si="1"/>
        <v>0</v>
      </c>
    </row>
    <row r="72" spans="1:21" s="148" customFormat="1" ht="14.5">
      <c r="B72" s="142" t="s">
        <v>13</v>
      </c>
      <c r="C72" s="137">
        <v>32725.650000000005</v>
      </c>
      <c r="D72" s="137">
        <v>51292.530000000006</v>
      </c>
      <c r="E72" s="137">
        <v>58047.989999999991</v>
      </c>
      <c r="F72" s="137">
        <v>37674.75</v>
      </c>
      <c r="G72" s="137">
        <v>51041.81</v>
      </c>
      <c r="H72" s="137">
        <v>72849.560000000012</v>
      </c>
      <c r="I72" s="137">
        <v>61825.75</v>
      </c>
      <c r="J72" s="137">
        <v>70957.790000000008</v>
      </c>
      <c r="K72" s="137">
        <v>85172.249999999985</v>
      </c>
      <c r="L72" s="137">
        <v>91962.23000000004</v>
      </c>
      <c r="M72" s="137">
        <v>86109.180000000037</v>
      </c>
      <c r="N72" s="137">
        <v>90520.920000000056</v>
      </c>
      <c r="O72" s="137">
        <v>68881.780000000013</v>
      </c>
      <c r="P72" s="137">
        <v>54279.27</v>
      </c>
      <c r="Q72" s="137">
        <v>46623.35</v>
      </c>
      <c r="R72" s="137">
        <v>38282.420000000013</v>
      </c>
      <c r="S72" s="137">
        <v>31772.45</v>
      </c>
      <c r="T72" s="137">
        <v>36564.679999999993</v>
      </c>
      <c r="U72" s="143">
        <f t="shared" si="1"/>
        <v>-4792.2299999999923</v>
      </c>
    </row>
    <row r="73" spans="1:21" s="152" customFormat="1" ht="14.5">
      <c r="A73" s="5"/>
      <c r="B73" s="149" t="s">
        <v>147</v>
      </c>
      <c r="C73" s="150">
        <v>29384.959999999999</v>
      </c>
      <c r="D73" s="150">
        <v>37861.26</v>
      </c>
      <c r="E73" s="150">
        <v>30292.260000000002</v>
      </c>
      <c r="F73" s="150">
        <v>30243.660000000003</v>
      </c>
      <c r="G73" s="150">
        <v>30243.660000000003</v>
      </c>
      <c r="H73" s="150">
        <v>54717.490000000005</v>
      </c>
      <c r="I73" s="150">
        <v>44891.08</v>
      </c>
      <c r="J73" s="150">
        <v>49084.66</v>
      </c>
      <c r="K73" s="150">
        <v>48930.97</v>
      </c>
      <c r="L73" s="150">
        <v>68580.960000000006</v>
      </c>
      <c r="M73" s="150">
        <v>51084.810000000005</v>
      </c>
      <c r="N73" s="150">
        <v>59175.58</v>
      </c>
      <c r="O73" s="150">
        <v>48991.58</v>
      </c>
      <c r="P73" s="150">
        <v>35488.449999999997</v>
      </c>
      <c r="Q73" s="150">
        <v>21186.16</v>
      </c>
      <c r="R73" s="150">
        <v>26840.43</v>
      </c>
      <c r="S73" s="150">
        <v>21805.57</v>
      </c>
      <c r="T73" s="150">
        <v>21563.649999999998</v>
      </c>
      <c r="U73" s="151">
        <f t="shared" si="1"/>
        <v>241.92000000000189</v>
      </c>
    </row>
    <row r="74" spans="1:21" s="152" customFormat="1" ht="14.5">
      <c r="A74" s="5"/>
      <c r="B74" s="153" t="s">
        <v>213</v>
      </c>
      <c r="C74" s="150">
        <v>8472.869999999999</v>
      </c>
      <c r="D74" s="150">
        <v>7948.53</v>
      </c>
      <c r="E74" s="150">
        <v>7879.5300000000007</v>
      </c>
      <c r="F74" s="150">
        <v>7830.93</v>
      </c>
      <c r="G74" s="150">
        <v>7830.93</v>
      </c>
      <c r="H74" s="150">
        <v>11746.4</v>
      </c>
      <c r="I74" s="150">
        <v>10227.619999999999</v>
      </c>
      <c r="J74" s="150">
        <v>11271.33</v>
      </c>
      <c r="K74" s="150">
        <v>11100.490000000002</v>
      </c>
      <c r="L74" s="150">
        <v>11395.19</v>
      </c>
      <c r="M74" s="150">
        <v>11129.150000000001</v>
      </c>
      <c r="N74" s="150">
        <v>17255.34</v>
      </c>
      <c r="O74" s="150">
        <v>11722.56</v>
      </c>
      <c r="P74" s="150">
        <v>7356.5599999999995</v>
      </c>
      <c r="Q74" s="150">
        <v>3764.4</v>
      </c>
      <c r="R74" s="150">
        <v>3675.33</v>
      </c>
      <c r="S74" s="150">
        <v>5513</v>
      </c>
      <c r="T74" s="150">
        <v>3675.34</v>
      </c>
      <c r="U74" s="150">
        <f t="shared" si="1"/>
        <v>1837.6599999999999</v>
      </c>
    </row>
    <row r="75" spans="1:21" s="152" customFormat="1" ht="14.5">
      <c r="A75" s="5"/>
      <c r="B75" s="154" t="s">
        <v>214</v>
      </c>
      <c r="C75" s="150">
        <v>8472.869999999999</v>
      </c>
      <c r="D75" s="150">
        <v>7948.53</v>
      </c>
      <c r="E75" s="150">
        <v>7879.5300000000007</v>
      </c>
      <c r="F75" s="150">
        <v>7830.93</v>
      </c>
      <c r="G75" s="150">
        <v>7830.93</v>
      </c>
      <c r="H75" s="150">
        <v>11746.4</v>
      </c>
      <c r="I75" s="150">
        <v>10227.619999999999</v>
      </c>
      <c r="J75" s="150">
        <v>11271.33</v>
      </c>
      <c r="K75" s="150">
        <v>11100.490000000002</v>
      </c>
      <c r="L75" s="150">
        <v>11395.19</v>
      </c>
      <c r="M75" s="150">
        <v>11129.150000000001</v>
      </c>
      <c r="N75" s="150">
        <v>17255.34</v>
      </c>
      <c r="O75" s="150">
        <v>11722.56</v>
      </c>
      <c r="P75" s="150">
        <v>7356.5599999999995</v>
      </c>
      <c r="Q75" s="150">
        <v>3764.4</v>
      </c>
      <c r="R75" s="150">
        <v>3675.33</v>
      </c>
      <c r="S75" s="150">
        <v>5513</v>
      </c>
      <c r="T75" s="150">
        <v>3675.34</v>
      </c>
      <c r="U75" s="150">
        <f t="shared" si="1"/>
        <v>1837.6599999999999</v>
      </c>
    </row>
    <row r="76" spans="1:21" s="152" customFormat="1" ht="14.5">
      <c r="A76" s="5"/>
      <c r="B76" s="153" t="s">
        <v>215</v>
      </c>
      <c r="C76" s="150">
        <v>20912.09</v>
      </c>
      <c r="D76" s="150">
        <v>29912.730000000003</v>
      </c>
      <c r="E76" s="150">
        <v>22412.730000000003</v>
      </c>
      <c r="F76" s="150">
        <v>22412.730000000003</v>
      </c>
      <c r="G76" s="150">
        <v>22412.730000000003</v>
      </c>
      <c r="H76" s="150">
        <v>42971.090000000004</v>
      </c>
      <c r="I76" s="150">
        <v>34663.46</v>
      </c>
      <c r="J76" s="150">
        <v>37813.33</v>
      </c>
      <c r="K76" s="150">
        <v>37830.480000000003</v>
      </c>
      <c r="L76" s="150">
        <v>57185.770000000004</v>
      </c>
      <c r="M76" s="150">
        <v>39955.660000000003</v>
      </c>
      <c r="N76" s="150">
        <v>41920.239999999998</v>
      </c>
      <c r="O76" s="150">
        <v>37269.020000000004</v>
      </c>
      <c r="P76" s="150">
        <v>28131.89</v>
      </c>
      <c r="Q76" s="150">
        <v>17421.759999999998</v>
      </c>
      <c r="R76" s="150">
        <v>23165.1</v>
      </c>
      <c r="S76" s="150">
        <v>16292.57</v>
      </c>
      <c r="T76" s="150">
        <v>17888.309999999998</v>
      </c>
      <c r="U76" s="150">
        <f t="shared" si="1"/>
        <v>-1595.739999999998</v>
      </c>
    </row>
    <row r="77" spans="1:21" s="152" customFormat="1" ht="14.5">
      <c r="A77" s="5"/>
      <c r="B77" s="154" t="s">
        <v>214</v>
      </c>
      <c r="C77" s="150">
        <v>20912.09</v>
      </c>
      <c r="D77" s="150">
        <v>29912.730000000003</v>
      </c>
      <c r="E77" s="150">
        <v>22412.730000000003</v>
      </c>
      <c r="F77" s="150">
        <v>22412.730000000003</v>
      </c>
      <c r="G77" s="150">
        <v>22412.730000000003</v>
      </c>
      <c r="H77" s="150">
        <v>42971.090000000004</v>
      </c>
      <c r="I77" s="150">
        <v>34663.46</v>
      </c>
      <c r="J77" s="150">
        <v>37813.33</v>
      </c>
      <c r="K77" s="150">
        <v>37830.480000000003</v>
      </c>
      <c r="L77" s="150">
        <v>57185.770000000004</v>
      </c>
      <c r="M77" s="150">
        <v>39955.660000000003</v>
      </c>
      <c r="N77" s="150">
        <v>41920.239999999998</v>
      </c>
      <c r="O77" s="150">
        <v>37269.020000000004</v>
      </c>
      <c r="P77" s="150">
        <v>28131.89</v>
      </c>
      <c r="Q77" s="150">
        <v>17421.759999999998</v>
      </c>
      <c r="R77" s="150">
        <v>23165.1</v>
      </c>
      <c r="S77" s="150">
        <v>16292.57</v>
      </c>
      <c r="T77" s="150">
        <v>17888.309999999998</v>
      </c>
      <c r="U77" s="150">
        <f t="shared" si="1"/>
        <v>-1595.739999999998</v>
      </c>
    </row>
    <row r="78" spans="1:21" ht="14.5">
      <c r="B78" s="144" t="s">
        <v>216</v>
      </c>
      <c r="C78" s="137">
        <v>3081.1699999999996</v>
      </c>
      <c r="D78" s="137">
        <v>2739.0600000000004</v>
      </c>
      <c r="E78" s="137">
        <v>13631.970000000003</v>
      </c>
      <c r="F78" s="137">
        <v>2879.35</v>
      </c>
      <c r="G78" s="137">
        <v>17739.28</v>
      </c>
      <c r="H78" s="137">
        <v>15256.63</v>
      </c>
      <c r="I78" s="137">
        <v>12498.98</v>
      </c>
      <c r="J78" s="137">
        <v>18151.03</v>
      </c>
      <c r="K78" s="137">
        <v>30611.879999999997</v>
      </c>
      <c r="L78" s="137">
        <v>18714</v>
      </c>
      <c r="M78" s="137">
        <v>18187.009999999995</v>
      </c>
      <c r="N78" s="137">
        <v>29676.12</v>
      </c>
      <c r="O78" s="137">
        <v>17157.32</v>
      </c>
      <c r="P78" s="137">
        <v>15266.509999999998</v>
      </c>
      <c r="Q78" s="137">
        <v>17606.539999999997</v>
      </c>
      <c r="R78" s="137">
        <v>9901.58</v>
      </c>
      <c r="S78" s="137">
        <v>8937.91</v>
      </c>
      <c r="T78" s="137">
        <v>13893.060000000001</v>
      </c>
      <c r="U78" s="145">
        <f t="shared" si="1"/>
        <v>-4955.1500000000015</v>
      </c>
    </row>
    <row r="79" spans="1:21" ht="14.5">
      <c r="B79" s="146" t="s">
        <v>114</v>
      </c>
      <c r="C79" s="137">
        <v>36.61</v>
      </c>
      <c r="D79" s="137">
        <v>66.570000000000007</v>
      </c>
      <c r="E79" s="137">
        <v>274.09000000000003</v>
      </c>
      <c r="F79" s="137">
        <v>163.81</v>
      </c>
      <c r="G79" s="137">
        <v>21.71</v>
      </c>
      <c r="H79" s="137"/>
      <c r="I79" s="137">
        <v>53.98</v>
      </c>
      <c r="J79" s="137">
        <v>179.88</v>
      </c>
      <c r="K79" s="137">
        <v>226.48</v>
      </c>
      <c r="L79" s="137">
        <v>149.44</v>
      </c>
      <c r="M79" s="137">
        <v>199.15</v>
      </c>
      <c r="N79" s="137">
        <v>35.409999999999997</v>
      </c>
      <c r="O79" s="137">
        <v>132.06</v>
      </c>
      <c r="P79" s="137">
        <v>125.17</v>
      </c>
      <c r="Q79" s="137">
        <v>147.71</v>
      </c>
      <c r="R79" s="137">
        <v>212.1</v>
      </c>
      <c r="S79" s="137"/>
      <c r="T79" s="137"/>
      <c r="U79" s="137">
        <f t="shared" si="1"/>
        <v>0</v>
      </c>
    </row>
    <row r="80" spans="1:21" ht="14.5">
      <c r="B80" s="147" t="s">
        <v>217</v>
      </c>
      <c r="C80" s="137"/>
      <c r="D80" s="137"/>
      <c r="E80" s="137"/>
      <c r="F80" s="137">
        <v>115.27</v>
      </c>
      <c r="G80" s="137"/>
      <c r="H80" s="137"/>
      <c r="I80" s="137"/>
      <c r="J80" s="137"/>
      <c r="K80" s="137"/>
      <c r="L80" s="137"/>
      <c r="M80" s="137"/>
      <c r="N80" s="137"/>
      <c r="O80" s="137"/>
      <c r="P80" s="137"/>
      <c r="Q80" s="137"/>
      <c r="R80" s="137"/>
      <c r="S80" s="137"/>
      <c r="T80" s="137"/>
      <c r="U80" s="137">
        <f t="shared" si="1"/>
        <v>0</v>
      </c>
    </row>
    <row r="81" spans="2:21" ht="14.5">
      <c r="B81" s="147" t="s">
        <v>218</v>
      </c>
      <c r="C81" s="137"/>
      <c r="D81" s="137"/>
      <c r="E81" s="137">
        <v>18.36</v>
      </c>
      <c r="F81" s="137"/>
      <c r="G81" s="137"/>
      <c r="H81" s="137"/>
      <c r="I81" s="137"/>
      <c r="J81" s="137">
        <v>40</v>
      </c>
      <c r="K81" s="137"/>
      <c r="L81" s="137"/>
      <c r="M81" s="137"/>
      <c r="N81" s="137"/>
      <c r="O81" s="137">
        <v>37.46</v>
      </c>
      <c r="P81" s="137"/>
      <c r="Q81" s="137"/>
      <c r="R81" s="137"/>
      <c r="S81" s="137"/>
      <c r="T81" s="137"/>
      <c r="U81" s="137">
        <f t="shared" si="1"/>
        <v>0</v>
      </c>
    </row>
    <row r="82" spans="2:21" ht="14.5">
      <c r="B82" s="147" t="s">
        <v>219</v>
      </c>
      <c r="C82" s="137"/>
      <c r="D82" s="137">
        <v>28.87</v>
      </c>
      <c r="E82" s="137">
        <v>64.77000000000001</v>
      </c>
      <c r="F82" s="137"/>
      <c r="G82" s="137"/>
      <c r="H82" s="137"/>
      <c r="I82" s="137"/>
      <c r="J82" s="137">
        <v>90.18</v>
      </c>
      <c r="K82" s="137"/>
      <c r="L82" s="137">
        <v>149.44</v>
      </c>
      <c r="M82" s="137"/>
      <c r="N82" s="137">
        <v>35.409999999999997</v>
      </c>
      <c r="O82" s="137">
        <v>94.6</v>
      </c>
      <c r="P82" s="137"/>
      <c r="Q82" s="137">
        <v>147.71</v>
      </c>
      <c r="R82" s="137">
        <v>185.82999999999998</v>
      </c>
      <c r="S82" s="137"/>
      <c r="T82" s="137"/>
      <c r="U82" s="137">
        <f t="shared" si="1"/>
        <v>0</v>
      </c>
    </row>
    <row r="83" spans="2:21" ht="14.5">
      <c r="B83" s="147" t="s">
        <v>220</v>
      </c>
      <c r="C83" s="137">
        <v>36.61</v>
      </c>
      <c r="D83" s="137">
        <v>37.700000000000003</v>
      </c>
      <c r="E83" s="137">
        <v>111.04999999999998</v>
      </c>
      <c r="F83" s="137">
        <v>48.54</v>
      </c>
      <c r="G83" s="137">
        <v>21.71</v>
      </c>
      <c r="H83" s="137"/>
      <c r="I83" s="137">
        <v>53.98</v>
      </c>
      <c r="J83" s="137"/>
      <c r="K83" s="137">
        <v>183.20999999999998</v>
      </c>
      <c r="L83" s="137"/>
      <c r="M83" s="137">
        <v>199.15</v>
      </c>
      <c r="N83" s="137"/>
      <c r="O83" s="137"/>
      <c r="P83" s="137">
        <v>49.41</v>
      </c>
      <c r="Q83" s="137"/>
      <c r="R83" s="137">
        <v>26.27</v>
      </c>
      <c r="S83" s="137"/>
      <c r="T83" s="137"/>
      <c r="U83" s="137">
        <f t="shared" si="1"/>
        <v>0</v>
      </c>
    </row>
    <row r="84" spans="2:21" ht="14.5">
      <c r="B84" s="147" t="s">
        <v>221</v>
      </c>
      <c r="C84" s="137"/>
      <c r="D84" s="137"/>
      <c r="E84" s="137">
        <v>10.119999999999999</v>
      </c>
      <c r="F84" s="137"/>
      <c r="G84" s="137"/>
      <c r="H84" s="137"/>
      <c r="I84" s="137"/>
      <c r="J84" s="137"/>
      <c r="K84" s="137"/>
      <c r="L84" s="137"/>
      <c r="M84" s="137"/>
      <c r="N84" s="137"/>
      <c r="O84" s="137"/>
      <c r="P84" s="137"/>
      <c r="Q84" s="137"/>
      <c r="R84" s="137"/>
      <c r="S84" s="137"/>
      <c r="T84" s="137"/>
      <c r="U84" s="137">
        <f t="shared" si="1"/>
        <v>0</v>
      </c>
    </row>
    <row r="85" spans="2:21" ht="14.5">
      <c r="B85" s="147" t="s">
        <v>222</v>
      </c>
      <c r="C85" s="137"/>
      <c r="D85" s="137"/>
      <c r="E85" s="137">
        <v>40.82</v>
      </c>
      <c r="F85" s="137"/>
      <c r="G85" s="137"/>
      <c r="H85" s="137"/>
      <c r="I85" s="137"/>
      <c r="J85" s="137"/>
      <c r="K85" s="137"/>
      <c r="L85" s="137"/>
      <c r="M85" s="137"/>
      <c r="N85" s="137"/>
      <c r="O85" s="137"/>
      <c r="P85" s="137">
        <v>75.760000000000005</v>
      </c>
      <c r="Q85" s="137"/>
      <c r="R85" s="137"/>
      <c r="S85" s="137"/>
      <c r="T85" s="137"/>
      <c r="U85" s="137">
        <f t="shared" si="1"/>
        <v>0</v>
      </c>
    </row>
    <row r="86" spans="2:21" ht="14.5">
      <c r="B86" s="147" t="s">
        <v>223</v>
      </c>
      <c r="C86" s="137"/>
      <c r="D86" s="137"/>
      <c r="E86" s="137">
        <v>28.97</v>
      </c>
      <c r="F86" s="137"/>
      <c r="G86" s="137"/>
      <c r="H86" s="137"/>
      <c r="I86" s="137"/>
      <c r="J86" s="137"/>
      <c r="K86" s="137"/>
      <c r="L86" s="137"/>
      <c r="M86" s="137"/>
      <c r="N86" s="137"/>
      <c r="O86" s="137"/>
      <c r="P86" s="137"/>
      <c r="Q86" s="137"/>
      <c r="R86" s="137"/>
      <c r="S86" s="137"/>
      <c r="T86" s="137"/>
      <c r="U86" s="137">
        <f t="shared" si="1"/>
        <v>0</v>
      </c>
    </row>
    <row r="87" spans="2:21" ht="14.5">
      <c r="B87" s="147" t="s">
        <v>224</v>
      </c>
      <c r="C87" s="137"/>
      <c r="D87" s="137"/>
      <c r="E87" s="137"/>
      <c r="F87" s="137"/>
      <c r="G87" s="137"/>
      <c r="H87" s="137"/>
      <c r="I87" s="137"/>
      <c r="J87" s="137"/>
      <c r="K87" s="137">
        <v>43.27</v>
      </c>
      <c r="L87" s="137"/>
      <c r="M87" s="137"/>
      <c r="N87" s="137"/>
      <c r="O87" s="137"/>
      <c r="P87" s="137"/>
      <c r="Q87" s="137"/>
      <c r="R87" s="137"/>
      <c r="S87" s="137"/>
      <c r="T87" s="137"/>
      <c r="U87" s="137">
        <f t="shared" si="1"/>
        <v>0</v>
      </c>
    </row>
    <row r="88" spans="2:21" ht="14.5">
      <c r="B88" s="147" t="s">
        <v>225</v>
      </c>
      <c r="C88" s="137"/>
      <c r="D88" s="137"/>
      <c r="E88" s="137"/>
      <c r="F88" s="137"/>
      <c r="G88" s="137"/>
      <c r="H88" s="137"/>
      <c r="I88" s="137"/>
      <c r="J88" s="137">
        <v>49.7</v>
      </c>
      <c r="K88" s="137"/>
      <c r="L88" s="137"/>
      <c r="M88" s="137"/>
      <c r="N88" s="137"/>
      <c r="O88" s="137"/>
      <c r="P88" s="137"/>
      <c r="Q88" s="137"/>
      <c r="R88" s="137"/>
      <c r="S88" s="137"/>
      <c r="T88" s="137"/>
      <c r="U88" s="137">
        <f t="shared" si="1"/>
        <v>0</v>
      </c>
    </row>
    <row r="89" spans="2:21" ht="14.5">
      <c r="B89" s="146" t="s">
        <v>119</v>
      </c>
      <c r="C89" s="137">
        <v>1811.88</v>
      </c>
      <c r="D89" s="137">
        <v>1322.48</v>
      </c>
      <c r="E89" s="137">
        <v>8253.68</v>
      </c>
      <c r="F89" s="137">
        <v>1322.48</v>
      </c>
      <c r="G89" s="137">
        <v>6785.7199999999993</v>
      </c>
      <c r="H89" s="137">
        <v>3980.16</v>
      </c>
      <c r="I89" s="137">
        <v>3768.26</v>
      </c>
      <c r="J89" s="137">
        <v>5843.5300000000007</v>
      </c>
      <c r="K89" s="137">
        <v>6509.57</v>
      </c>
      <c r="L89" s="137">
        <v>6814.58</v>
      </c>
      <c r="M89" s="137">
        <v>6487.08</v>
      </c>
      <c r="N89" s="137">
        <v>6487.08</v>
      </c>
      <c r="O89" s="137">
        <v>6727.7999999999993</v>
      </c>
      <c r="P89" s="137">
        <v>3582.42</v>
      </c>
      <c r="Q89" s="137">
        <v>9653.09</v>
      </c>
      <c r="R89" s="137">
        <v>3024.96</v>
      </c>
      <c r="S89" s="137">
        <v>5449.75</v>
      </c>
      <c r="T89" s="137">
        <v>5414.75</v>
      </c>
      <c r="U89" s="137">
        <f t="shared" si="1"/>
        <v>35</v>
      </c>
    </row>
    <row r="90" spans="2:21" ht="14.5">
      <c r="B90" s="147" t="s">
        <v>226</v>
      </c>
      <c r="C90" s="137">
        <v>454.40000000000009</v>
      </c>
      <c r="D90" s="137"/>
      <c r="E90" s="137"/>
      <c r="F90" s="137"/>
      <c r="G90" s="137"/>
      <c r="H90" s="137"/>
      <c r="I90" s="137"/>
      <c r="J90" s="137"/>
      <c r="K90" s="137"/>
      <c r="L90" s="137"/>
      <c r="M90" s="137"/>
      <c r="N90" s="137"/>
      <c r="O90" s="137"/>
      <c r="P90" s="137"/>
      <c r="Q90" s="137"/>
      <c r="R90" s="137"/>
      <c r="S90" s="137"/>
      <c r="T90" s="137"/>
      <c r="U90" s="137">
        <f t="shared" si="1"/>
        <v>0</v>
      </c>
    </row>
    <row r="91" spans="2:21" ht="14.5">
      <c r="B91" s="147" t="s">
        <v>227</v>
      </c>
      <c r="C91" s="137">
        <v>804.01</v>
      </c>
      <c r="D91" s="137">
        <v>804.01</v>
      </c>
      <c r="E91" s="137">
        <v>804.01</v>
      </c>
      <c r="F91" s="137">
        <v>804.01</v>
      </c>
      <c r="G91" s="137">
        <v>804.01</v>
      </c>
      <c r="H91" s="137">
        <v>804.01</v>
      </c>
      <c r="I91" s="137">
        <v>804.01</v>
      </c>
      <c r="J91" s="137"/>
      <c r="K91" s="137"/>
      <c r="L91" s="137"/>
      <c r="M91" s="137"/>
      <c r="N91" s="137"/>
      <c r="O91" s="137"/>
      <c r="P91" s="137"/>
      <c r="Q91" s="137"/>
      <c r="R91" s="137"/>
      <c r="S91" s="137"/>
      <c r="T91" s="137"/>
      <c r="U91" s="137">
        <f t="shared" si="1"/>
        <v>0</v>
      </c>
    </row>
    <row r="92" spans="2:21" ht="14.5">
      <c r="B92" s="147" t="s">
        <v>228</v>
      </c>
      <c r="C92" s="137">
        <v>553.47</v>
      </c>
      <c r="D92" s="137">
        <v>518.47</v>
      </c>
      <c r="E92" s="137">
        <v>518.47</v>
      </c>
      <c r="F92" s="137">
        <v>518.47</v>
      </c>
      <c r="G92" s="137">
        <v>518.47</v>
      </c>
      <c r="H92" s="137">
        <v>518.47</v>
      </c>
      <c r="I92" s="137">
        <v>518.47</v>
      </c>
      <c r="J92" s="137">
        <v>-234.15</v>
      </c>
      <c r="K92" s="137"/>
      <c r="L92" s="137"/>
      <c r="M92" s="137"/>
      <c r="N92" s="137"/>
      <c r="O92" s="137"/>
      <c r="P92" s="137"/>
      <c r="Q92" s="137"/>
      <c r="R92" s="137"/>
      <c r="S92" s="137"/>
      <c r="T92" s="137"/>
      <c r="U92" s="137">
        <f t="shared" si="1"/>
        <v>0</v>
      </c>
    </row>
    <row r="93" spans="2:21" ht="14.5">
      <c r="B93" s="147" t="s">
        <v>229</v>
      </c>
      <c r="C93" s="137"/>
      <c r="D93" s="137"/>
      <c r="E93" s="137">
        <v>6931.2</v>
      </c>
      <c r="F93" s="137"/>
      <c r="G93" s="137">
        <v>5463.24</v>
      </c>
      <c r="H93" s="137">
        <v>2657.68</v>
      </c>
      <c r="I93" s="137">
        <v>2445.7800000000002</v>
      </c>
      <c r="J93" s="137">
        <v>2445.7800000000002</v>
      </c>
      <c r="K93" s="137">
        <v>3102.67</v>
      </c>
      <c r="L93" s="137">
        <v>2657.68</v>
      </c>
      <c r="M93" s="137">
        <v>2657.68</v>
      </c>
      <c r="N93" s="137">
        <v>2657.68</v>
      </c>
      <c r="O93" s="137">
        <v>2657.68</v>
      </c>
      <c r="P93" s="137"/>
      <c r="Q93" s="137">
        <v>6628.13</v>
      </c>
      <c r="R93" s="137"/>
      <c r="S93" s="137">
        <v>2089.79</v>
      </c>
      <c r="T93" s="137">
        <v>2089.79</v>
      </c>
      <c r="U93" s="137">
        <f t="shared" si="1"/>
        <v>0</v>
      </c>
    </row>
    <row r="94" spans="2:21" ht="14.5">
      <c r="B94" s="147" t="s">
        <v>230</v>
      </c>
      <c r="C94" s="137"/>
      <c r="D94" s="137"/>
      <c r="E94" s="137"/>
      <c r="F94" s="137"/>
      <c r="G94" s="137"/>
      <c r="H94" s="137"/>
      <c r="I94" s="137"/>
      <c r="J94" s="137">
        <v>600</v>
      </c>
      <c r="K94" s="137"/>
      <c r="L94" s="137"/>
      <c r="M94" s="137"/>
      <c r="N94" s="137"/>
      <c r="O94" s="137"/>
      <c r="P94" s="137"/>
      <c r="Q94" s="137"/>
      <c r="R94" s="137"/>
      <c r="S94" s="137"/>
      <c r="T94" s="137"/>
      <c r="U94" s="137">
        <f t="shared" si="1"/>
        <v>0</v>
      </c>
    </row>
    <row r="95" spans="2:21" ht="14.5">
      <c r="B95" s="147" t="s">
        <v>231</v>
      </c>
      <c r="C95" s="137"/>
      <c r="D95" s="137"/>
      <c r="E95" s="137"/>
      <c r="F95" s="137"/>
      <c r="G95" s="137"/>
      <c r="H95" s="137"/>
      <c r="I95" s="137"/>
      <c r="J95" s="137"/>
      <c r="K95" s="137">
        <v>375</v>
      </c>
      <c r="L95" s="137">
        <v>1125</v>
      </c>
      <c r="M95" s="137">
        <v>797.5</v>
      </c>
      <c r="N95" s="137">
        <v>797.5</v>
      </c>
      <c r="O95" s="137">
        <v>797.5</v>
      </c>
      <c r="P95" s="137">
        <v>717.5</v>
      </c>
      <c r="Q95" s="137">
        <v>717.5</v>
      </c>
      <c r="R95" s="137">
        <v>717.5</v>
      </c>
      <c r="S95" s="137">
        <v>1052.5</v>
      </c>
      <c r="T95" s="137">
        <v>1017.5</v>
      </c>
      <c r="U95" s="137">
        <f t="shared" si="1"/>
        <v>35</v>
      </c>
    </row>
    <row r="96" spans="2:21" ht="14.5">
      <c r="B96" s="147" t="s">
        <v>162</v>
      </c>
      <c r="C96" s="137"/>
      <c r="D96" s="137"/>
      <c r="E96" s="137"/>
      <c r="F96" s="137"/>
      <c r="G96" s="137"/>
      <c r="H96" s="137"/>
      <c r="I96" s="137"/>
      <c r="J96" s="137">
        <v>3031.9</v>
      </c>
      <c r="K96" s="137">
        <v>3031.9</v>
      </c>
      <c r="L96" s="137">
        <v>3031.9</v>
      </c>
      <c r="M96" s="137">
        <v>3031.9</v>
      </c>
      <c r="N96" s="137">
        <v>3031.9</v>
      </c>
      <c r="O96" s="137">
        <v>3272.62</v>
      </c>
      <c r="P96" s="137">
        <v>2864.92</v>
      </c>
      <c r="Q96" s="137">
        <v>2307.46</v>
      </c>
      <c r="R96" s="137">
        <v>2307.46</v>
      </c>
      <c r="S96" s="137">
        <v>2307.46</v>
      </c>
      <c r="T96" s="137">
        <v>2307.46</v>
      </c>
      <c r="U96" s="137">
        <f t="shared" si="1"/>
        <v>0</v>
      </c>
    </row>
    <row r="97" spans="2:21" s="1" customFormat="1" ht="14.5">
      <c r="B97" s="146" t="s">
        <v>99</v>
      </c>
      <c r="C97" s="137">
        <v>145.84</v>
      </c>
      <c r="D97" s="137">
        <v>1109.45</v>
      </c>
      <c r="E97" s="137">
        <v>3461.1500000000005</v>
      </c>
      <c r="F97" s="137">
        <v>362.91999999999996</v>
      </c>
      <c r="G97" s="137">
        <v>520.75</v>
      </c>
      <c r="H97" s="137"/>
      <c r="I97" s="137">
        <v>114.49000000000001</v>
      </c>
      <c r="J97" s="137">
        <v>1373.65</v>
      </c>
      <c r="K97" s="137">
        <v>548.37</v>
      </c>
      <c r="L97" s="137">
        <v>311.05</v>
      </c>
      <c r="M97" s="137">
        <v>687.38</v>
      </c>
      <c r="N97" s="137">
        <v>354.63</v>
      </c>
      <c r="O97" s="137">
        <v>579.89</v>
      </c>
      <c r="P97" s="137">
        <v>716.83</v>
      </c>
      <c r="Q97" s="137">
        <v>150.07999999999998</v>
      </c>
      <c r="R97" s="137">
        <v>565.96999999999991</v>
      </c>
      <c r="S97" s="137">
        <v>49</v>
      </c>
      <c r="T97" s="137"/>
      <c r="U97" s="137">
        <f t="shared" si="1"/>
        <v>49</v>
      </c>
    </row>
    <row r="98" spans="2:21" ht="14.5">
      <c r="B98" s="147" t="s">
        <v>232</v>
      </c>
      <c r="C98" s="137"/>
      <c r="D98" s="137"/>
      <c r="E98" s="137"/>
      <c r="F98" s="137"/>
      <c r="G98" s="137"/>
      <c r="H98" s="137"/>
      <c r="I98" s="137"/>
      <c r="J98" s="137"/>
      <c r="K98" s="137"/>
      <c r="L98" s="137"/>
      <c r="M98" s="137"/>
      <c r="N98" s="137"/>
      <c r="O98" s="137">
        <v>143.37</v>
      </c>
      <c r="P98" s="137"/>
      <c r="Q98" s="137"/>
      <c r="R98" s="137"/>
      <c r="S98" s="137"/>
      <c r="T98" s="137"/>
      <c r="U98" s="137">
        <f t="shared" si="1"/>
        <v>0</v>
      </c>
    </row>
    <row r="99" spans="2:21" ht="14.5">
      <c r="B99" s="147" t="s">
        <v>233</v>
      </c>
      <c r="C99" s="137"/>
      <c r="D99" s="137">
        <v>456.61</v>
      </c>
      <c r="E99" s="137">
        <v>593.85</v>
      </c>
      <c r="F99" s="137"/>
      <c r="G99" s="137">
        <v>520.75</v>
      </c>
      <c r="H99" s="137"/>
      <c r="I99" s="137"/>
      <c r="J99" s="137"/>
      <c r="K99" s="137"/>
      <c r="L99" s="137"/>
      <c r="M99" s="137"/>
      <c r="N99" s="137"/>
      <c r="O99" s="137"/>
      <c r="P99" s="137">
        <v>221.32</v>
      </c>
      <c r="Q99" s="137"/>
      <c r="R99" s="137"/>
      <c r="S99" s="137"/>
      <c r="T99" s="137"/>
      <c r="U99" s="137">
        <f t="shared" si="1"/>
        <v>0</v>
      </c>
    </row>
    <row r="100" spans="2:21" ht="14.5">
      <c r="B100" s="147" t="s">
        <v>234</v>
      </c>
      <c r="C100" s="137"/>
      <c r="D100" s="137"/>
      <c r="E100" s="137"/>
      <c r="F100" s="137"/>
      <c r="G100" s="137"/>
      <c r="H100" s="137"/>
      <c r="I100" s="137"/>
      <c r="J100" s="137">
        <v>96.47</v>
      </c>
      <c r="K100" s="137"/>
      <c r="L100" s="137"/>
      <c r="M100" s="137"/>
      <c r="N100" s="137"/>
      <c r="O100" s="137"/>
      <c r="P100" s="137"/>
      <c r="Q100" s="137"/>
      <c r="R100" s="137"/>
      <c r="S100" s="137"/>
      <c r="T100" s="137"/>
      <c r="U100" s="137">
        <f t="shared" si="1"/>
        <v>0</v>
      </c>
    </row>
    <row r="101" spans="2:21" ht="14.5">
      <c r="B101" s="147" t="s">
        <v>235</v>
      </c>
      <c r="C101" s="137"/>
      <c r="D101" s="137"/>
      <c r="E101" s="137"/>
      <c r="F101" s="137"/>
      <c r="G101" s="137"/>
      <c r="H101" s="137"/>
      <c r="I101" s="137"/>
      <c r="J101" s="137">
        <v>37.79</v>
      </c>
      <c r="K101" s="137"/>
      <c r="L101" s="137"/>
      <c r="M101" s="137"/>
      <c r="N101" s="137">
        <v>169.44</v>
      </c>
      <c r="O101" s="137"/>
      <c r="P101" s="137"/>
      <c r="Q101" s="137"/>
      <c r="R101" s="137"/>
      <c r="S101" s="137"/>
      <c r="T101" s="137"/>
      <c r="U101" s="137">
        <f t="shared" si="1"/>
        <v>0</v>
      </c>
    </row>
    <row r="102" spans="2:21" ht="14.5">
      <c r="B102" s="147" t="s">
        <v>236</v>
      </c>
      <c r="C102" s="137"/>
      <c r="D102" s="137"/>
      <c r="E102" s="137">
        <v>15.64</v>
      </c>
      <c r="F102" s="137"/>
      <c r="G102" s="137"/>
      <c r="H102" s="137"/>
      <c r="I102" s="137"/>
      <c r="J102" s="137">
        <v>10.17</v>
      </c>
      <c r="K102" s="137"/>
      <c r="L102" s="137">
        <v>8.17</v>
      </c>
      <c r="M102" s="137">
        <v>15.34</v>
      </c>
      <c r="N102" s="137">
        <v>17.11</v>
      </c>
      <c r="O102" s="137">
        <v>6.36</v>
      </c>
      <c r="P102" s="137">
        <v>7.42</v>
      </c>
      <c r="Q102" s="137"/>
      <c r="R102" s="137"/>
      <c r="S102" s="137"/>
      <c r="T102" s="137"/>
      <c r="U102" s="137">
        <f t="shared" si="1"/>
        <v>0</v>
      </c>
    </row>
    <row r="103" spans="2:21" ht="14.5">
      <c r="B103" s="147" t="s">
        <v>237</v>
      </c>
      <c r="C103" s="137"/>
      <c r="D103" s="137"/>
      <c r="E103" s="137">
        <v>28.51</v>
      </c>
      <c r="F103" s="137"/>
      <c r="G103" s="137"/>
      <c r="H103" s="137"/>
      <c r="I103" s="137"/>
      <c r="J103" s="137"/>
      <c r="K103" s="137"/>
      <c r="L103" s="137"/>
      <c r="M103" s="137"/>
      <c r="N103" s="137"/>
      <c r="O103" s="137"/>
      <c r="P103" s="137"/>
      <c r="Q103" s="137"/>
      <c r="R103" s="137"/>
      <c r="S103" s="137"/>
      <c r="T103" s="137"/>
      <c r="U103" s="137">
        <f t="shared" si="1"/>
        <v>0</v>
      </c>
    </row>
    <row r="104" spans="2:21" ht="14.5">
      <c r="B104" s="147" t="s">
        <v>238</v>
      </c>
      <c r="C104" s="137"/>
      <c r="D104" s="137"/>
      <c r="E104" s="137"/>
      <c r="F104" s="137"/>
      <c r="G104" s="137"/>
      <c r="H104" s="137"/>
      <c r="I104" s="137"/>
      <c r="J104" s="137"/>
      <c r="K104" s="137"/>
      <c r="L104" s="137">
        <v>61.63</v>
      </c>
      <c r="M104" s="137"/>
      <c r="N104" s="137"/>
      <c r="O104" s="137"/>
      <c r="P104" s="137"/>
      <c r="Q104" s="137"/>
      <c r="R104" s="137"/>
      <c r="S104" s="137"/>
      <c r="T104" s="137"/>
      <c r="U104" s="137">
        <f t="shared" si="1"/>
        <v>0</v>
      </c>
    </row>
    <row r="105" spans="2:21" ht="14.5">
      <c r="B105" s="147" t="s">
        <v>239</v>
      </c>
      <c r="C105" s="137"/>
      <c r="D105" s="137"/>
      <c r="E105" s="137">
        <v>154.82</v>
      </c>
      <c r="F105" s="137"/>
      <c r="G105" s="137"/>
      <c r="H105" s="137"/>
      <c r="I105" s="137"/>
      <c r="J105" s="137"/>
      <c r="K105" s="137"/>
      <c r="L105" s="137"/>
      <c r="M105" s="137"/>
      <c r="N105" s="137"/>
      <c r="O105" s="137"/>
      <c r="P105" s="137">
        <v>19.260000000000002</v>
      </c>
      <c r="Q105" s="137">
        <v>44.44</v>
      </c>
      <c r="R105" s="137"/>
      <c r="S105" s="137"/>
      <c r="T105" s="137"/>
      <c r="U105" s="137">
        <f t="shared" si="1"/>
        <v>0</v>
      </c>
    </row>
    <row r="106" spans="2:21" ht="14.5">
      <c r="B106" s="147" t="s">
        <v>240</v>
      </c>
      <c r="C106" s="137">
        <v>34.520000000000003</v>
      </c>
      <c r="D106" s="137"/>
      <c r="E106" s="137">
        <v>19.45</v>
      </c>
      <c r="F106" s="137"/>
      <c r="G106" s="137"/>
      <c r="H106" s="137"/>
      <c r="I106" s="137"/>
      <c r="J106" s="137"/>
      <c r="K106" s="137">
        <v>25.94</v>
      </c>
      <c r="L106" s="137"/>
      <c r="M106" s="137">
        <v>45.42</v>
      </c>
      <c r="N106" s="137"/>
      <c r="O106" s="137"/>
      <c r="P106" s="137"/>
      <c r="Q106" s="137"/>
      <c r="R106" s="137"/>
      <c r="S106" s="137"/>
      <c r="T106" s="137"/>
      <c r="U106" s="137">
        <f t="shared" si="1"/>
        <v>0</v>
      </c>
    </row>
    <row r="107" spans="2:21" ht="14.5">
      <c r="B107" s="147" t="s">
        <v>241</v>
      </c>
      <c r="C107" s="137"/>
      <c r="D107" s="137">
        <v>90.21</v>
      </c>
      <c r="E107" s="137"/>
      <c r="F107" s="137"/>
      <c r="G107" s="137"/>
      <c r="H107" s="137"/>
      <c r="I107" s="137"/>
      <c r="J107" s="137"/>
      <c r="K107" s="137"/>
      <c r="L107" s="137"/>
      <c r="M107" s="137"/>
      <c r="N107" s="137"/>
      <c r="O107" s="137"/>
      <c r="P107" s="137"/>
      <c r="Q107" s="137"/>
      <c r="R107" s="137"/>
      <c r="S107" s="137"/>
      <c r="T107" s="137"/>
      <c r="U107" s="137">
        <f t="shared" si="1"/>
        <v>0</v>
      </c>
    </row>
    <row r="108" spans="2:21" ht="14.5">
      <c r="B108" s="147" t="s">
        <v>242</v>
      </c>
      <c r="C108" s="137"/>
      <c r="D108" s="137">
        <v>26.6</v>
      </c>
      <c r="E108" s="137">
        <v>69.489999999999995</v>
      </c>
      <c r="F108" s="137"/>
      <c r="G108" s="137"/>
      <c r="H108" s="137"/>
      <c r="I108" s="137"/>
      <c r="J108" s="137"/>
      <c r="K108" s="137"/>
      <c r="L108" s="137"/>
      <c r="M108" s="137">
        <v>49.25</v>
      </c>
      <c r="N108" s="137">
        <v>28.2</v>
      </c>
      <c r="O108" s="137"/>
      <c r="P108" s="137"/>
      <c r="Q108" s="137"/>
      <c r="R108" s="137"/>
      <c r="S108" s="137"/>
      <c r="T108" s="137"/>
      <c r="U108" s="137">
        <f t="shared" si="1"/>
        <v>0</v>
      </c>
    </row>
    <row r="109" spans="2:21" ht="14.5">
      <c r="B109" s="147" t="s">
        <v>243</v>
      </c>
      <c r="C109" s="137"/>
      <c r="D109" s="137">
        <v>16.78</v>
      </c>
      <c r="E109" s="137"/>
      <c r="F109" s="137">
        <v>36.72</v>
      </c>
      <c r="G109" s="137"/>
      <c r="H109" s="137"/>
      <c r="I109" s="137"/>
      <c r="J109" s="137"/>
      <c r="K109" s="137"/>
      <c r="L109" s="137"/>
      <c r="M109" s="137"/>
      <c r="N109" s="137"/>
      <c r="O109" s="137"/>
      <c r="P109" s="137"/>
      <c r="Q109" s="137"/>
      <c r="R109" s="137"/>
      <c r="S109" s="137"/>
      <c r="T109" s="137"/>
      <c r="U109" s="137">
        <f t="shared" si="1"/>
        <v>0</v>
      </c>
    </row>
    <row r="110" spans="2:21" ht="14.5">
      <c r="B110" s="147" t="s">
        <v>99</v>
      </c>
      <c r="C110" s="137">
        <v>30</v>
      </c>
      <c r="D110" s="137">
        <v>116.67999999999999</v>
      </c>
      <c r="E110" s="137"/>
      <c r="F110" s="137"/>
      <c r="G110" s="137"/>
      <c r="H110" s="137"/>
      <c r="I110" s="137"/>
      <c r="J110" s="137"/>
      <c r="K110" s="137"/>
      <c r="L110" s="137"/>
      <c r="M110" s="137"/>
      <c r="N110" s="137"/>
      <c r="O110" s="137"/>
      <c r="P110" s="137"/>
      <c r="Q110" s="137"/>
      <c r="R110" s="137"/>
      <c r="S110" s="137"/>
      <c r="T110" s="137"/>
      <c r="U110" s="137">
        <f t="shared" si="1"/>
        <v>0</v>
      </c>
    </row>
    <row r="111" spans="2:21" ht="14.5">
      <c r="B111" s="147" t="s">
        <v>244</v>
      </c>
      <c r="C111" s="137"/>
      <c r="D111" s="137"/>
      <c r="E111" s="137">
        <v>104.78</v>
      </c>
      <c r="F111" s="137"/>
      <c r="G111" s="137"/>
      <c r="H111" s="137"/>
      <c r="I111" s="137"/>
      <c r="J111" s="137"/>
      <c r="K111" s="137"/>
      <c r="L111" s="137"/>
      <c r="M111" s="137"/>
      <c r="N111" s="137"/>
      <c r="O111" s="137"/>
      <c r="P111" s="137"/>
      <c r="Q111" s="137">
        <v>45.72</v>
      </c>
      <c r="R111" s="137"/>
      <c r="S111" s="137"/>
      <c r="T111" s="137"/>
      <c r="U111" s="137">
        <f t="shared" si="1"/>
        <v>0</v>
      </c>
    </row>
    <row r="112" spans="2:21" ht="14.5">
      <c r="B112" s="147" t="s">
        <v>245</v>
      </c>
      <c r="C112" s="137"/>
      <c r="D112" s="137"/>
      <c r="E112" s="137">
        <v>96.199999999999989</v>
      </c>
      <c r="F112" s="137"/>
      <c r="G112" s="137"/>
      <c r="H112" s="137"/>
      <c r="I112" s="137"/>
      <c r="J112" s="137"/>
      <c r="K112" s="137"/>
      <c r="L112" s="137"/>
      <c r="M112" s="137"/>
      <c r="N112" s="137"/>
      <c r="O112" s="137"/>
      <c r="P112" s="137"/>
      <c r="Q112" s="137"/>
      <c r="R112" s="137"/>
      <c r="S112" s="137"/>
      <c r="T112" s="137"/>
      <c r="U112" s="137">
        <f t="shared" si="1"/>
        <v>0</v>
      </c>
    </row>
    <row r="113" spans="2:21" ht="14.5">
      <c r="B113" s="147" t="s">
        <v>246</v>
      </c>
      <c r="C113" s="137"/>
      <c r="D113" s="137"/>
      <c r="E113" s="137">
        <v>111.64</v>
      </c>
      <c r="F113" s="137"/>
      <c r="G113" s="137"/>
      <c r="H113" s="137"/>
      <c r="I113" s="137"/>
      <c r="J113" s="137"/>
      <c r="K113" s="137"/>
      <c r="L113" s="137"/>
      <c r="M113" s="137"/>
      <c r="N113" s="137"/>
      <c r="O113" s="137"/>
      <c r="P113" s="137"/>
      <c r="Q113" s="137"/>
      <c r="R113" s="137"/>
      <c r="S113" s="137"/>
      <c r="T113" s="137"/>
      <c r="U113" s="137">
        <f t="shared" si="1"/>
        <v>0</v>
      </c>
    </row>
    <row r="114" spans="2:21" ht="14.5">
      <c r="B114" s="147" t="s">
        <v>247</v>
      </c>
      <c r="C114" s="137"/>
      <c r="D114" s="137"/>
      <c r="E114" s="137">
        <v>151.75</v>
      </c>
      <c r="F114" s="137"/>
      <c r="G114" s="137"/>
      <c r="H114" s="137"/>
      <c r="I114" s="137"/>
      <c r="J114" s="137"/>
      <c r="K114" s="137"/>
      <c r="L114" s="137"/>
      <c r="M114" s="137"/>
      <c r="N114" s="137"/>
      <c r="O114" s="137"/>
      <c r="P114" s="137"/>
      <c r="Q114" s="137"/>
      <c r="R114" s="137"/>
      <c r="S114" s="137"/>
      <c r="T114" s="137"/>
      <c r="U114" s="137">
        <f t="shared" si="1"/>
        <v>0</v>
      </c>
    </row>
    <row r="115" spans="2:21" ht="14.5">
      <c r="B115" s="147" t="s">
        <v>248</v>
      </c>
      <c r="C115" s="137"/>
      <c r="D115" s="137"/>
      <c r="E115" s="137">
        <v>63.77</v>
      </c>
      <c r="F115" s="137"/>
      <c r="G115" s="137"/>
      <c r="H115" s="137"/>
      <c r="I115" s="137"/>
      <c r="J115" s="137"/>
      <c r="K115" s="137"/>
      <c r="L115" s="137"/>
      <c r="M115" s="137"/>
      <c r="N115" s="137"/>
      <c r="O115" s="137"/>
      <c r="P115" s="137"/>
      <c r="Q115" s="137"/>
      <c r="R115" s="137"/>
      <c r="S115" s="137"/>
      <c r="T115" s="137"/>
      <c r="U115" s="137">
        <f t="shared" si="1"/>
        <v>0</v>
      </c>
    </row>
    <row r="116" spans="2:21" ht="14.5">
      <c r="B116" s="147" t="s">
        <v>175</v>
      </c>
      <c r="C116" s="137"/>
      <c r="D116" s="137"/>
      <c r="E116" s="137">
        <v>56.44</v>
      </c>
      <c r="F116" s="137"/>
      <c r="G116" s="137"/>
      <c r="H116" s="137"/>
      <c r="I116" s="137"/>
      <c r="J116" s="137"/>
      <c r="K116" s="137"/>
      <c r="L116" s="137"/>
      <c r="M116" s="137"/>
      <c r="N116" s="137"/>
      <c r="O116" s="137"/>
      <c r="P116" s="137"/>
      <c r="Q116" s="137"/>
      <c r="R116" s="137"/>
      <c r="S116" s="137"/>
      <c r="T116" s="137"/>
      <c r="U116" s="137">
        <f t="shared" si="1"/>
        <v>0</v>
      </c>
    </row>
    <row r="117" spans="2:21" ht="14.5">
      <c r="B117" s="147" t="s">
        <v>249</v>
      </c>
      <c r="C117" s="137"/>
      <c r="D117" s="137"/>
      <c r="E117" s="137">
        <v>120</v>
      </c>
      <c r="F117" s="137"/>
      <c r="G117" s="137"/>
      <c r="H117" s="137"/>
      <c r="I117" s="137"/>
      <c r="J117" s="137"/>
      <c r="K117" s="137"/>
      <c r="L117" s="137"/>
      <c r="M117" s="137"/>
      <c r="N117" s="137"/>
      <c r="O117" s="137"/>
      <c r="P117" s="137"/>
      <c r="Q117" s="137"/>
      <c r="R117" s="137"/>
      <c r="S117" s="137"/>
      <c r="T117" s="137"/>
      <c r="U117" s="137">
        <f t="shared" si="1"/>
        <v>0</v>
      </c>
    </row>
    <row r="118" spans="2:21" ht="14.5">
      <c r="B118" s="147" t="s">
        <v>250</v>
      </c>
      <c r="C118" s="137"/>
      <c r="D118" s="137"/>
      <c r="E118" s="137">
        <v>11.84</v>
      </c>
      <c r="F118" s="137"/>
      <c r="G118" s="137"/>
      <c r="H118" s="137"/>
      <c r="I118" s="137"/>
      <c r="J118" s="137"/>
      <c r="K118" s="137"/>
      <c r="L118" s="137"/>
      <c r="M118" s="137"/>
      <c r="N118" s="137"/>
      <c r="O118" s="137"/>
      <c r="P118" s="137"/>
      <c r="Q118" s="137"/>
      <c r="R118" s="137"/>
      <c r="S118" s="137"/>
      <c r="T118" s="137"/>
      <c r="U118" s="137">
        <f t="shared" si="1"/>
        <v>0</v>
      </c>
    </row>
    <row r="119" spans="2:21" ht="14.5">
      <c r="B119" s="147" t="s">
        <v>251</v>
      </c>
      <c r="C119" s="137"/>
      <c r="D119" s="137"/>
      <c r="E119" s="137">
        <v>724.36</v>
      </c>
      <c r="F119" s="137"/>
      <c r="G119" s="137"/>
      <c r="H119" s="137"/>
      <c r="I119" s="137"/>
      <c r="J119" s="137"/>
      <c r="K119" s="137"/>
      <c r="L119" s="137"/>
      <c r="M119" s="137"/>
      <c r="N119" s="137"/>
      <c r="O119" s="137"/>
      <c r="P119" s="137"/>
      <c r="Q119" s="137"/>
      <c r="R119" s="137"/>
      <c r="S119" s="137"/>
      <c r="T119" s="137"/>
      <c r="U119" s="137">
        <f t="shared" si="1"/>
        <v>0</v>
      </c>
    </row>
    <row r="120" spans="2:21" ht="14.5">
      <c r="B120" s="147" t="s">
        <v>252</v>
      </c>
      <c r="C120" s="137"/>
      <c r="D120" s="137"/>
      <c r="E120" s="137">
        <v>109.6</v>
      </c>
      <c r="F120" s="137"/>
      <c r="G120" s="137"/>
      <c r="H120" s="137"/>
      <c r="I120" s="137"/>
      <c r="J120" s="137"/>
      <c r="K120" s="137"/>
      <c r="L120" s="137"/>
      <c r="M120" s="137"/>
      <c r="N120" s="137"/>
      <c r="O120" s="137"/>
      <c r="P120" s="137"/>
      <c r="Q120" s="137"/>
      <c r="R120" s="137"/>
      <c r="S120" s="137"/>
      <c r="T120" s="137"/>
      <c r="U120" s="137">
        <f t="shared" si="1"/>
        <v>0</v>
      </c>
    </row>
    <row r="121" spans="2:21" ht="14.5">
      <c r="B121" s="147" t="s">
        <v>253</v>
      </c>
      <c r="C121" s="137"/>
      <c r="D121" s="137"/>
      <c r="E121" s="137">
        <v>35.58</v>
      </c>
      <c r="F121" s="137"/>
      <c r="G121" s="137"/>
      <c r="H121" s="137"/>
      <c r="I121" s="137"/>
      <c r="J121" s="137"/>
      <c r="K121" s="137"/>
      <c r="L121" s="137"/>
      <c r="M121" s="137"/>
      <c r="N121" s="137"/>
      <c r="O121" s="137"/>
      <c r="P121" s="137"/>
      <c r="Q121" s="137"/>
      <c r="R121" s="137"/>
      <c r="S121" s="137"/>
      <c r="T121" s="137"/>
      <c r="U121" s="137">
        <f t="shared" si="1"/>
        <v>0</v>
      </c>
    </row>
    <row r="122" spans="2:21" ht="14.5">
      <c r="B122" s="147" t="s">
        <v>254</v>
      </c>
      <c r="C122" s="137"/>
      <c r="D122" s="137"/>
      <c r="E122" s="137">
        <v>78.42</v>
      </c>
      <c r="F122" s="137"/>
      <c r="G122" s="137"/>
      <c r="H122" s="137"/>
      <c r="I122" s="137"/>
      <c r="J122" s="137"/>
      <c r="K122" s="137"/>
      <c r="L122" s="137"/>
      <c r="M122" s="137"/>
      <c r="N122" s="137"/>
      <c r="O122" s="137"/>
      <c r="P122" s="137"/>
      <c r="Q122" s="137"/>
      <c r="R122" s="137"/>
      <c r="S122" s="137"/>
      <c r="T122" s="137"/>
      <c r="U122" s="137">
        <f t="shared" si="1"/>
        <v>0</v>
      </c>
    </row>
    <row r="123" spans="2:21" ht="14.5">
      <c r="B123" s="147" t="s">
        <v>255</v>
      </c>
      <c r="C123" s="137"/>
      <c r="D123" s="137"/>
      <c r="E123" s="137">
        <v>521.24</v>
      </c>
      <c r="F123" s="137"/>
      <c r="G123" s="137"/>
      <c r="H123" s="137"/>
      <c r="I123" s="137"/>
      <c r="J123" s="137"/>
      <c r="K123" s="137"/>
      <c r="L123" s="137"/>
      <c r="M123" s="137"/>
      <c r="N123" s="137"/>
      <c r="O123" s="137"/>
      <c r="P123" s="137"/>
      <c r="Q123" s="137"/>
      <c r="R123" s="137"/>
      <c r="S123" s="137"/>
      <c r="T123" s="137"/>
      <c r="U123" s="137">
        <f t="shared" si="1"/>
        <v>0</v>
      </c>
    </row>
    <row r="124" spans="2:21" ht="14.5">
      <c r="B124" s="147" t="s">
        <v>256</v>
      </c>
      <c r="C124" s="137"/>
      <c r="D124" s="137"/>
      <c r="E124" s="137">
        <v>79.88000000000001</v>
      </c>
      <c r="F124" s="137"/>
      <c r="G124" s="137"/>
      <c r="H124" s="137"/>
      <c r="I124" s="137"/>
      <c r="J124" s="137"/>
      <c r="K124" s="137"/>
      <c r="L124" s="137"/>
      <c r="M124" s="137"/>
      <c r="N124" s="137"/>
      <c r="O124" s="137"/>
      <c r="P124" s="137">
        <v>18.13</v>
      </c>
      <c r="Q124" s="137"/>
      <c r="R124" s="137">
        <v>36.81</v>
      </c>
      <c r="S124" s="137"/>
      <c r="T124" s="137"/>
      <c r="U124" s="137">
        <f t="shared" si="1"/>
        <v>0</v>
      </c>
    </row>
    <row r="125" spans="2:21" ht="14.5">
      <c r="B125" s="147" t="s">
        <v>257</v>
      </c>
      <c r="C125" s="137"/>
      <c r="D125" s="137"/>
      <c r="E125" s="137">
        <v>27.43</v>
      </c>
      <c r="F125" s="137"/>
      <c r="G125" s="137"/>
      <c r="H125" s="137"/>
      <c r="I125" s="137"/>
      <c r="J125" s="137"/>
      <c r="K125" s="137"/>
      <c r="L125" s="137"/>
      <c r="M125" s="137"/>
      <c r="N125" s="137"/>
      <c r="O125" s="137"/>
      <c r="P125" s="137"/>
      <c r="Q125" s="137"/>
      <c r="R125" s="137"/>
      <c r="S125" s="137"/>
      <c r="T125" s="137"/>
      <c r="U125" s="137">
        <f t="shared" si="1"/>
        <v>0</v>
      </c>
    </row>
    <row r="126" spans="2:21" ht="14.5">
      <c r="B126" s="147" t="s">
        <v>258</v>
      </c>
      <c r="C126" s="137"/>
      <c r="D126" s="137"/>
      <c r="E126" s="137"/>
      <c r="F126" s="137">
        <v>110</v>
      </c>
      <c r="G126" s="137"/>
      <c r="H126" s="137"/>
      <c r="I126" s="137"/>
      <c r="J126" s="137"/>
      <c r="K126" s="137"/>
      <c r="L126" s="137"/>
      <c r="M126" s="137"/>
      <c r="N126" s="137"/>
      <c r="O126" s="137"/>
      <c r="P126" s="137"/>
      <c r="Q126" s="137"/>
      <c r="R126" s="137"/>
      <c r="S126" s="137"/>
      <c r="T126" s="137"/>
      <c r="U126" s="137">
        <f t="shared" si="1"/>
        <v>0</v>
      </c>
    </row>
    <row r="127" spans="2:21" ht="14.5">
      <c r="B127" s="147" t="s">
        <v>259</v>
      </c>
      <c r="C127" s="137"/>
      <c r="D127" s="137"/>
      <c r="E127" s="137"/>
      <c r="F127" s="137"/>
      <c r="G127" s="137"/>
      <c r="H127" s="137"/>
      <c r="I127" s="137">
        <v>34.04</v>
      </c>
      <c r="J127" s="137"/>
      <c r="K127" s="137"/>
      <c r="L127" s="137"/>
      <c r="M127" s="137"/>
      <c r="N127" s="137"/>
      <c r="O127" s="137"/>
      <c r="P127" s="137"/>
      <c r="Q127" s="137"/>
      <c r="R127" s="137"/>
      <c r="S127" s="137"/>
      <c r="T127" s="137"/>
      <c r="U127" s="137">
        <f t="shared" si="1"/>
        <v>0</v>
      </c>
    </row>
    <row r="128" spans="2:21" ht="14.5">
      <c r="B128" s="147" t="s">
        <v>260</v>
      </c>
      <c r="C128" s="137"/>
      <c r="D128" s="137"/>
      <c r="E128" s="137"/>
      <c r="F128" s="137"/>
      <c r="G128" s="137"/>
      <c r="H128" s="137"/>
      <c r="I128" s="137">
        <v>44.02</v>
      </c>
      <c r="J128" s="137"/>
      <c r="K128" s="137"/>
      <c r="L128" s="137"/>
      <c r="M128" s="137"/>
      <c r="N128" s="137"/>
      <c r="O128" s="137"/>
      <c r="P128" s="137"/>
      <c r="Q128" s="137"/>
      <c r="R128" s="137"/>
      <c r="S128" s="137"/>
      <c r="T128" s="137"/>
      <c r="U128" s="137">
        <f t="shared" si="1"/>
        <v>0</v>
      </c>
    </row>
    <row r="129" spans="2:21" ht="14.5">
      <c r="B129" s="147" t="s">
        <v>231</v>
      </c>
      <c r="C129" s="137"/>
      <c r="D129" s="137"/>
      <c r="E129" s="137"/>
      <c r="F129" s="137"/>
      <c r="G129" s="137"/>
      <c r="H129" s="137"/>
      <c r="I129" s="137"/>
      <c r="J129" s="137"/>
      <c r="K129" s="137">
        <v>180</v>
      </c>
      <c r="L129" s="137">
        <v>45</v>
      </c>
      <c r="M129" s="137"/>
      <c r="N129" s="137"/>
      <c r="O129" s="137"/>
      <c r="P129" s="137"/>
      <c r="Q129" s="137"/>
      <c r="R129" s="137"/>
      <c r="S129" s="137"/>
      <c r="T129" s="137"/>
      <c r="U129" s="137">
        <f t="shared" si="1"/>
        <v>0</v>
      </c>
    </row>
    <row r="130" spans="2:21" ht="14.5">
      <c r="B130" s="147" t="s">
        <v>261</v>
      </c>
      <c r="C130" s="137">
        <v>23.02</v>
      </c>
      <c r="D130" s="137"/>
      <c r="E130" s="137"/>
      <c r="F130" s="137"/>
      <c r="G130" s="137"/>
      <c r="H130" s="137"/>
      <c r="I130" s="137"/>
      <c r="J130" s="137"/>
      <c r="K130" s="137"/>
      <c r="L130" s="137"/>
      <c r="M130" s="137"/>
      <c r="N130" s="137"/>
      <c r="O130" s="137"/>
      <c r="P130" s="137"/>
      <c r="Q130" s="137"/>
      <c r="R130" s="137"/>
      <c r="S130" s="137"/>
      <c r="T130" s="137"/>
      <c r="U130" s="137">
        <f t="shared" si="1"/>
        <v>0</v>
      </c>
    </row>
    <row r="131" spans="2:21" ht="14.5">
      <c r="B131" s="147" t="s">
        <v>262</v>
      </c>
      <c r="C131" s="137"/>
      <c r="D131" s="137"/>
      <c r="E131" s="137"/>
      <c r="F131" s="137"/>
      <c r="G131" s="137"/>
      <c r="H131" s="137"/>
      <c r="I131" s="137"/>
      <c r="J131" s="137">
        <v>14.99</v>
      </c>
      <c r="K131" s="137"/>
      <c r="L131" s="137"/>
      <c r="M131" s="137"/>
      <c r="N131" s="137"/>
      <c r="O131" s="137"/>
      <c r="P131" s="137"/>
      <c r="Q131" s="137"/>
      <c r="R131" s="137"/>
      <c r="S131" s="137"/>
      <c r="T131" s="137"/>
      <c r="U131" s="137">
        <f t="shared" si="1"/>
        <v>0</v>
      </c>
    </row>
    <row r="132" spans="2:21" ht="14.5">
      <c r="B132" s="147" t="s">
        <v>263</v>
      </c>
      <c r="C132" s="137"/>
      <c r="D132" s="137"/>
      <c r="E132" s="137"/>
      <c r="F132" s="137"/>
      <c r="G132" s="137"/>
      <c r="H132" s="137"/>
      <c r="I132" s="137"/>
      <c r="J132" s="137">
        <v>61.05</v>
      </c>
      <c r="K132" s="137"/>
      <c r="L132" s="137"/>
      <c r="M132" s="137"/>
      <c r="N132" s="137"/>
      <c r="O132" s="137"/>
      <c r="P132" s="137"/>
      <c r="Q132" s="137"/>
      <c r="R132" s="137"/>
      <c r="S132" s="137"/>
      <c r="T132" s="137"/>
      <c r="U132" s="137">
        <f t="shared" si="1"/>
        <v>0</v>
      </c>
    </row>
    <row r="133" spans="2:21" ht="14.5">
      <c r="B133" s="147" t="s">
        <v>264</v>
      </c>
      <c r="C133" s="137"/>
      <c r="D133" s="137"/>
      <c r="E133" s="137"/>
      <c r="F133" s="137"/>
      <c r="G133" s="137"/>
      <c r="H133" s="137"/>
      <c r="I133" s="137"/>
      <c r="J133" s="137">
        <v>35</v>
      </c>
      <c r="K133" s="137"/>
      <c r="L133" s="137"/>
      <c r="M133" s="137"/>
      <c r="N133" s="137"/>
      <c r="O133" s="137"/>
      <c r="P133" s="137"/>
      <c r="Q133" s="137"/>
      <c r="R133" s="137"/>
      <c r="S133" s="137"/>
      <c r="T133" s="137"/>
      <c r="U133" s="137">
        <f t="shared" si="1"/>
        <v>0</v>
      </c>
    </row>
    <row r="134" spans="2:21" ht="14.5">
      <c r="B134" s="147" t="s">
        <v>224</v>
      </c>
      <c r="C134" s="137"/>
      <c r="D134" s="137"/>
      <c r="E134" s="137"/>
      <c r="F134" s="137"/>
      <c r="G134" s="137"/>
      <c r="H134" s="137"/>
      <c r="I134" s="137"/>
      <c r="J134" s="137">
        <v>12.32</v>
      </c>
      <c r="K134" s="137"/>
      <c r="L134" s="137"/>
      <c r="M134" s="137"/>
      <c r="N134" s="137"/>
      <c r="O134" s="137"/>
      <c r="P134" s="137"/>
      <c r="Q134" s="137"/>
      <c r="R134" s="137"/>
      <c r="S134" s="137"/>
      <c r="T134" s="137"/>
      <c r="U134" s="137">
        <f t="shared" ref="U134:U197" si="2">S134-T134</f>
        <v>0</v>
      </c>
    </row>
    <row r="135" spans="2:21" ht="14.5">
      <c r="B135" s="147" t="s">
        <v>265</v>
      </c>
      <c r="C135" s="137"/>
      <c r="D135" s="137"/>
      <c r="E135" s="137"/>
      <c r="F135" s="137"/>
      <c r="G135" s="137"/>
      <c r="H135" s="137"/>
      <c r="I135" s="137"/>
      <c r="J135" s="137">
        <v>26.14</v>
      </c>
      <c r="K135" s="137"/>
      <c r="L135" s="137"/>
      <c r="M135" s="137"/>
      <c r="N135" s="137"/>
      <c r="O135" s="137"/>
      <c r="P135" s="137"/>
      <c r="Q135" s="137"/>
      <c r="R135" s="137"/>
      <c r="S135" s="137"/>
      <c r="T135" s="137"/>
      <c r="U135" s="137">
        <f t="shared" si="2"/>
        <v>0</v>
      </c>
    </row>
    <row r="136" spans="2:21" ht="14.5">
      <c r="B136" s="147" t="s">
        <v>266</v>
      </c>
      <c r="C136" s="137"/>
      <c r="D136" s="137"/>
      <c r="E136" s="137"/>
      <c r="F136" s="137"/>
      <c r="G136" s="137"/>
      <c r="H136" s="137"/>
      <c r="I136" s="137"/>
      <c r="J136" s="137">
        <v>9.5</v>
      </c>
      <c r="K136" s="137"/>
      <c r="L136" s="137"/>
      <c r="M136" s="137"/>
      <c r="N136" s="137"/>
      <c r="O136" s="137"/>
      <c r="P136" s="137"/>
      <c r="Q136" s="137"/>
      <c r="R136" s="137"/>
      <c r="S136" s="137"/>
      <c r="T136" s="137"/>
      <c r="U136" s="137">
        <f t="shared" si="2"/>
        <v>0</v>
      </c>
    </row>
    <row r="137" spans="2:21" ht="14.5">
      <c r="B137" s="147" t="s">
        <v>267</v>
      </c>
      <c r="C137" s="137"/>
      <c r="D137" s="137"/>
      <c r="E137" s="137"/>
      <c r="F137" s="137"/>
      <c r="G137" s="137"/>
      <c r="H137" s="137"/>
      <c r="I137" s="137"/>
      <c r="J137" s="137">
        <v>259.8</v>
      </c>
      <c r="K137" s="137"/>
      <c r="L137" s="137"/>
      <c r="M137" s="137"/>
      <c r="N137" s="137"/>
      <c r="O137" s="137"/>
      <c r="P137" s="137"/>
      <c r="Q137" s="137"/>
      <c r="R137" s="137"/>
      <c r="S137" s="137"/>
      <c r="T137" s="137"/>
      <c r="U137" s="137">
        <f t="shared" si="2"/>
        <v>0</v>
      </c>
    </row>
    <row r="138" spans="2:21" ht="14.5">
      <c r="B138" s="147" t="s">
        <v>268</v>
      </c>
      <c r="C138" s="137"/>
      <c r="D138" s="137"/>
      <c r="E138" s="137"/>
      <c r="F138" s="137"/>
      <c r="G138" s="137"/>
      <c r="H138" s="137"/>
      <c r="I138" s="137"/>
      <c r="J138" s="137">
        <v>146.34</v>
      </c>
      <c r="K138" s="137"/>
      <c r="L138" s="137"/>
      <c r="M138" s="137"/>
      <c r="N138" s="137"/>
      <c r="O138" s="137"/>
      <c r="P138" s="137"/>
      <c r="Q138" s="137"/>
      <c r="R138" s="137"/>
      <c r="S138" s="137"/>
      <c r="T138" s="137"/>
      <c r="U138" s="137">
        <f t="shared" si="2"/>
        <v>0</v>
      </c>
    </row>
    <row r="139" spans="2:21" ht="14.5">
      <c r="B139" s="147" t="s">
        <v>269</v>
      </c>
      <c r="C139" s="137"/>
      <c r="D139" s="137"/>
      <c r="E139" s="137"/>
      <c r="F139" s="137"/>
      <c r="G139" s="137"/>
      <c r="H139" s="137"/>
      <c r="I139" s="137"/>
      <c r="J139" s="137">
        <v>179.42</v>
      </c>
      <c r="K139" s="137"/>
      <c r="L139" s="137"/>
      <c r="M139" s="137"/>
      <c r="N139" s="137"/>
      <c r="O139" s="137"/>
      <c r="P139" s="137"/>
      <c r="Q139" s="137"/>
      <c r="R139" s="137"/>
      <c r="S139" s="137"/>
      <c r="T139" s="137"/>
      <c r="U139" s="137">
        <f t="shared" si="2"/>
        <v>0</v>
      </c>
    </row>
    <row r="140" spans="2:21" ht="14.5">
      <c r="B140" s="147" t="s">
        <v>270</v>
      </c>
      <c r="C140" s="137"/>
      <c r="D140" s="137"/>
      <c r="E140" s="137"/>
      <c r="F140" s="137"/>
      <c r="G140" s="137"/>
      <c r="H140" s="137"/>
      <c r="I140" s="137"/>
      <c r="J140" s="137">
        <v>9.44</v>
      </c>
      <c r="K140" s="137"/>
      <c r="L140" s="137"/>
      <c r="M140" s="137"/>
      <c r="N140" s="137"/>
      <c r="O140" s="137"/>
      <c r="P140" s="137"/>
      <c r="Q140" s="137"/>
      <c r="R140" s="137"/>
      <c r="S140" s="137"/>
      <c r="T140" s="137"/>
      <c r="U140" s="137">
        <f t="shared" si="2"/>
        <v>0</v>
      </c>
    </row>
    <row r="141" spans="2:21" ht="14.5">
      <c r="B141" s="147" t="s">
        <v>271</v>
      </c>
      <c r="C141" s="137"/>
      <c r="D141" s="137"/>
      <c r="E141" s="137"/>
      <c r="F141" s="137"/>
      <c r="G141" s="137"/>
      <c r="H141" s="137"/>
      <c r="I141" s="137"/>
      <c r="J141" s="137">
        <v>40.76</v>
      </c>
      <c r="K141" s="137"/>
      <c r="L141" s="137"/>
      <c r="M141" s="137"/>
      <c r="N141" s="137"/>
      <c r="O141" s="137"/>
      <c r="P141" s="137"/>
      <c r="Q141" s="137"/>
      <c r="R141" s="137"/>
      <c r="S141" s="137"/>
      <c r="T141" s="137"/>
      <c r="U141" s="137">
        <f t="shared" si="2"/>
        <v>0</v>
      </c>
    </row>
    <row r="142" spans="2:21" ht="14.5">
      <c r="B142" s="147" t="s">
        <v>272</v>
      </c>
      <c r="C142" s="137"/>
      <c r="D142" s="137"/>
      <c r="E142" s="137"/>
      <c r="F142" s="137"/>
      <c r="G142" s="137"/>
      <c r="H142" s="137"/>
      <c r="I142" s="137"/>
      <c r="J142" s="137"/>
      <c r="K142" s="137">
        <v>14.7</v>
      </c>
      <c r="L142" s="137"/>
      <c r="M142" s="137"/>
      <c r="N142" s="137"/>
      <c r="O142" s="137"/>
      <c r="P142" s="137"/>
      <c r="Q142" s="137"/>
      <c r="R142" s="137"/>
      <c r="S142" s="137"/>
      <c r="T142" s="137"/>
      <c r="U142" s="137">
        <f t="shared" si="2"/>
        <v>0</v>
      </c>
    </row>
    <row r="143" spans="2:21" ht="14.5">
      <c r="B143" s="147" t="s">
        <v>273</v>
      </c>
      <c r="C143" s="137"/>
      <c r="D143" s="137"/>
      <c r="E143" s="137"/>
      <c r="F143" s="137"/>
      <c r="G143" s="137"/>
      <c r="H143" s="137"/>
      <c r="I143" s="137"/>
      <c r="J143" s="137"/>
      <c r="K143" s="137">
        <v>4.49</v>
      </c>
      <c r="L143" s="137"/>
      <c r="M143" s="137"/>
      <c r="N143" s="137"/>
      <c r="O143" s="137"/>
      <c r="P143" s="137"/>
      <c r="Q143" s="137"/>
      <c r="R143" s="137"/>
      <c r="S143" s="137"/>
      <c r="T143" s="137"/>
      <c r="U143" s="137">
        <f t="shared" si="2"/>
        <v>0</v>
      </c>
    </row>
    <row r="144" spans="2:21" ht="14.5">
      <c r="B144" s="147" t="s">
        <v>274</v>
      </c>
      <c r="C144" s="137"/>
      <c r="D144" s="137"/>
      <c r="E144" s="137"/>
      <c r="F144" s="137"/>
      <c r="G144" s="137"/>
      <c r="H144" s="137"/>
      <c r="I144" s="137"/>
      <c r="J144" s="137"/>
      <c r="K144" s="137">
        <v>16.170000000000002</v>
      </c>
      <c r="L144" s="137"/>
      <c r="M144" s="137"/>
      <c r="N144" s="137"/>
      <c r="O144" s="137"/>
      <c r="P144" s="137"/>
      <c r="Q144" s="137"/>
      <c r="R144" s="137"/>
      <c r="S144" s="137"/>
      <c r="T144" s="137"/>
      <c r="U144" s="137">
        <f t="shared" si="2"/>
        <v>0</v>
      </c>
    </row>
    <row r="145" spans="2:21" ht="14.5">
      <c r="B145" s="147" t="s">
        <v>275</v>
      </c>
      <c r="C145" s="137"/>
      <c r="D145" s="137"/>
      <c r="E145" s="137"/>
      <c r="F145" s="137"/>
      <c r="G145" s="137"/>
      <c r="H145" s="137"/>
      <c r="I145" s="137">
        <v>36.43</v>
      </c>
      <c r="J145" s="137"/>
      <c r="K145" s="137">
        <v>95.1</v>
      </c>
      <c r="L145" s="137"/>
      <c r="M145" s="137"/>
      <c r="N145" s="137"/>
      <c r="O145" s="137"/>
      <c r="P145" s="137"/>
      <c r="Q145" s="137"/>
      <c r="R145" s="137"/>
      <c r="S145" s="137"/>
      <c r="T145" s="137"/>
      <c r="U145" s="137">
        <f t="shared" si="2"/>
        <v>0</v>
      </c>
    </row>
    <row r="146" spans="2:21" ht="14.5">
      <c r="B146" s="147" t="s">
        <v>276</v>
      </c>
      <c r="C146" s="137"/>
      <c r="D146" s="137"/>
      <c r="E146" s="137"/>
      <c r="F146" s="137"/>
      <c r="G146" s="137"/>
      <c r="H146" s="137"/>
      <c r="I146" s="137"/>
      <c r="J146" s="137"/>
      <c r="K146" s="137"/>
      <c r="L146" s="137">
        <v>40.25</v>
      </c>
      <c r="M146" s="137"/>
      <c r="N146" s="137"/>
      <c r="O146" s="137"/>
      <c r="P146" s="137"/>
      <c r="Q146" s="137"/>
      <c r="R146" s="137"/>
      <c r="S146" s="137"/>
      <c r="T146" s="137"/>
      <c r="U146" s="137">
        <f t="shared" si="2"/>
        <v>0</v>
      </c>
    </row>
    <row r="147" spans="2:21" ht="14.5">
      <c r="B147" s="147" t="s">
        <v>277</v>
      </c>
      <c r="C147" s="137"/>
      <c r="D147" s="137"/>
      <c r="E147" s="137"/>
      <c r="F147" s="137"/>
      <c r="G147" s="137"/>
      <c r="H147" s="137"/>
      <c r="I147" s="137"/>
      <c r="J147" s="137"/>
      <c r="K147" s="137"/>
      <c r="L147" s="137">
        <v>54</v>
      </c>
      <c r="M147" s="137"/>
      <c r="N147" s="137"/>
      <c r="O147" s="137"/>
      <c r="P147" s="137"/>
      <c r="Q147" s="137"/>
      <c r="R147" s="137"/>
      <c r="S147" s="137"/>
      <c r="T147" s="137"/>
      <c r="U147" s="137">
        <f t="shared" si="2"/>
        <v>0</v>
      </c>
    </row>
    <row r="148" spans="2:21" ht="14.5">
      <c r="B148" s="147" t="s">
        <v>278</v>
      </c>
      <c r="C148" s="137"/>
      <c r="D148" s="137"/>
      <c r="E148" s="137"/>
      <c r="F148" s="137"/>
      <c r="G148" s="137"/>
      <c r="H148" s="137"/>
      <c r="I148" s="137"/>
      <c r="J148" s="137"/>
      <c r="K148" s="137"/>
      <c r="L148" s="137">
        <v>33.14</v>
      </c>
      <c r="M148" s="137"/>
      <c r="N148" s="137"/>
      <c r="O148" s="137"/>
      <c r="P148" s="137"/>
      <c r="Q148" s="137"/>
      <c r="R148" s="137"/>
      <c r="S148" s="137"/>
      <c r="T148" s="137"/>
      <c r="U148" s="137">
        <f t="shared" si="2"/>
        <v>0</v>
      </c>
    </row>
    <row r="149" spans="2:21" ht="14.5">
      <c r="B149" s="147" t="s">
        <v>279</v>
      </c>
      <c r="C149" s="137"/>
      <c r="D149" s="137"/>
      <c r="E149" s="137"/>
      <c r="F149" s="137"/>
      <c r="G149" s="137"/>
      <c r="H149" s="137"/>
      <c r="I149" s="137"/>
      <c r="J149" s="137"/>
      <c r="K149" s="137"/>
      <c r="L149" s="137"/>
      <c r="M149" s="137">
        <v>65</v>
      </c>
      <c r="N149" s="137"/>
      <c r="O149" s="137"/>
      <c r="P149" s="137"/>
      <c r="Q149" s="137"/>
      <c r="R149" s="137"/>
      <c r="S149" s="137"/>
      <c r="T149" s="137"/>
      <c r="U149" s="137">
        <f t="shared" si="2"/>
        <v>0</v>
      </c>
    </row>
    <row r="150" spans="2:21" ht="14.5">
      <c r="B150" s="147" t="s">
        <v>280</v>
      </c>
      <c r="C150" s="137"/>
      <c r="D150" s="137"/>
      <c r="E150" s="137"/>
      <c r="F150" s="137"/>
      <c r="G150" s="137"/>
      <c r="H150" s="137"/>
      <c r="I150" s="137"/>
      <c r="J150" s="137"/>
      <c r="K150" s="137"/>
      <c r="L150" s="137"/>
      <c r="M150" s="137">
        <v>5.23</v>
      </c>
      <c r="N150" s="137"/>
      <c r="O150" s="137"/>
      <c r="P150" s="137"/>
      <c r="Q150" s="137"/>
      <c r="R150" s="137"/>
      <c r="S150" s="137"/>
      <c r="T150" s="137"/>
      <c r="U150" s="137">
        <f t="shared" si="2"/>
        <v>0</v>
      </c>
    </row>
    <row r="151" spans="2:21" ht="14.5">
      <c r="B151" s="147" t="s">
        <v>281</v>
      </c>
      <c r="C151" s="137"/>
      <c r="D151" s="137"/>
      <c r="E151" s="137"/>
      <c r="F151" s="137"/>
      <c r="G151" s="137"/>
      <c r="H151" s="137"/>
      <c r="I151" s="137"/>
      <c r="J151" s="137"/>
      <c r="K151" s="137"/>
      <c r="L151" s="137"/>
      <c r="M151" s="137">
        <v>19.63</v>
      </c>
      <c r="N151" s="137"/>
      <c r="O151" s="137"/>
      <c r="P151" s="137"/>
      <c r="Q151" s="137"/>
      <c r="R151" s="137"/>
      <c r="S151" s="137"/>
      <c r="T151" s="137"/>
      <c r="U151" s="137">
        <f t="shared" si="2"/>
        <v>0</v>
      </c>
    </row>
    <row r="152" spans="2:21" ht="14.5">
      <c r="B152" s="147" t="s">
        <v>282</v>
      </c>
      <c r="C152" s="137"/>
      <c r="D152" s="137"/>
      <c r="E152" s="137"/>
      <c r="F152" s="137"/>
      <c r="G152" s="137"/>
      <c r="H152" s="137"/>
      <c r="I152" s="137"/>
      <c r="J152" s="137"/>
      <c r="K152" s="137"/>
      <c r="L152" s="137"/>
      <c r="M152" s="137">
        <v>9.65</v>
      </c>
      <c r="N152" s="137"/>
      <c r="O152" s="137"/>
      <c r="P152" s="137"/>
      <c r="Q152" s="137"/>
      <c r="R152" s="137"/>
      <c r="S152" s="137"/>
      <c r="T152" s="137"/>
      <c r="U152" s="137">
        <f t="shared" si="2"/>
        <v>0</v>
      </c>
    </row>
    <row r="153" spans="2:21" ht="14.5">
      <c r="B153" s="147" t="s">
        <v>283</v>
      </c>
      <c r="C153" s="137"/>
      <c r="D153" s="137"/>
      <c r="E153" s="137"/>
      <c r="F153" s="137"/>
      <c r="G153" s="137"/>
      <c r="H153" s="137"/>
      <c r="I153" s="137"/>
      <c r="J153" s="137"/>
      <c r="K153" s="137"/>
      <c r="L153" s="137"/>
      <c r="M153" s="137">
        <v>21.11</v>
      </c>
      <c r="N153" s="137"/>
      <c r="O153" s="137"/>
      <c r="P153" s="137"/>
      <c r="Q153" s="137"/>
      <c r="R153" s="137"/>
      <c r="S153" s="137"/>
      <c r="T153" s="137"/>
      <c r="U153" s="137">
        <f t="shared" si="2"/>
        <v>0</v>
      </c>
    </row>
    <row r="154" spans="2:21" ht="14.5">
      <c r="B154" s="147" t="s">
        <v>284</v>
      </c>
      <c r="C154" s="137"/>
      <c r="D154" s="137"/>
      <c r="E154" s="137"/>
      <c r="F154" s="137"/>
      <c r="G154" s="137"/>
      <c r="H154" s="137"/>
      <c r="I154" s="137"/>
      <c r="J154" s="137"/>
      <c r="K154" s="137"/>
      <c r="L154" s="137"/>
      <c r="M154" s="137">
        <v>31.23</v>
      </c>
      <c r="N154" s="137"/>
      <c r="O154" s="137"/>
      <c r="P154" s="137"/>
      <c r="Q154" s="137"/>
      <c r="R154" s="137"/>
      <c r="S154" s="137"/>
      <c r="T154" s="137"/>
      <c r="U154" s="137">
        <f t="shared" si="2"/>
        <v>0</v>
      </c>
    </row>
    <row r="155" spans="2:21" ht="14.5">
      <c r="B155" s="147" t="s">
        <v>285</v>
      </c>
      <c r="C155" s="137"/>
      <c r="D155" s="137"/>
      <c r="E155" s="137"/>
      <c r="F155" s="137"/>
      <c r="G155" s="137"/>
      <c r="H155" s="137"/>
      <c r="I155" s="137"/>
      <c r="J155" s="137"/>
      <c r="K155" s="137"/>
      <c r="L155" s="137"/>
      <c r="M155" s="137"/>
      <c r="N155" s="137">
        <v>79.2</v>
      </c>
      <c r="O155" s="137"/>
      <c r="P155" s="137"/>
      <c r="Q155" s="137"/>
      <c r="R155" s="137"/>
      <c r="S155" s="137"/>
      <c r="T155" s="137"/>
      <c r="U155" s="137">
        <f t="shared" si="2"/>
        <v>0</v>
      </c>
    </row>
    <row r="156" spans="2:21" ht="14.5">
      <c r="B156" s="147" t="s">
        <v>286</v>
      </c>
      <c r="C156" s="137"/>
      <c r="D156" s="137"/>
      <c r="E156" s="137"/>
      <c r="F156" s="137"/>
      <c r="G156" s="137"/>
      <c r="H156" s="137"/>
      <c r="I156" s="137"/>
      <c r="J156" s="137"/>
      <c r="K156" s="137"/>
      <c r="L156" s="137"/>
      <c r="M156" s="137"/>
      <c r="N156" s="137">
        <v>11.66</v>
      </c>
      <c r="O156" s="137"/>
      <c r="P156" s="137"/>
      <c r="Q156" s="137"/>
      <c r="R156" s="137"/>
      <c r="S156" s="137"/>
      <c r="T156" s="137"/>
      <c r="U156" s="137">
        <f t="shared" si="2"/>
        <v>0</v>
      </c>
    </row>
    <row r="157" spans="2:21" ht="14.5">
      <c r="B157" s="147" t="s">
        <v>287</v>
      </c>
      <c r="C157" s="137"/>
      <c r="D157" s="137"/>
      <c r="E157" s="137"/>
      <c r="F157" s="137"/>
      <c r="G157" s="137"/>
      <c r="H157" s="137"/>
      <c r="I157" s="137"/>
      <c r="J157" s="137"/>
      <c r="K157" s="137"/>
      <c r="L157" s="137"/>
      <c r="M157" s="137"/>
      <c r="N157" s="137">
        <v>49.02</v>
      </c>
      <c r="O157" s="137"/>
      <c r="P157" s="137"/>
      <c r="Q157" s="137"/>
      <c r="R157" s="137"/>
      <c r="S157" s="137"/>
      <c r="T157" s="137"/>
      <c r="U157" s="137">
        <f t="shared" si="2"/>
        <v>0</v>
      </c>
    </row>
    <row r="158" spans="2:21" ht="14.5">
      <c r="B158" s="147" t="s">
        <v>288</v>
      </c>
      <c r="C158" s="137">
        <v>58.3</v>
      </c>
      <c r="D158" s="137"/>
      <c r="E158" s="137"/>
      <c r="F158" s="137"/>
      <c r="G158" s="137"/>
      <c r="H158" s="137"/>
      <c r="I158" s="137"/>
      <c r="J158" s="137"/>
      <c r="K158" s="137"/>
      <c r="L158" s="137"/>
      <c r="M158" s="137"/>
      <c r="N158" s="137"/>
      <c r="O158" s="137"/>
      <c r="P158" s="137"/>
      <c r="Q158" s="137"/>
      <c r="R158" s="137"/>
      <c r="S158" s="137"/>
      <c r="T158" s="137"/>
      <c r="U158" s="137">
        <f t="shared" si="2"/>
        <v>0</v>
      </c>
    </row>
    <row r="159" spans="2:21" ht="14.5">
      <c r="B159" s="147" t="s">
        <v>289</v>
      </c>
      <c r="C159" s="137"/>
      <c r="D159" s="137">
        <v>52.3</v>
      </c>
      <c r="E159" s="137"/>
      <c r="F159" s="137"/>
      <c r="G159" s="137"/>
      <c r="H159" s="137"/>
      <c r="I159" s="137"/>
      <c r="J159" s="137"/>
      <c r="K159" s="137"/>
      <c r="L159" s="137"/>
      <c r="M159" s="137"/>
      <c r="N159" s="137"/>
      <c r="O159" s="137"/>
      <c r="P159" s="137"/>
      <c r="Q159" s="137"/>
      <c r="R159" s="137"/>
      <c r="S159" s="137"/>
      <c r="T159" s="137"/>
      <c r="U159" s="137">
        <f t="shared" si="2"/>
        <v>0</v>
      </c>
    </row>
    <row r="160" spans="2:21" ht="14.5">
      <c r="B160" s="147" t="s">
        <v>290</v>
      </c>
      <c r="C160" s="137"/>
      <c r="D160" s="137">
        <v>110.36</v>
      </c>
      <c r="E160" s="137"/>
      <c r="F160" s="137"/>
      <c r="G160" s="137"/>
      <c r="H160" s="137"/>
      <c r="I160" s="137"/>
      <c r="J160" s="137"/>
      <c r="K160" s="137"/>
      <c r="L160" s="137"/>
      <c r="M160" s="137"/>
      <c r="N160" s="137"/>
      <c r="O160" s="137"/>
      <c r="P160" s="137"/>
      <c r="Q160" s="137"/>
      <c r="R160" s="137"/>
      <c r="S160" s="137"/>
      <c r="T160" s="137"/>
      <c r="U160" s="137">
        <f t="shared" si="2"/>
        <v>0</v>
      </c>
    </row>
    <row r="161" spans="2:21" ht="14.5">
      <c r="B161" s="147" t="s">
        <v>291</v>
      </c>
      <c r="C161" s="137"/>
      <c r="D161" s="137">
        <v>51.85</v>
      </c>
      <c r="E161" s="137"/>
      <c r="F161" s="137"/>
      <c r="G161" s="137"/>
      <c r="H161" s="137"/>
      <c r="I161" s="137"/>
      <c r="J161" s="137">
        <v>48.74</v>
      </c>
      <c r="K161" s="137"/>
      <c r="L161" s="137">
        <v>36.85</v>
      </c>
      <c r="M161" s="137"/>
      <c r="N161" s="137"/>
      <c r="O161" s="137"/>
      <c r="P161" s="137"/>
      <c r="Q161" s="137"/>
      <c r="R161" s="137">
        <v>51.11</v>
      </c>
      <c r="S161" s="137"/>
      <c r="T161" s="137"/>
      <c r="U161" s="137">
        <f t="shared" si="2"/>
        <v>0</v>
      </c>
    </row>
    <row r="162" spans="2:21" ht="14.5">
      <c r="B162" s="147" t="s">
        <v>292</v>
      </c>
      <c r="C162" s="137"/>
      <c r="D162" s="137">
        <v>33.56</v>
      </c>
      <c r="E162" s="137"/>
      <c r="F162" s="137"/>
      <c r="G162" s="137"/>
      <c r="H162" s="137"/>
      <c r="I162" s="137"/>
      <c r="J162" s="137"/>
      <c r="K162" s="137"/>
      <c r="L162" s="137"/>
      <c r="M162" s="137"/>
      <c r="N162" s="137"/>
      <c r="O162" s="137"/>
      <c r="P162" s="137"/>
      <c r="Q162" s="137"/>
      <c r="R162" s="137"/>
      <c r="S162" s="137"/>
      <c r="T162" s="137"/>
      <c r="U162" s="137">
        <f t="shared" si="2"/>
        <v>0</v>
      </c>
    </row>
    <row r="163" spans="2:21" ht="14.5">
      <c r="B163" s="147" t="s">
        <v>293</v>
      </c>
      <c r="C163" s="137"/>
      <c r="D163" s="137">
        <v>52.86</v>
      </c>
      <c r="E163" s="137"/>
      <c r="F163" s="137"/>
      <c r="G163" s="137"/>
      <c r="H163" s="137"/>
      <c r="I163" s="137"/>
      <c r="J163" s="137"/>
      <c r="K163" s="137"/>
      <c r="L163" s="137"/>
      <c r="M163" s="137"/>
      <c r="N163" s="137"/>
      <c r="O163" s="137"/>
      <c r="P163" s="137"/>
      <c r="Q163" s="137"/>
      <c r="R163" s="137"/>
      <c r="S163" s="137"/>
      <c r="T163" s="137"/>
      <c r="U163" s="137">
        <f t="shared" si="2"/>
        <v>0</v>
      </c>
    </row>
    <row r="164" spans="2:21" ht="14.5">
      <c r="B164" s="147" t="s">
        <v>294</v>
      </c>
      <c r="C164" s="137"/>
      <c r="D164" s="137">
        <v>101.64</v>
      </c>
      <c r="E164" s="137"/>
      <c r="F164" s="137"/>
      <c r="G164" s="137"/>
      <c r="H164" s="137"/>
      <c r="I164" s="137"/>
      <c r="J164" s="137"/>
      <c r="K164" s="137"/>
      <c r="L164" s="137"/>
      <c r="M164" s="137"/>
      <c r="N164" s="137"/>
      <c r="O164" s="137"/>
      <c r="P164" s="137"/>
      <c r="Q164" s="137"/>
      <c r="R164" s="137"/>
      <c r="S164" s="137"/>
      <c r="T164" s="137"/>
      <c r="U164" s="137">
        <f t="shared" si="2"/>
        <v>0</v>
      </c>
    </row>
    <row r="165" spans="2:21" ht="14.5">
      <c r="B165" s="147" t="s">
        <v>295</v>
      </c>
      <c r="C165" s="137"/>
      <c r="D165" s="137"/>
      <c r="E165" s="137">
        <v>56.76</v>
      </c>
      <c r="F165" s="137"/>
      <c r="G165" s="137"/>
      <c r="H165" s="137"/>
      <c r="I165" s="137"/>
      <c r="J165" s="137"/>
      <c r="K165" s="137"/>
      <c r="L165" s="137"/>
      <c r="M165" s="137"/>
      <c r="N165" s="137"/>
      <c r="O165" s="137"/>
      <c r="P165" s="137"/>
      <c r="Q165" s="137"/>
      <c r="R165" s="137"/>
      <c r="S165" s="137"/>
      <c r="T165" s="137"/>
      <c r="U165" s="137">
        <f t="shared" si="2"/>
        <v>0</v>
      </c>
    </row>
    <row r="166" spans="2:21" ht="14.5">
      <c r="B166" s="147" t="s">
        <v>296</v>
      </c>
      <c r="C166" s="137"/>
      <c r="D166" s="137"/>
      <c r="E166" s="137">
        <v>59.39</v>
      </c>
      <c r="F166" s="137"/>
      <c r="G166" s="137"/>
      <c r="H166" s="137"/>
      <c r="I166" s="137"/>
      <c r="J166" s="137"/>
      <c r="K166" s="137"/>
      <c r="L166" s="137"/>
      <c r="M166" s="137"/>
      <c r="N166" s="137"/>
      <c r="O166" s="137"/>
      <c r="P166" s="137"/>
      <c r="Q166" s="137"/>
      <c r="R166" s="137"/>
      <c r="S166" s="137"/>
      <c r="T166" s="137"/>
      <c r="U166" s="137">
        <f t="shared" si="2"/>
        <v>0</v>
      </c>
    </row>
    <row r="167" spans="2:21" ht="14.5">
      <c r="B167" s="147" t="s">
        <v>297</v>
      </c>
      <c r="C167" s="137"/>
      <c r="D167" s="137"/>
      <c r="E167" s="137">
        <v>4.05</v>
      </c>
      <c r="F167" s="137"/>
      <c r="G167" s="137"/>
      <c r="H167" s="137"/>
      <c r="I167" s="137"/>
      <c r="J167" s="137"/>
      <c r="K167" s="137"/>
      <c r="L167" s="137"/>
      <c r="M167" s="137"/>
      <c r="N167" s="137"/>
      <c r="O167" s="137"/>
      <c r="P167" s="137"/>
      <c r="Q167" s="137"/>
      <c r="R167" s="137"/>
      <c r="S167" s="137"/>
      <c r="T167" s="137"/>
      <c r="U167" s="137">
        <f t="shared" si="2"/>
        <v>0</v>
      </c>
    </row>
    <row r="168" spans="2:21" ht="14.5">
      <c r="B168" s="147" t="s">
        <v>298</v>
      </c>
      <c r="C168" s="137"/>
      <c r="D168" s="137"/>
      <c r="E168" s="137">
        <v>101.92</v>
      </c>
      <c r="F168" s="137"/>
      <c r="G168" s="137"/>
      <c r="H168" s="137"/>
      <c r="I168" s="137"/>
      <c r="J168" s="137"/>
      <c r="K168" s="137"/>
      <c r="L168" s="137"/>
      <c r="M168" s="137"/>
      <c r="N168" s="137"/>
      <c r="O168" s="137"/>
      <c r="P168" s="137"/>
      <c r="Q168" s="137"/>
      <c r="R168" s="137"/>
      <c r="S168" s="137"/>
      <c r="T168" s="137"/>
      <c r="U168" s="137">
        <f t="shared" si="2"/>
        <v>0</v>
      </c>
    </row>
    <row r="169" spans="2:21" ht="14.5">
      <c r="B169" s="147" t="s">
        <v>299</v>
      </c>
      <c r="C169" s="137"/>
      <c r="D169" s="137"/>
      <c r="E169" s="137">
        <v>64.34</v>
      </c>
      <c r="F169" s="137"/>
      <c r="G169" s="137"/>
      <c r="H169" s="137"/>
      <c r="I169" s="137"/>
      <c r="J169" s="137"/>
      <c r="K169" s="137"/>
      <c r="L169" s="137"/>
      <c r="M169" s="137"/>
      <c r="N169" s="137"/>
      <c r="O169" s="137"/>
      <c r="P169" s="137"/>
      <c r="Q169" s="137"/>
      <c r="R169" s="137">
        <v>19.47</v>
      </c>
      <c r="S169" s="137"/>
      <c r="T169" s="137"/>
      <c r="U169" s="137">
        <f t="shared" si="2"/>
        <v>0</v>
      </c>
    </row>
    <row r="170" spans="2:21" ht="14.5">
      <c r="B170" s="147" t="s">
        <v>300</v>
      </c>
      <c r="C170" s="137"/>
      <c r="D170" s="137"/>
      <c r="E170" s="137"/>
      <c r="F170" s="137">
        <v>39.26</v>
      </c>
      <c r="G170" s="137"/>
      <c r="H170" s="137"/>
      <c r="I170" s="137"/>
      <c r="J170" s="137"/>
      <c r="K170" s="137"/>
      <c r="L170" s="137"/>
      <c r="M170" s="137"/>
      <c r="N170" s="137"/>
      <c r="O170" s="137"/>
      <c r="P170" s="137"/>
      <c r="Q170" s="137"/>
      <c r="R170" s="137"/>
      <c r="S170" s="137"/>
      <c r="T170" s="137"/>
      <c r="U170" s="137">
        <f t="shared" si="2"/>
        <v>0</v>
      </c>
    </row>
    <row r="171" spans="2:21" ht="14.5">
      <c r="B171" s="147" t="s">
        <v>301</v>
      </c>
      <c r="C171" s="137"/>
      <c r="D171" s="137"/>
      <c r="E171" s="137"/>
      <c r="F171" s="137">
        <v>83.91</v>
      </c>
      <c r="G171" s="137"/>
      <c r="H171" s="137"/>
      <c r="I171" s="137"/>
      <c r="J171" s="137"/>
      <c r="K171" s="137"/>
      <c r="L171" s="137"/>
      <c r="M171" s="137"/>
      <c r="N171" s="137"/>
      <c r="O171" s="137"/>
      <c r="P171" s="137">
        <v>105.01</v>
      </c>
      <c r="Q171" s="137"/>
      <c r="R171" s="137">
        <v>74</v>
      </c>
      <c r="S171" s="137"/>
      <c r="T171" s="137"/>
      <c r="U171" s="137">
        <f t="shared" si="2"/>
        <v>0</v>
      </c>
    </row>
    <row r="172" spans="2:21" ht="14.5">
      <c r="B172" s="147" t="s">
        <v>302</v>
      </c>
      <c r="C172" s="137"/>
      <c r="D172" s="137"/>
      <c r="E172" s="137"/>
      <c r="F172" s="137">
        <v>70.7</v>
      </c>
      <c r="G172" s="137"/>
      <c r="H172" s="137"/>
      <c r="I172" s="137"/>
      <c r="J172" s="137"/>
      <c r="K172" s="137"/>
      <c r="L172" s="137"/>
      <c r="M172" s="137"/>
      <c r="N172" s="137"/>
      <c r="O172" s="137"/>
      <c r="P172" s="137"/>
      <c r="Q172" s="137"/>
      <c r="R172" s="137"/>
      <c r="S172" s="137"/>
      <c r="T172" s="137"/>
      <c r="U172" s="137">
        <f t="shared" si="2"/>
        <v>0</v>
      </c>
    </row>
    <row r="173" spans="2:21" ht="14.5">
      <c r="B173" s="147" t="s">
        <v>303</v>
      </c>
      <c r="C173" s="137"/>
      <c r="D173" s="137"/>
      <c r="E173" s="137"/>
      <c r="F173" s="137">
        <v>22.33</v>
      </c>
      <c r="G173" s="137"/>
      <c r="H173" s="137"/>
      <c r="I173" s="137"/>
      <c r="J173" s="137"/>
      <c r="K173" s="137"/>
      <c r="L173" s="137"/>
      <c r="M173" s="137"/>
      <c r="N173" s="137"/>
      <c r="O173" s="137"/>
      <c r="P173" s="137"/>
      <c r="Q173" s="137"/>
      <c r="R173" s="137"/>
      <c r="S173" s="137"/>
      <c r="T173" s="137"/>
      <c r="U173" s="137">
        <f t="shared" si="2"/>
        <v>0</v>
      </c>
    </row>
    <row r="174" spans="2:21" ht="14.5">
      <c r="B174" s="147" t="s">
        <v>304</v>
      </c>
      <c r="C174" s="137"/>
      <c r="D174" s="137"/>
      <c r="E174" s="137"/>
      <c r="F174" s="137"/>
      <c r="G174" s="137"/>
      <c r="H174" s="137"/>
      <c r="I174" s="137"/>
      <c r="J174" s="137">
        <v>71.42</v>
      </c>
      <c r="K174" s="137"/>
      <c r="L174" s="137"/>
      <c r="M174" s="137">
        <v>30.79</v>
      </c>
      <c r="N174" s="137"/>
      <c r="O174" s="137"/>
      <c r="P174" s="137"/>
      <c r="Q174" s="137"/>
      <c r="R174" s="137"/>
      <c r="S174" s="137"/>
      <c r="T174" s="137"/>
      <c r="U174" s="137">
        <f t="shared" si="2"/>
        <v>0</v>
      </c>
    </row>
    <row r="175" spans="2:21" ht="14.5">
      <c r="B175" s="147" t="s">
        <v>305</v>
      </c>
      <c r="C175" s="137"/>
      <c r="D175" s="137"/>
      <c r="E175" s="137"/>
      <c r="F175" s="137"/>
      <c r="G175" s="137"/>
      <c r="H175" s="137"/>
      <c r="I175" s="137"/>
      <c r="J175" s="137">
        <v>106.52000000000001</v>
      </c>
      <c r="K175" s="137"/>
      <c r="L175" s="137"/>
      <c r="M175" s="137"/>
      <c r="N175" s="137"/>
      <c r="O175" s="137"/>
      <c r="P175" s="137"/>
      <c r="Q175" s="137"/>
      <c r="R175" s="137">
        <v>67.510000000000005</v>
      </c>
      <c r="S175" s="137"/>
      <c r="T175" s="137"/>
      <c r="U175" s="137">
        <f t="shared" si="2"/>
        <v>0</v>
      </c>
    </row>
    <row r="176" spans="2:21" ht="14.5">
      <c r="B176" s="147" t="s">
        <v>306</v>
      </c>
      <c r="C176" s="137"/>
      <c r="D176" s="137"/>
      <c r="E176" s="137"/>
      <c r="F176" s="137"/>
      <c r="G176" s="137"/>
      <c r="H176" s="137"/>
      <c r="I176" s="137"/>
      <c r="J176" s="137">
        <v>43.3</v>
      </c>
      <c r="K176" s="137"/>
      <c r="L176" s="137"/>
      <c r="M176" s="137"/>
      <c r="N176" s="137"/>
      <c r="O176" s="137"/>
      <c r="P176" s="137"/>
      <c r="Q176" s="137"/>
      <c r="R176" s="137"/>
      <c r="S176" s="137"/>
      <c r="T176" s="137"/>
      <c r="U176" s="137">
        <f t="shared" si="2"/>
        <v>0</v>
      </c>
    </row>
    <row r="177" spans="2:21" ht="14.5">
      <c r="B177" s="147" t="s">
        <v>307</v>
      </c>
      <c r="C177" s="137"/>
      <c r="D177" s="137"/>
      <c r="E177" s="137"/>
      <c r="F177" s="137"/>
      <c r="G177" s="137"/>
      <c r="H177" s="137"/>
      <c r="I177" s="137"/>
      <c r="J177" s="137">
        <v>60</v>
      </c>
      <c r="K177" s="137"/>
      <c r="L177" s="137"/>
      <c r="M177" s="137"/>
      <c r="N177" s="137"/>
      <c r="O177" s="137"/>
      <c r="P177" s="137"/>
      <c r="Q177" s="137"/>
      <c r="R177" s="137"/>
      <c r="S177" s="137"/>
      <c r="T177" s="137"/>
      <c r="U177" s="137">
        <f t="shared" si="2"/>
        <v>0</v>
      </c>
    </row>
    <row r="178" spans="2:21" ht="14.5">
      <c r="B178" s="147" t="s">
        <v>308</v>
      </c>
      <c r="C178" s="137"/>
      <c r="D178" s="137"/>
      <c r="E178" s="137"/>
      <c r="F178" s="137"/>
      <c r="G178" s="137"/>
      <c r="H178" s="137"/>
      <c r="I178" s="137"/>
      <c r="J178" s="137">
        <v>79.58</v>
      </c>
      <c r="K178" s="137"/>
      <c r="L178" s="137"/>
      <c r="M178" s="137"/>
      <c r="N178" s="137"/>
      <c r="O178" s="137"/>
      <c r="P178" s="137"/>
      <c r="Q178" s="137"/>
      <c r="R178" s="137"/>
      <c r="S178" s="137"/>
      <c r="T178" s="137"/>
      <c r="U178" s="137">
        <f t="shared" si="2"/>
        <v>0</v>
      </c>
    </row>
    <row r="179" spans="2:21" ht="14.5">
      <c r="B179" s="147" t="s">
        <v>309</v>
      </c>
      <c r="C179" s="137"/>
      <c r="D179" s="137"/>
      <c r="E179" s="137"/>
      <c r="F179" s="137"/>
      <c r="G179" s="137"/>
      <c r="H179" s="137"/>
      <c r="I179" s="137"/>
      <c r="J179" s="137">
        <v>24.9</v>
      </c>
      <c r="K179" s="137"/>
      <c r="L179" s="137"/>
      <c r="M179" s="137">
        <v>32.229999999999997</v>
      </c>
      <c r="N179" s="137"/>
      <c r="O179" s="137"/>
      <c r="P179" s="137"/>
      <c r="Q179" s="137"/>
      <c r="R179" s="137"/>
      <c r="S179" s="137"/>
      <c r="T179" s="137"/>
      <c r="U179" s="137">
        <f t="shared" si="2"/>
        <v>0</v>
      </c>
    </row>
    <row r="180" spans="2:21" ht="14.5">
      <c r="B180" s="147" t="s">
        <v>310</v>
      </c>
      <c r="C180" s="137"/>
      <c r="D180" s="137"/>
      <c r="E180" s="137"/>
      <c r="F180" s="137"/>
      <c r="G180" s="137"/>
      <c r="H180" s="137"/>
      <c r="I180" s="137"/>
      <c r="J180" s="137"/>
      <c r="K180" s="137">
        <v>49.27</v>
      </c>
      <c r="L180" s="137"/>
      <c r="M180" s="137"/>
      <c r="N180" s="137"/>
      <c r="O180" s="137"/>
      <c r="P180" s="137"/>
      <c r="Q180" s="137"/>
      <c r="R180" s="137"/>
      <c r="S180" s="137"/>
      <c r="T180" s="137"/>
      <c r="U180" s="137">
        <f t="shared" si="2"/>
        <v>0</v>
      </c>
    </row>
    <row r="181" spans="2:21" ht="14.5">
      <c r="B181" s="147" t="s">
        <v>311</v>
      </c>
      <c r="C181" s="137"/>
      <c r="D181" s="137"/>
      <c r="E181" s="137"/>
      <c r="F181" s="137"/>
      <c r="G181" s="137"/>
      <c r="H181" s="137"/>
      <c r="I181" s="137"/>
      <c r="J181" s="137"/>
      <c r="K181" s="137">
        <v>60.73</v>
      </c>
      <c r="L181" s="137"/>
      <c r="M181" s="137"/>
      <c r="N181" s="137"/>
      <c r="O181" s="137"/>
      <c r="P181" s="137"/>
      <c r="Q181" s="137"/>
      <c r="R181" s="137"/>
      <c r="S181" s="137"/>
      <c r="T181" s="137"/>
      <c r="U181" s="137">
        <f t="shared" si="2"/>
        <v>0</v>
      </c>
    </row>
    <row r="182" spans="2:21" ht="14.5">
      <c r="B182" s="147" t="s">
        <v>312</v>
      </c>
      <c r="C182" s="137"/>
      <c r="D182" s="137"/>
      <c r="E182" s="137"/>
      <c r="F182" s="137"/>
      <c r="G182" s="137"/>
      <c r="H182" s="137"/>
      <c r="I182" s="137"/>
      <c r="J182" s="137"/>
      <c r="K182" s="137">
        <v>62.72</v>
      </c>
      <c r="L182" s="137"/>
      <c r="M182" s="137"/>
      <c r="N182" s="137"/>
      <c r="O182" s="137"/>
      <c r="P182" s="137"/>
      <c r="Q182" s="137"/>
      <c r="R182" s="137"/>
      <c r="S182" s="137"/>
      <c r="T182" s="137"/>
      <c r="U182" s="137">
        <f t="shared" si="2"/>
        <v>0</v>
      </c>
    </row>
    <row r="183" spans="2:21" ht="14.5">
      <c r="B183" s="147" t="s">
        <v>313</v>
      </c>
      <c r="C183" s="137"/>
      <c r="D183" s="137"/>
      <c r="E183" s="137"/>
      <c r="F183" s="137"/>
      <c r="G183" s="137"/>
      <c r="H183" s="137"/>
      <c r="I183" s="137"/>
      <c r="J183" s="137"/>
      <c r="K183" s="137">
        <v>39.25</v>
      </c>
      <c r="L183" s="137"/>
      <c r="M183" s="137"/>
      <c r="N183" s="137"/>
      <c r="O183" s="137"/>
      <c r="P183" s="137"/>
      <c r="Q183" s="137"/>
      <c r="R183" s="137"/>
      <c r="S183" s="137"/>
      <c r="T183" s="137"/>
      <c r="U183" s="137">
        <f t="shared" si="2"/>
        <v>0</v>
      </c>
    </row>
    <row r="184" spans="2:21" ht="14.5">
      <c r="B184" s="147" t="s">
        <v>314</v>
      </c>
      <c r="C184" s="137"/>
      <c r="D184" s="137"/>
      <c r="E184" s="137"/>
      <c r="F184" s="137"/>
      <c r="G184" s="137"/>
      <c r="H184" s="137"/>
      <c r="I184" s="137"/>
      <c r="J184" s="137"/>
      <c r="K184" s="137"/>
      <c r="L184" s="137">
        <v>32.01</v>
      </c>
      <c r="M184" s="137"/>
      <c r="N184" s="137"/>
      <c r="O184" s="137"/>
      <c r="P184" s="137"/>
      <c r="Q184" s="137"/>
      <c r="R184" s="137"/>
      <c r="S184" s="137"/>
      <c r="T184" s="137"/>
      <c r="U184" s="137">
        <f t="shared" si="2"/>
        <v>0</v>
      </c>
    </row>
    <row r="185" spans="2:21" ht="14.5">
      <c r="B185" s="147" t="s">
        <v>315</v>
      </c>
      <c r="C185" s="137"/>
      <c r="D185" s="137"/>
      <c r="E185" s="137"/>
      <c r="F185" s="137"/>
      <c r="G185" s="137"/>
      <c r="H185" s="137"/>
      <c r="I185" s="137"/>
      <c r="J185" s="137"/>
      <c r="K185" s="137"/>
      <c r="L185" s="137"/>
      <c r="M185" s="137">
        <v>12.02</v>
      </c>
      <c r="N185" s="137"/>
      <c r="O185" s="137"/>
      <c r="P185" s="137"/>
      <c r="Q185" s="137"/>
      <c r="R185" s="137"/>
      <c r="S185" s="137"/>
      <c r="T185" s="137"/>
      <c r="U185" s="137">
        <f t="shared" si="2"/>
        <v>0</v>
      </c>
    </row>
    <row r="186" spans="2:21" ht="14.5">
      <c r="B186" s="147" t="s">
        <v>316</v>
      </c>
      <c r="C186" s="137"/>
      <c r="D186" s="137"/>
      <c r="E186" s="137"/>
      <c r="F186" s="137"/>
      <c r="G186" s="137"/>
      <c r="H186" s="137"/>
      <c r="I186" s="137"/>
      <c r="J186" s="137"/>
      <c r="K186" s="137"/>
      <c r="L186" s="137"/>
      <c r="M186" s="137">
        <v>10</v>
      </c>
      <c r="N186" s="137"/>
      <c r="O186" s="137"/>
      <c r="P186" s="137">
        <v>10.29</v>
      </c>
      <c r="Q186" s="137"/>
      <c r="R186" s="137">
        <v>30.9</v>
      </c>
      <c r="S186" s="137">
        <v>49</v>
      </c>
      <c r="T186" s="137"/>
      <c r="U186" s="137">
        <f t="shared" si="2"/>
        <v>49</v>
      </c>
    </row>
    <row r="187" spans="2:21" ht="14.5">
      <c r="B187" s="147" t="s">
        <v>317</v>
      </c>
      <c r="C187" s="137"/>
      <c r="D187" s="137"/>
      <c r="E187" s="137"/>
      <c r="F187" s="137"/>
      <c r="G187" s="137"/>
      <c r="H187" s="137"/>
      <c r="I187" s="137"/>
      <c r="J187" s="137"/>
      <c r="K187" s="137"/>
      <c r="L187" s="137"/>
      <c r="M187" s="137">
        <v>82.36</v>
      </c>
      <c r="N187" s="137"/>
      <c r="O187" s="137"/>
      <c r="P187" s="137"/>
      <c r="Q187" s="137"/>
      <c r="R187" s="137"/>
      <c r="S187" s="137"/>
      <c r="T187" s="137"/>
      <c r="U187" s="137">
        <f t="shared" si="2"/>
        <v>0</v>
      </c>
    </row>
    <row r="188" spans="2:21" ht="14.5">
      <c r="B188" s="147" t="s">
        <v>318</v>
      </c>
      <c r="C188" s="137"/>
      <c r="D188" s="137"/>
      <c r="E188" s="137"/>
      <c r="F188" s="137"/>
      <c r="G188" s="137"/>
      <c r="H188" s="137"/>
      <c r="I188" s="137"/>
      <c r="J188" s="137"/>
      <c r="K188" s="137"/>
      <c r="L188" s="137"/>
      <c r="M188" s="137">
        <v>82.79</v>
      </c>
      <c r="N188" s="137"/>
      <c r="O188" s="137"/>
      <c r="P188" s="137"/>
      <c r="Q188" s="137"/>
      <c r="R188" s="137"/>
      <c r="S188" s="137"/>
      <c r="T188" s="137"/>
      <c r="U188" s="137">
        <f t="shared" si="2"/>
        <v>0</v>
      </c>
    </row>
    <row r="189" spans="2:21" ht="14.5">
      <c r="B189" s="147" t="s">
        <v>319</v>
      </c>
      <c r="C189" s="137"/>
      <c r="D189" s="137"/>
      <c r="E189" s="137"/>
      <c r="F189" s="137"/>
      <c r="G189" s="137"/>
      <c r="H189" s="137"/>
      <c r="I189" s="137"/>
      <c r="J189" s="137"/>
      <c r="K189" s="137"/>
      <c r="L189" s="137"/>
      <c r="M189" s="137">
        <v>92.41</v>
      </c>
      <c r="N189" s="137"/>
      <c r="O189" s="137"/>
      <c r="P189" s="137"/>
      <c r="Q189" s="137"/>
      <c r="R189" s="137"/>
      <c r="S189" s="137"/>
      <c r="T189" s="137"/>
      <c r="U189" s="137">
        <f t="shared" si="2"/>
        <v>0</v>
      </c>
    </row>
    <row r="190" spans="2:21" ht="14.5">
      <c r="B190" s="147" t="s">
        <v>320</v>
      </c>
      <c r="C190" s="137"/>
      <c r="D190" s="137"/>
      <c r="E190" s="137"/>
      <c r="F190" s="137"/>
      <c r="G190" s="137"/>
      <c r="H190" s="137"/>
      <c r="I190" s="137"/>
      <c r="J190" s="137"/>
      <c r="K190" s="137"/>
      <c r="L190" s="137"/>
      <c r="M190" s="137">
        <v>82.92</v>
      </c>
      <c r="N190" s="137"/>
      <c r="O190" s="137"/>
      <c r="P190" s="137"/>
      <c r="Q190" s="137"/>
      <c r="R190" s="137"/>
      <c r="S190" s="137"/>
      <c r="T190" s="137"/>
      <c r="U190" s="137">
        <f t="shared" si="2"/>
        <v>0</v>
      </c>
    </row>
    <row r="191" spans="2:21" ht="14.5">
      <c r="B191" s="147" t="s">
        <v>321</v>
      </c>
      <c r="C191" s="137"/>
      <c r="D191" s="137"/>
      <c r="E191" s="137"/>
      <c r="F191" s="137"/>
      <c r="G191" s="137"/>
      <c r="H191" s="137"/>
      <c r="I191" s="137"/>
      <c r="J191" s="137"/>
      <c r="K191" s="137"/>
      <c r="L191" s="137"/>
      <c r="M191" s="137"/>
      <c r="N191" s="137"/>
      <c r="O191" s="137">
        <v>392.29</v>
      </c>
      <c r="P191" s="137"/>
      <c r="Q191" s="137"/>
      <c r="R191" s="137"/>
      <c r="S191" s="137"/>
      <c r="T191" s="137"/>
      <c r="U191" s="137">
        <f t="shared" si="2"/>
        <v>0</v>
      </c>
    </row>
    <row r="192" spans="2:21" ht="14.5">
      <c r="B192" s="147" t="s">
        <v>322</v>
      </c>
      <c r="C192" s="137"/>
      <c r="D192" s="137"/>
      <c r="E192" s="137"/>
      <c r="F192" s="137"/>
      <c r="G192" s="137"/>
      <c r="H192" s="137"/>
      <c r="I192" s="137"/>
      <c r="J192" s="137"/>
      <c r="K192" s="137"/>
      <c r="L192" s="137"/>
      <c r="M192" s="137"/>
      <c r="N192" s="137"/>
      <c r="O192" s="137">
        <v>8.8699999999999992</v>
      </c>
      <c r="P192" s="137"/>
      <c r="Q192" s="137"/>
      <c r="R192" s="137"/>
      <c r="S192" s="137"/>
      <c r="T192" s="137"/>
      <c r="U192" s="137">
        <f t="shared" si="2"/>
        <v>0</v>
      </c>
    </row>
    <row r="193" spans="2:21" ht="14.5">
      <c r="B193" s="147" t="s">
        <v>323</v>
      </c>
      <c r="C193" s="137"/>
      <c r="D193" s="137"/>
      <c r="E193" s="137"/>
      <c r="F193" s="137"/>
      <c r="G193" s="137"/>
      <c r="H193" s="137"/>
      <c r="I193" s="137"/>
      <c r="J193" s="137"/>
      <c r="K193" s="137"/>
      <c r="L193" s="137"/>
      <c r="M193" s="137"/>
      <c r="N193" s="137"/>
      <c r="O193" s="137">
        <v>29</v>
      </c>
      <c r="P193" s="137"/>
      <c r="Q193" s="137"/>
      <c r="R193" s="137"/>
      <c r="S193" s="137"/>
      <c r="T193" s="137"/>
      <c r="U193" s="137">
        <f t="shared" si="2"/>
        <v>0</v>
      </c>
    </row>
    <row r="194" spans="2:21" ht="14.5">
      <c r="B194" s="147" t="s">
        <v>324</v>
      </c>
      <c r="C194" s="137"/>
      <c r="D194" s="137"/>
      <c r="E194" s="137"/>
      <c r="F194" s="137"/>
      <c r="G194" s="137"/>
      <c r="H194" s="137"/>
      <c r="I194" s="137"/>
      <c r="J194" s="137"/>
      <c r="K194" s="137"/>
      <c r="L194" s="137"/>
      <c r="M194" s="137"/>
      <c r="N194" s="137"/>
      <c r="O194" s="137"/>
      <c r="P194" s="137">
        <v>23.51</v>
      </c>
      <c r="Q194" s="137"/>
      <c r="R194" s="137"/>
      <c r="S194" s="137"/>
      <c r="T194" s="137"/>
      <c r="U194" s="137">
        <f t="shared" si="2"/>
        <v>0</v>
      </c>
    </row>
    <row r="195" spans="2:21" ht="14.5">
      <c r="B195" s="147" t="s">
        <v>325</v>
      </c>
      <c r="C195" s="137"/>
      <c r="D195" s="137"/>
      <c r="E195" s="137"/>
      <c r="F195" s="137"/>
      <c r="G195" s="137"/>
      <c r="H195" s="137"/>
      <c r="I195" s="137"/>
      <c r="J195" s="137"/>
      <c r="K195" s="137"/>
      <c r="L195" s="137"/>
      <c r="M195" s="137"/>
      <c r="N195" s="137"/>
      <c r="O195" s="137"/>
      <c r="P195" s="137">
        <v>231.9</v>
      </c>
      <c r="Q195" s="137"/>
      <c r="R195" s="137"/>
      <c r="S195" s="137"/>
      <c r="T195" s="137"/>
      <c r="U195" s="137">
        <f t="shared" si="2"/>
        <v>0</v>
      </c>
    </row>
    <row r="196" spans="2:21" ht="14.5">
      <c r="B196" s="147" t="s">
        <v>326</v>
      </c>
      <c r="C196" s="137"/>
      <c r="D196" s="137"/>
      <c r="E196" s="137"/>
      <c r="F196" s="137"/>
      <c r="G196" s="137"/>
      <c r="H196" s="137"/>
      <c r="I196" s="137"/>
      <c r="J196" s="137"/>
      <c r="K196" s="137"/>
      <c r="L196" s="137"/>
      <c r="M196" s="137"/>
      <c r="N196" s="137"/>
      <c r="O196" s="137"/>
      <c r="P196" s="137">
        <v>14.04</v>
      </c>
      <c r="Q196" s="137"/>
      <c r="R196" s="137"/>
      <c r="S196" s="137"/>
      <c r="T196" s="137"/>
      <c r="U196" s="137">
        <f t="shared" si="2"/>
        <v>0</v>
      </c>
    </row>
    <row r="197" spans="2:21" ht="14.5">
      <c r="B197" s="147" t="s">
        <v>327</v>
      </c>
      <c r="C197" s="137"/>
      <c r="D197" s="137"/>
      <c r="E197" s="137"/>
      <c r="F197" s="137"/>
      <c r="G197" s="137"/>
      <c r="H197" s="137"/>
      <c r="I197" s="137"/>
      <c r="J197" s="137"/>
      <c r="K197" s="137"/>
      <c r="L197" s="137"/>
      <c r="M197" s="137"/>
      <c r="N197" s="137"/>
      <c r="O197" s="137"/>
      <c r="P197" s="137">
        <v>65.95</v>
      </c>
      <c r="Q197" s="137"/>
      <c r="R197" s="137"/>
      <c r="S197" s="137"/>
      <c r="T197" s="137"/>
      <c r="U197" s="137">
        <f t="shared" si="2"/>
        <v>0</v>
      </c>
    </row>
    <row r="198" spans="2:21" ht="14.5">
      <c r="B198" s="147" t="s">
        <v>328</v>
      </c>
      <c r="C198" s="137"/>
      <c r="D198" s="137"/>
      <c r="E198" s="137"/>
      <c r="F198" s="137"/>
      <c r="G198" s="137"/>
      <c r="H198" s="137"/>
      <c r="I198" s="137"/>
      <c r="J198" s="137"/>
      <c r="K198" s="137"/>
      <c r="L198" s="137"/>
      <c r="M198" s="137"/>
      <c r="N198" s="137"/>
      <c r="O198" s="137"/>
      <c r="P198" s="137"/>
      <c r="Q198" s="137">
        <v>59.92</v>
      </c>
      <c r="R198" s="137"/>
      <c r="S198" s="137"/>
      <c r="T198" s="137"/>
      <c r="U198" s="137">
        <f t="shared" ref="U198:U261" si="3">S198-T198</f>
        <v>0</v>
      </c>
    </row>
    <row r="199" spans="2:21" ht="14.5">
      <c r="B199" s="147" t="s">
        <v>329</v>
      </c>
      <c r="C199" s="137"/>
      <c r="D199" s="137"/>
      <c r="E199" s="137"/>
      <c r="F199" s="137"/>
      <c r="G199" s="137"/>
      <c r="H199" s="137"/>
      <c r="I199" s="137"/>
      <c r="J199" s="137"/>
      <c r="K199" s="137"/>
      <c r="L199" s="137"/>
      <c r="M199" s="137"/>
      <c r="N199" s="137"/>
      <c r="O199" s="137"/>
      <c r="P199" s="137"/>
      <c r="Q199" s="137"/>
      <c r="R199" s="137">
        <v>286.16999999999996</v>
      </c>
      <c r="S199" s="137"/>
      <c r="T199" s="137"/>
      <c r="U199" s="137">
        <f t="shared" si="3"/>
        <v>0</v>
      </c>
    </row>
    <row r="200" spans="2:21" ht="14.5">
      <c r="B200" s="146" t="s">
        <v>115</v>
      </c>
      <c r="C200" s="137">
        <v>693.65</v>
      </c>
      <c r="D200" s="137">
        <v>198.15</v>
      </c>
      <c r="E200" s="137">
        <v>493.15000000000003</v>
      </c>
      <c r="F200" s="137">
        <v>493.15000000000003</v>
      </c>
      <c r="G200" s="137">
        <v>493.15000000000003</v>
      </c>
      <c r="H200" s="137">
        <v>520.81999999999994</v>
      </c>
      <c r="I200" s="137">
        <v>512.03</v>
      </c>
      <c r="J200" s="137">
        <v>611.18999999999994</v>
      </c>
      <c r="K200" s="137">
        <v>635.51</v>
      </c>
      <c r="L200" s="137">
        <v>1202.55</v>
      </c>
      <c r="M200" s="137">
        <v>262.16999999999996</v>
      </c>
      <c r="N200" s="137">
        <v>723.31999999999994</v>
      </c>
      <c r="O200" s="137">
        <v>962.65000000000009</v>
      </c>
      <c r="P200" s="137">
        <v>468.02000000000004</v>
      </c>
      <c r="Q200" s="137">
        <v>607.85</v>
      </c>
      <c r="R200" s="137">
        <v>523.31000000000006</v>
      </c>
      <c r="S200" s="137">
        <v>537.16000000000008</v>
      </c>
      <c r="T200" s="137">
        <v>528.31000000000006</v>
      </c>
      <c r="U200" s="137">
        <f t="shared" si="3"/>
        <v>8.8500000000000227</v>
      </c>
    </row>
    <row r="201" spans="2:21" ht="14.5">
      <c r="B201" s="147" t="s">
        <v>214</v>
      </c>
      <c r="C201" s="137">
        <v>693.65</v>
      </c>
      <c r="D201" s="137">
        <v>198.15</v>
      </c>
      <c r="E201" s="137">
        <v>493.15000000000003</v>
      </c>
      <c r="F201" s="137">
        <v>493.15000000000003</v>
      </c>
      <c r="G201" s="137">
        <v>493.15000000000003</v>
      </c>
      <c r="H201" s="137">
        <v>520.81999999999994</v>
      </c>
      <c r="I201" s="137">
        <v>512.03</v>
      </c>
      <c r="J201" s="137">
        <v>611.18999999999994</v>
      </c>
      <c r="K201" s="137">
        <v>635.51</v>
      </c>
      <c r="L201" s="137">
        <v>1202.55</v>
      </c>
      <c r="M201" s="137">
        <v>262.16999999999996</v>
      </c>
      <c r="N201" s="137">
        <v>723.31999999999994</v>
      </c>
      <c r="O201" s="137">
        <v>962.65000000000009</v>
      </c>
      <c r="P201" s="137">
        <v>468.02000000000004</v>
      </c>
      <c r="Q201" s="137">
        <v>607.85</v>
      </c>
      <c r="R201" s="137">
        <v>523.31000000000006</v>
      </c>
      <c r="S201" s="137">
        <v>537.16000000000008</v>
      </c>
      <c r="T201" s="137">
        <v>528.31000000000006</v>
      </c>
      <c r="U201" s="137">
        <f t="shared" si="3"/>
        <v>8.8500000000000227</v>
      </c>
    </row>
    <row r="202" spans="2:21" ht="14.5">
      <c r="B202" s="146" t="s">
        <v>120</v>
      </c>
      <c r="C202" s="137">
        <v>14.99</v>
      </c>
      <c r="D202" s="137">
        <v>16.41</v>
      </c>
      <c r="E202" s="137">
        <v>31.86</v>
      </c>
      <c r="F202" s="137">
        <v>14.99</v>
      </c>
      <c r="G202" s="137">
        <v>21.37</v>
      </c>
      <c r="H202" s="137">
        <v>14.99</v>
      </c>
      <c r="I202" s="137">
        <v>14.99</v>
      </c>
      <c r="J202" s="137">
        <v>14.99</v>
      </c>
      <c r="K202" s="137">
        <v>19.490000000000002</v>
      </c>
      <c r="L202" s="137">
        <v>14.99</v>
      </c>
      <c r="M202" s="137">
        <v>200.42000000000002</v>
      </c>
      <c r="N202" s="137">
        <v>14.99</v>
      </c>
      <c r="O202" s="137">
        <v>14.99</v>
      </c>
      <c r="P202" s="137">
        <v>14.99</v>
      </c>
      <c r="Q202" s="137">
        <v>14.99</v>
      </c>
      <c r="R202" s="137">
        <v>14.99</v>
      </c>
      <c r="S202" s="137"/>
      <c r="T202" s="137"/>
      <c r="U202" s="137">
        <f t="shared" si="3"/>
        <v>0</v>
      </c>
    </row>
    <row r="203" spans="2:21" ht="14.5">
      <c r="B203" s="147" t="s">
        <v>330</v>
      </c>
      <c r="C203" s="137">
        <v>14.99</v>
      </c>
      <c r="D203" s="137">
        <v>16.41</v>
      </c>
      <c r="E203" s="137">
        <v>31.86</v>
      </c>
      <c r="F203" s="137">
        <v>14.99</v>
      </c>
      <c r="G203" s="137">
        <v>21.37</v>
      </c>
      <c r="H203" s="137">
        <v>14.99</v>
      </c>
      <c r="I203" s="137">
        <v>14.99</v>
      </c>
      <c r="J203" s="137">
        <v>14.99</v>
      </c>
      <c r="K203" s="137">
        <v>19.490000000000002</v>
      </c>
      <c r="L203" s="137">
        <v>14.99</v>
      </c>
      <c r="M203" s="137">
        <v>14.99</v>
      </c>
      <c r="N203" s="137">
        <v>14.99</v>
      </c>
      <c r="O203" s="137">
        <v>14.99</v>
      </c>
      <c r="P203" s="137">
        <v>14.99</v>
      </c>
      <c r="Q203" s="137">
        <v>14.99</v>
      </c>
      <c r="R203" s="137">
        <v>14.99</v>
      </c>
      <c r="S203" s="137"/>
      <c r="T203" s="137"/>
      <c r="U203" s="137">
        <f t="shared" si="3"/>
        <v>0</v>
      </c>
    </row>
    <row r="204" spans="2:21" ht="14.5">
      <c r="B204" s="147" t="s">
        <v>331</v>
      </c>
      <c r="C204" s="137"/>
      <c r="D204" s="137"/>
      <c r="E204" s="137"/>
      <c r="F204" s="137"/>
      <c r="G204" s="137"/>
      <c r="H204" s="137"/>
      <c r="I204" s="137"/>
      <c r="J204" s="137"/>
      <c r="K204" s="137"/>
      <c r="L204" s="137"/>
      <c r="M204" s="137">
        <v>185.43</v>
      </c>
      <c r="N204" s="137"/>
      <c r="O204" s="137"/>
      <c r="P204" s="137"/>
      <c r="Q204" s="137"/>
      <c r="R204" s="137"/>
      <c r="S204" s="137"/>
      <c r="T204" s="137"/>
      <c r="U204" s="137">
        <f t="shared" si="3"/>
        <v>0</v>
      </c>
    </row>
    <row r="205" spans="2:21" ht="14.5">
      <c r="B205" s="146" t="s">
        <v>24</v>
      </c>
      <c r="C205" s="137">
        <v>225</v>
      </c>
      <c r="D205" s="137"/>
      <c r="E205" s="137"/>
      <c r="F205" s="137"/>
      <c r="G205" s="137"/>
      <c r="H205" s="137"/>
      <c r="I205" s="137"/>
      <c r="J205" s="137"/>
      <c r="K205" s="137"/>
      <c r="L205" s="137"/>
      <c r="M205" s="137"/>
      <c r="N205" s="137">
        <v>7865</v>
      </c>
      <c r="O205" s="137"/>
      <c r="P205" s="137"/>
      <c r="Q205" s="137">
        <v>516.63</v>
      </c>
      <c r="R205" s="137">
        <v>709</v>
      </c>
      <c r="S205" s="137"/>
      <c r="T205" s="137"/>
      <c r="U205" s="137">
        <f t="shared" si="3"/>
        <v>0</v>
      </c>
    </row>
    <row r="206" spans="2:21" ht="14.5">
      <c r="B206" s="147" t="s">
        <v>332</v>
      </c>
      <c r="C206" s="137"/>
      <c r="D206" s="137"/>
      <c r="E206" s="137"/>
      <c r="F206" s="137"/>
      <c r="G206" s="137"/>
      <c r="H206" s="137"/>
      <c r="I206" s="137"/>
      <c r="J206" s="137"/>
      <c r="K206" s="137"/>
      <c r="L206" s="137"/>
      <c r="M206" s="137"/>
      <c r="N206" s="137"/>
      <c r="O206" s="137"/>
      <c r="P206" s="137"/>
      <c r="Q206" s="137"/>
      <c r="R206" s="137">
        <v>709</v>
      </c>
      <c r="S206" s="137"/>
      <c r="T206" s="137"/>
      <c r="U206" s="137">
        <f t="shared" si="3"/>
        <v>0</v>
      </c>
    </row>
    <row r="207" spans="2:21" ht="14.5">
      <c r="B207" s="147" t="s">
        <v>333</v>
      </c>
      <c r="C207" s="137">
        <v>225</v>
      </c>
      <c r="D207" s="137"/>
      <c r="E207" s="137"/>
      <c r="F207" s="137"/>
      <c r="G207" s="137"/>
      <c r="H207" s="137"/>
      <c r="I207" s="137"/>
      <c r="J207" s="137"/>
      <c r="K207" s="137"/>
      <c r="L207" s="137"/>
      <c r="M207" s="137"/>
      <c r="N207" s="137">
        <v>7865</v>
      </c>
      <c r="O207" s="137"/>
      <c r="P207" s="137"/>
      <c r="Q207" s="137"/>
      <c r="R207" s="137"/>
      <c r="S207" s="137"/>
      <c r="T207" s="137"/>
      <c r="U207" s="137">
        <f t="shared" si="3"/>
        <v>0</v>
      </c>
    </row>
    <row r="208" spans="2:21" ht="14.5">
      <c r="B208" s="147" t="s">
        <v>334</v>
      </c>
      <c r="C208" s="137"/>
      <c r="D208" s="137"/>
      <c r="E208" s="137"/>
      <c r="F208" s="137"/>
      <c r="G208" s="137"/>
      <c r="H208" s="137"/>
      <c r="I208" s="137"/>
      <c r="J208" s="137"/>
      <c r="K208" s="137"/>
      <c r="L208" s="137"/>
      <c r="M208" s="137"/>
      <c r="N208" s="137"/>
      <c r="O208" s="137"/>
      <c r="P208" s="137"/>
      <c r="Q208" s="137">
        <v>516.63</v>
      </c>
      <c r="R208" s="137"/>
      <c r="S208" s="137"/>
      <c r="T208" s="137"/>
      <c r="U208" s="137">
        <f t="shared" si="3"/>
        <v>0</v>
      </c>
    </row>
    <row r="209" spans="2:21" ht="14.5">
      <c r="B209" s="146" t="s">
        <v>117</v>
      </c>
      <c r="C209" s="137">
        <v>53.2</v>
      </c>
      <c r="D209" s="137">
        <v>26</v>
      </c>
      <c r="E209" s="137"/>
      <c r="F209" s="137">
        <v>75</v>
      </c>
      <c r="G209" s="137"/>
      <c r="H209" s="137"/>
      <c r="I209" s="137"/>
      <c r="J209" s="137"/>
      <c r="K209" s="137">
        <v>25</v>
      </c>
      <c r="L209" s="137">
        <v>25</v>
      </c>
      <c r="M209" s="137">
        <v>25</v>
      </c>
      <c r="N209" s="137"/>
      <c r="O209" s="137">
        <v>25</v>
      </c>
      <c r="P209" s="137">
        <v>25</v>
      </c>
      <c r="Q209" s="137"/>
      <c r="R209" s="137">
        <v>25</v>
      </c>
      <c r="S209" s="137"/>
      <c r="T209" s="137"/>
      <c r="U209" s="137">
        <f t="shared" si="3"/>
        <v>0</v>
      </c>
    </row>
    <row r="210" spans="2:21" ht="14.5">
      <c r="B210" s="147" t="s">
        <v>335</v>
      </c>
      <c r="C210" s="137"/>
      <c r="D210" s="137">
        <v>26</v>
      </c>
      <c r="E210" s="137"/>
      <c r="F210" s="137">
        <v>75</v>
      </c>
      <c r="G210" s="137"/>
      <c r="H210" s="137"/>
      <c r="I210" s="137"/>
      <c r="J210" s="137"/>
      <c r="K210" s="137">
        <v>25</v>
      </c>
      <c r="L210" s="137">
        <v>25</v>
      </c>
      <c r="M210" s="137">
        <v>25</v>
      </c>
      <c r="N210" s="137"/>
      <c r="O210" s="137">
        <v>25</v>
      </c>
      <c r="P210" s="137">
        <v>25</v>
      </c>
      <c r="Q210" s="137"/>
      <c r="R210" s="137">
        <v>25</v>
      </c>
      <c r="S210" s="137"/>
      <c r="T210" s="137"/>
      <c r="U210" s="137">
        <f t="shared" si="3"/>
        <v>0</v>
      </c>
    </row>
    <row r="211" spans="2:21" ht="14.5">
      <c r="B211" s="147" t="s">
        <v>336</v>
      </c>
      <c r="C211" s="137">
        <v>40</v>
      </c>
      <c r="D211" s="137"/>
      <c r="E211" s="137"/>
      <c r="F211" s="137"/>
      <c r="G211" s="137"/>
      <c r="H211" s="137"/>
      <c r="I211" s="137"/>
      <c r="J211" s="137"/>
      <c r="K211" s="137"/>
      <c r="L211" s="137"/>
      <c r="M211" s="137"/>
      <c r="N211" s="137"/>
      <c r="O211" s="137"/>
      <c r="P211" s="137"/>
      <c r="Q211" s="137"/>
      <c r="R211" s="137"/>
      <c r="S211" s="137"/>
      <c r="T211" s="137"/>
      <c r="U211" s="137">
        <f t="shared" si="3"/>
        <v>0</v>
      </c>
    </row>
    <row r="212" spans="2:21" ht="14.5">
      <c r="B212" s="147" t="s">
        <v>337</v>
      </c>
      <c r="C212" s="137">
        <v>13.2</v>
      </c>
      <c r="D212" s="137"/>
      <c r="E212" s="137"/>
      <c r="F212" s="137"/>
      <c r="G212" s="137"/>
      <c r="H212" s="137"/>
      <c r="I212" s="137"/>
      <c r="J212" s="137"/>
      <c r="K212" s="137"/>
      <c r="L212" s="137"/>
      <c r="M212" s="137"/>
      <c r="N212" s="137"/>
      <c r="O212" s="137"/>
      <c r="P212" s="137"/>
      <c r="Q212" s="137"/>
      <c r="R212" s="137"/>
      <c r="S212" s="137"/>
      <c r="T212" s="137"/>
      <c r="U212" s="137">
        <f t="shared" si="3"/>
        <v>0</v>
      </c>
    </row>
    <row r="213" spans="2:21" ht="14.5">
      <c r="B213" s="146" t="s">
        <v>145</v>
      </c>
      <c r="C213" s="137">
        <v>100</v>
      </c>
      <c r="D213" s="137"/>
      <c r="E213" s="137">
        <v>1000</v>
      </c>
      <c r="F213" s="137">
        <v>447</v>
      </c>
      <c r="G213" s="137"/>
      <c r="H213" s="137">
        <v>7590.66</v>
      </c>
      <c r="I213" s="137">
        <v>4658.28</v>
      </c>
      <c r="J213" s="137">
        <v>7511.43</v>
      </c>
      <c r="K213" s="137">
        <v>15262</v>
      </c>
      <c r="L213" s="137">
        <v>7026.75</v>
      </c>
      <c r="M213" s="137">
        <v>7765.68</v>
      </c>
      <c r="N213" s="137">
        <v>9094.08</v>
      </c>
      <c r="O213" s="137">
        <v>7940.38</v>
      </c>
      <c r="P213" s="137">
        <v>4519.21</v>
      </c>
      <c r="Q213" s="137">
        <v>3975.8</v>
      </c>
      <c r="R213" s="137">
        <v>2326.25</v>
      </c>
      <c r="S213" s="137">
        <v>1025</v>
      </c>
      <c r="T213" s="137">
        <v>5000</v>
      </c>
      <c r="U213" s="137">
        <f t="shared" si="3"/>
        <v>-3975</v>
      </c>
    </row>
    <row r="214" spans="2:21" ht="14.5">
      <c r="B214" s="147" t="s">
        <v>338</v>
      </c>
      <c r="C214" s="137">
        <v>100</v>
      </c>
      <c r="D214" s="137"/>
      <c r="E214" s="137">
        <v>1000</v>
      </c>
      <c r="F214" s="137">
        <v>225</v>
      </c>
      <c r="G214" s="137"/>
      <c r="H214" s="137">
        <v>4000</v>
      </c>
      <c r="I214" s="137"/>
      <c r="J214" s="137"/>
      <c r="K214" s="137"/>
      <c r="L214" s="137"/>
      <c r="M214" s="137"/>
      <c r="N214" s="137"/>
      <c r="O214" s="137"/>
      <c r="P214" s="137"/>
      <c r="Q214" s="137">
        <v>100</v>
      </c>
      <c r="R214" s="137"/>
      <c r="S214" s="137">
        <v>1025</v>
      </c>
      <c r="T214" s="137"/>
      <c r="U214" s="137">
        <f t="shared" si="3"/>
        <v>1025</v>
      </c>
    </row>
    <row r="215" spans="2:21" ht="14.5">
      <c r="B215" s="147" t="s">
        <v>339</v>
      </c>
      <c r="C215" s="137"/>
      <c r="D215" s="137"/>
      <c r="E215" s="137"/>
      <c r="F215" s="137">
        <v>222</v>
      </c>
      <c r="G215" s="137"/>
      <c r="H215" s="137"/>
      <c r="I215" s="137"/>
      <c r="J215" s="137"/>
      <c r="K215" s="137"/>
      <c r="L215" s="137"/>
      <c r="M215" s="137"/>
      <c r="N215" s="137"/>
      <c r="O215" s="137"/>
      <c r="P215" s="137"/>
      <c r="Q215" s="137"/>
      <c r="R215" s="137"/>
      <c r="S215" s="137"/>
      <c r="T215" s="137"/>
      <c r="U215" s="137">
        <f t="shared" si="3"/>
        <v>0</v>
      </c>
    </row>
    <row r="216" spans="2:21" ht="14.5">
      <c r="B216" s="147" t="s">
        <v>340</v>
      </c>
      <c r="C216" s="137"/>
      <c r="D216" s="137"/>
      <c r="E216" s="137"/>
      <c r="F216" s="137"/>
      <c r="G216" s="137"/>
      <c r="H216" s="137">
        <v>3590.66</v>
      </c>
      <c r="I216" s="137">
        <v>3588.69</v>
      </c>
      <c r="J216" s="137">
        <v>7036.47</v>
      </c>
      <c r="K216" s="137">
        <v>7009.26</v>
      </c>
      <c r="L216" s="137">
        <v>7026.75</v>
      </c>
      <c r="M216" s="137">
        <v>7765.68</v>
      </c>
      <c r="N216" s="137">
        <v>8032.22</v>
      </c>
      <c r="O216" s="137">
        <v>7940.38</v>
      </c>
      <c r="P216" s="137">
        <v>4519.21</v>
      </c>
      <c r="Q216" s="137">
        <v>3875.8</v>
      </c>
      <c r="R216" s="137"/>
      <c r="S216" s="137"/>
      <c r="T216" s="137"/>
      <c r="U216" s="137">
        <f t="shared" si="3"/>
        <v>0</v>
      </c>
    </row>
    <row r="217" spans="2:21" ht="14.5">
      <c r="B217" s="147" t="s">
        <v>341</v>
      </c>
      <c r="C217" s="137"/>
      <c r="D217" s="137"/>
      <c r="E217" s="137"/>
      <c r="F217" s="137"/>
      <c r="G217" s="137"/>
      <c r="H217" s="137"/>
      <c r="I217" s="137">
        <v>1069.5899999999999</v>
      </c>
      <c r="J217" s="137">
        <v>474.96</v>
      </c>
      <c r="K217" s="137">
        <v>752.74</v>
      </c>
      <c r="L217" s="137"/>
      <c r="M217" s="137"/>
      <c r="N217" s="137">
        <v>1061.8599999999999</v>
      </c>
      <c r="O217" s="137"/>
      <c r="P217" s="137"/>
      <c r="Q217" s="137"/>
      <c r="R217" s="137"/>
      <c r="S217" s="137"/>
      <c r="T217" s="137"/>
      <c r="U217" s="137">
        <f t="shared" si="3"/>
        <v>0</v>
      </c>
    </row>
    <row r="218" spans="2:21" ht="14.5">
      <c r="B218" s="147" t="s">
        <v>342</v>
      </c>
      <c r="C218" s="137"/>
      <c r="D218" s="137"/>
      <c r="E218" s="137"/>
      <c r="F218" s="137"/>
      <c r="G218" s="137"/>
      <c r="H218" s="137"/>
      <c r="I218" s="137"/>
      <c r="J218" s="137"/>
      <c r="K218" s="137">
        <v>7500</v>
      </c>
      <c r="L218" s="137"/>
      <c r="M218" s="137"/>
      <c r="N218" s="137"/>
      <c r="O218" s="137"/>
      <c r="P218" s="137"/>
      <c r="Q218" s="137"/>
      <c r="R218" s="137"/>
      <c r="S218" s="137"/>
      <c r="T218" s="137"/>
      <c r="U218" s="137">
        <f t="shared" si="3"/>
        <v>0</v>
      </c>
    </row>
    <row r="219" spans="2:21" ht="14.5">
      <c r="B219" s="147" t="s">
        <v>343</v>
      </c>
      <c r="C219" s="137"/>
      <c r="D219" s="137"/>
      <c r="E219" s="137"/>
      <c r="F219" s="137"/>
      <c r="G219" s="137"/>
      <c r="H219" s="137"/>
      <c r="I219" s="137"/>
      <c r="J219" s="137"/>
      <c r="K219" s="137"/>
      <c r="L219" s="137"/>
      <c r="M219" s="137"/>
      <c r="N219" s="137"/>
      <c r="O219" s="137"/>
      <c r="P219" s="137"/>
      <c r="Q219" s="137"/>
      <c r="R219" s="137">
        <v>1575.25</v>
      </c>
      <c r="S219" s="137"/>
      <c r="T219" s="137"/>
      <c r="U219" s="137">
        <f t="shared" si="3"/>
        <v>0</v>
      </c>
    </row>
    <row r="220" spans="2:21" ht="14.5">
      <c r="B220" s="147" t="s">
        <v>344</v>
      </c>
      <c r="C220" s="137"/>
      <c r="D220" s="137"/>
      <c r="E220" s="137"/>
      <c r="F220" s="137"/>
      <c r="G220" s="137"/>
      <c r="H220" s="137"/>
      <c r="I220" s="137"/>
      <c r="J220" s="137"/>
      <c r="K220" s="137"/>
      <c r="L220" s="137"/>
      <c r="M220" s="137"/>
      <c r="N220" s="137"/>
      <c r="O220" s="137"/>
      <c r="P220" s="137"/>
      <c r="Q220" s="137"/>
      <c r="R220" s="137">
        <v>751</v>
      </c>
      <c r="S220" s="137"/>
      <c r="T220" s="137"/>
      <c r="U220" s="137">
        <f t="shared" si="3"/>
        <v>0</v>
      </c>
    </row>
    <row r="221" spans="2:21" ht="14.5">
      <c r="B221" s="147" t="s">
        <v>649</v>
      </c>
      <c r="C221" s="137"/>
      <c r="D221" s="137"/>
      <c r="E221" s="137"/>
      <c r="F221" s="137"/>
      <c r="G221" s="137"/>
      <c r="H221" s="137"/>
      <c r="I221" s="137"/>
      <c r="J221" s="137"/>
      <c r="K221" s="137"/>
      <c r="L221" s="137"/>
      <c r="M221" s="137"/>
      <c r="N221" s="137"/>
      <c r="O221" s="137"/>
      <c r="P221" s="137"/>
      <c r="Q221" s="137"/>
      <c r="R221" s="137"/>
      <c r="S221" s="137"/>
      <c r="T221" s="137">
        <v>5000</v>
      </c>
      <c r="U221" s="137">
        <f t="shared" si="3"/>
        <v>-5000</v>
      </c>
    </row>
    <row r="222" spans="2:21" ht="14.5">
      <c r="B222" s="146" t="s">
        <v>113</v>
      </c>
      <c r="C222" s="137"/>
      <c r="D222" s="137"/>
      <c r="E222" s="137"/>
      <c r="F222" s="137"/>
      <c r="G222" s="137">
        <v>8000</v>
      </c>
      <c r="H222" s="137"/>
      <c r="I222" s="137"/>
      <c r="J222" s="137"/>
      <c r="K222" s="137"/>
      <c r="L222" s="137"/>
      <c r="M222" s="137"/>
      <c r="N222" s="137"/>
      <c r="O222" s="137"/>
      <c r="P222" s="137"/>
      <c r="Q222" s="137"/>
      <c r="R222" s="137"/>
      <c r="S222" s="137"/>
      <c r="T222" s="137"/>
      <c r="U222" s="137">
        <f t="shared" si="3"/>
        <v>0</v>
      </c>
    </row>
    <row r="223" spans="2:21" ht="14.5">
      <c r="B223" s="147" t="s">
        <v>332</v>
      </c>
      <c r="C223" s="137"/>
      <c r="D223" s="137"/>
      <c r="E223" s="137"/>
      <c r="F223" s="137"/>
      <c r="G223" s="137">
        <v>8000</v>
      </c>
      <c r="H223" s="137"/>
      <c r="I223" s="137"/>
      <c r="J223" s="137"/>
      <c r="K223" s="137"/>
      <c r="L223" s="137"/>
      <c r="M223" s="137"/>
      <c r="N223" s="137"/>
      <c r="O223" s="137"/>
      <c r="P223" s="137"/>
      <c r="Q223" s="137"/>
      <c r="R223" s="137"/>
      <c r="S223" s="137"/>
      <c r="T223" s="137"/>
      <c r="U223" s="137">
        <f t="shared" si="3"/>
        <v>0</v>
      </c>
    </row>
    <row r="224" spans="2:21" ht="14.5">
      <c r="B224" s="146" t="s">
        <v>137</v>
      </c>
      <c r="C224" s="137"/>
      <c r="D224" s="137"/>
      <c r="E224" s="137"/>
      <c r="F224" s="137"/>
      <c r="G224" s="137"/>
      <c r="H224" s="137"/>
      <c r="I224" s="137">
        <v>1342.95</v>
      </c>
      <c r="J224" s="137">
        <v>2467.17</v>
      </c>
      <c r="K224" s="137">
        <v>335.46999999999997</v>
      </c>
      <c r="L224" s="137">
        <v>381.51000000000005</v>
      </c>
      <c r="M224" s="137">
        <v>60.13</v>
      </c>
      <c r="N224" s="137">
        <v>71.819999999999993</v>
      </c>
      <c r="O224" s="137">
        <v>774.55</v>
      </c>
      <c r="P224" s="137">
        <v>64.87</v>
      </c>
      <c r="Q224" s="137">
        <v>40.39</v>
      </c>
      <c r="R224" s="137"/>
      <c r="S224" s="137"/>
      <c r="T224" s="137"/>
      <c r="U224" s="137">
        <f t="shared" si="3"/>
        <v>0</v>
      </c>
    </row>
    <row r="225" spans="2:21" ht="14.5">
      <c r="B225" s="147" t="s">
        <v>244</v>
      </c>
      <c r="C225" s="137"/>
      <c r="D225" s="137"/>
      <c r="E225" s="137"/>
      <c r="F225" s="137"/>
      <c r="G225" s="137"/>
      <c r="H225" s="137"/>
      <c r="I225" s="137"/>
      <c r="J225" s="137"/>
      <c r="K225" s="137">
        <v>150.69</v>
      </c>
      <c r="L225" s="137"/>
      <c r="M225" s="137"/>
      <c r="N225" s="137"/>
      <c r="O225" s="137"/>
      <c r="P225" s="137"/>
      <c r="Q225" s="137"/>
      <c r="R225" s="137"/>
      <c r="S225" s="137"/>
      <c r="T225" s="137"/>
      <c r="U225" s="137">
        <f t="shared" si="3"/>
        <v>0</v>
      </c>
    </row>
    <row r="226" spans="2:21" ht="14.5">
      <c r="B226" s="147" t="s">
        <v>345</v>
      </c>
      <c r="C226" s="137"/>
      <c r="D226" s="137"/>
      <c r="E226" s="137"/>
      <c r="F226" s="137"/>
      <c r="G226" s="137"/>
      <c r="H226" s="137"/>
      <c r="I226" s="137">
        <v>1326.79</v>
      </c>
      <c r="J226" s="137"/>
      <c r="K226" s="137"/>
      <c r="L226" s="137"/>
      <c r="M226" s="137"/>
      <c r="N226" s="137"/>
      <c r="O226" s="137"/>
      <c r="P226" s="137"/>
      <c r="Q226" s="137"/>
      <c r="R226" s="137"/>
      <c r="S226" s="137"/>
      <c r="T226" s="137"/>
      <c r="U226" s="137">
        <f t="shared" si="3"/>
        <v>0</v>
      </c>
    </row>
    <row r="227" spans="2:21" ht="14.5">
      <c r="B227" s="147" t="s">
        <v>346</v>
      </c>
      <c r="C227" s="137"/>
      <c r="D227" s="137"/>
      <c r="E227" s="137"/>
      <c r="F227" s="137"/>
      <c r="G227" s="137"/>
      <c r="H227" s="137"/>
      <c r="I227" s="137">
        <v>16.16</v>
      </c>
      <c r="J227" s="137">
        <v>20.079999999999998</v>
      </c>
      <c r="K227" s="137"/>
      <c r="L227" s="137">
        <v>27.16</v>
      </c>
      <c r="M227" s="137"/>
      <c r="N227" s="137"/>
      <c r="O227" s="137"/>
      <c r="P227" s="137">
        <v>11.21</v>
      </c>
      <c r="Q227" s="137"/>
      <c r="R227" s="137"/>
      <c r="S227" s="137"/>
      <c r="T227" s="137"/>
      <c r="U227" s="137">
        <f t="shared" si="3"/>
        <v>0</v>
      </c>
    </row>
    <row r="228" spans="2:21" ht="14.5">
      <c r="B228" s="147" t="s">
        <v>261</v>
      </c>
      <c r="C228" s="137"/>
      <c r="D228" s="137"/>
      <c r="E228" s="137"/>
      <c r="F228" s="137"/>
      <c r="G228" s="137"/>
      <c r="H228" s="137"/>
      <c r="I228" s="137"/>
      <c r="J228" s="137">
        <v>20.09</v>
      </c>
      <c r="K228" s="137"/>
      <c r="L228" s="137">
        <v>354.35</v>
      </c>
      <c r="M228" s="137"/>
      <c r="N228" s="137"/>
      <c r="O228" s="137">
        <v>272.05</v>
      </c>
      <c r="P228" s="137">
        <v>53.66</v>
      </c>
      <c r="Q228" s="137"/>
      <c r="R228" s="137"/>
      <c r="S228" s="137"/>
      <c r="T228" s="137"/>
      <c r="U228" s="137">
        <f t="shared" si="3"/>
        <v>0</v>
      </c>
    </row>
    <row r="229" spans="2:21" ht="14.5">
      <c r="B229" s="147" t="s">
        <v>347</v>
      </c>
      <c r="C229" s="137"/>
      <c r="D229" s="137"/>
      <c r="E229" s="137"/>
      <c r="F229" s="137"/>
      <c r="G229" s="137"/>
      <c r="H229" s="137"/>
      <c r="I229" s="137"/>
      <c r="J229" s="137">
        <v>50</v>
      </c>
      <c r="K229" s="137"/>
      <c r="L229" s="137"/>
      <c r="M229" s="137"/>
      <c r="N229" s="137"/>
      <c r="O229" s="137"/>
      <c r="P229" s="137"/>
      <c r="Q229" s="137"/>
      <c r="R229" s="137"/>
      <c r="S229" s="137"/>
      <c r="T229" s="137"/>
      <c r="U229" s="137">
        <f t="shared" si="3"/>
        <v>0</v>
      </c>
    </row>
    <row r="230" spans="2:21" ht="14.5">
      <c r="B230" s="147" t="s">
        <v>348</v>
      </c>
      <c r="C230" s="137"/>
      <c r="D230" s="137"/>
      <c r="E230" s="137"/>
      <c r="F230" s="137"/>
      <c r="G230" s="137"/>
      <c r="H230" s="137"/>
      <c r="I230" s="137"/>
      <c r="J230" s="137">
        <v>2327</v>
      </c>
      <c r="K230" s="137"/>
      <c r="L230" s="137"/>
      <c r="M230" s="137"/>
      <c r="N230" s="137"/>
      <c r="O230" s="137"/>
      <c r="P230" s="137"/>
      <c r="Q230" s="137"/>
      <c r="R230" s="137"/>
      <c r="S230" s="137"/>
      <c r="T230" s="137"/>
      <c r="U230" s="137">
        <f t="shared" si="3"/>
        <v>0</v>
      </c>
    </row>
    <row r="231" spans="2:21" ht="14.5">
      <c r="B231" s="147" t="s">
        <v>349</v>
      </c>
      <c r="C231" s="137"/>
      <c r="D231" s="137"/>
      <c r="E231" s="137"/>
      <c r="F231" s="137"/>
      <c r="G231" s="137"/>
      <c r="H231" s="137"/>
      <c r="I231" s="137"/>
      <c r="J231" s="137">
        <v>50</v>
      </c>
      <c r="K231" s="137"/>
      <c r="L231" s="137"/>
      <c r="M231" s="137"/>
      <c r="N231" s="137"/>
      <c r="O231" s="137"/>
      <c r="P231" s="137"/>
      <c r="Q231" s="137"/>
      <c r="R231" s="137"/>
      <c r="S231" s="137"/>
      <c r="T231" s="137"/>
      <c r="U231" s="137">
        <f t="shared" si="3"/>
        <v>0</v>
      </c>
    </row>
    <row r="232" spans="2:21" ht="14.5">
      <c r="B232" s="147" t="s">
        <v>350</v>
      </c>
      <c r="C232" s="137"/>
      <c r="D232" s="137"/>
      <c r="E232" s="137"/>
      <c r="F232" s="137"/>
      <c r="G232" s="137"/>
      <c r="H232" s="137"/>
      <c r="I232" s="137"/>
      <c r="J232" s="137"/>
      <c r="K232" s="137">
        <v>89.76</v>
      </c>
      <c r="L232" s="137"/>
      <c r="M232" s="137">
        <v>60.13</v>
      </c>
      <c r="N232" s="137">
        <v>71.819999999999993</v>
      </c>
      <c r="O232" s="137"/>
      <c r="P232" s="137"/>
      <c r="Q232" s="137"/>
      <c r="R232" s="137"/>
      <c r="S232" s="137"/>
      <c r="T232" s="137"/>
      <c r="U232" s="137">
        <f t="shared" si="3"/>
        <v>0</v>
      </c>
    </row>
    <row r="233" spans="2:21" ht="14.5">
      <c r="B233" s="147" t="s">
        <v>351</v>
      </c>
      <c r="C233" s="137"/>
      <c r="D233" s="137"/>
      <c r="E233" s="137"/>
      <c r="F233" s="137"/>
      <c r="G233" s="137"/>
      <c r="H233" s="137"/>
      <c r="I233" s="137"/>
      <c r="J233" s="137"/>
      <c r="K233" s="137"/>
      <c r="L233" s="137"/>
      <c r="M233" s="137">
        <v>0</v>
      </c>
      <c r="N233" s="137"/>
      <c r="O233" s="137"/>
      <c r="P233" s="137"/>
      <c r="Q233" s="137"/>
      <c r="R233" s="137"/>
      <c r="S233" s="137"/>
      <c r="T233" s="137"/>
      <c r="U233" s="137">
        <f t="shared" si="3"/>
        <v>0</v>
      </c>
    </row>
    <row r="234" spans="2:21" ht="14.5">
      <c r="B234" s="147" t="s">
        <v>296</v>
      </c>
      <c r="C234" s="137"/>
      <c r="D234" s="137"/>
      <c r="E234" s="137"/>
      <c r="F234" s="137"/>
      <c r="G234" s="137"/>
      <c r="H234" s="137"/>
      <c r="I234" s="137"/>
      <c r="J234" s="137"/>
      <c r="K234" s="137">
        <v>95.02</v>
      </c>
      <c r="L234" s="137"/>
      <c r="M234" s="137"/>
      <c r="N234" s="137"/>
      <c r="O234" s="137"/>
      <c r="P234" s="137"/>
      <c r="Q234" s="137">
        <v>40.39</v>
      </c>
      <c r="R234" s="137"/>
      <c r="S234" s="137"/>
      <c r="T234" s="137"/>
      <c r="U234" s="137">
        <f t="shared" si="3"/>
        <v>0</v>
      </c>
    </row>
    <row r="235" spans="2:21" ht="14.5">
      <c r="B235" s="147" t="s">
        <v>352</v>
      </c>
      <c r="C235" s="137"/>
      <c r="D235" s="137"/>
      <c r="E235" s="137"/>
      <c r="F235" s="137"/>
      <c r="G235" s="137"/>
      <c r="H235" s="137"/>
      <c r="I235" s="137"/>
      <c r="J235" s="137"/>
      <c r="K235" s="137"/>
      <c r="L235" s="137"/>
      <c r="M235" s="137"/>
      <c r="N235" s="137"/>
      <c r="O235" s="137">
        <v>2.5</v>
      </c>
      <c r="P235" s="137"/>
      <c r="Q235" s="137"/>
      <c r="R235" s="137"/>
      <c r="S235" s="137"/>
      <c r="T235" s="137"/>
      <c r="U235" s="137">
        <f t="shared" si="3"/>
        <v>0</v>
      </c>
    </row>
    <row r="236" spans="2:21" ht="14.5">
      <c r="B236" s="147" t="s">
        <v>353</v>
      </c>
      <c r="C236" s="137"/>
      <c r="D236" s="137"/>
      <c r="E236" s="137"/>
      <c r="F236" s="137"/>
      <c r="G236" s="137"/>
      <c r="H236" s="137"/>
      <c r="I236" s="137"/>
      <c r="J236" s="137"/>
      <c r="K236" s="137"/>
      <c r="L236" s="137"/>
      <c r="M236" s="137"/>
      <c r="N236" s="137"/>
      <c r="O236" s="137">
        <v>500</v>
      </c>
      <c r="P236" s="137"/>
      <c r="Q236" s="137"/>
      <c r="R236" s="137"/>
      <c r="S236" s="137"/>
      <c r="T236" s="137"/>
      <c r="U236" s="137">
        <f t="shared" si="3"/>
        <v>0</v>
      </c>
    </row>
    <row r="237" spans="2:21" ht="14.5">
      <c r="B237" s="146" t="s">
        <v>116</v>
      </c>
      <c r="C237" s="137"/>
      <c r="D237" s="137"/>
      <c r="E237" s="137">
        <v>118.03999999999999</v>
      </c>
      <c r="F237" s="137"/>
      <c r="G237" s="137"/>
      <c r="H237" s="137"/>
      <c r="I237" s="137"/>
      <c r="J237" s="137">
        <v>149.19</v>
      </c>
      <c r="K237" s="137">
        <v>49.99</v>
      </c>
      <c r="L237" s="137">
        <v>79.13</v>
      </c>
      <c r="M237" s="137"/>
      <c r="N237" s="137">
        <v>29.79</v>
      </c>
      <c r="O237" s="137"/>
      <c r="P237" s="137"/>
      <c r="Q237" s="137"/>
      <c r="R237" s="137"/>
      <c r="S237" s="137"/>
      <c r="T237" s="137"/>
      <c r="U237" s="137">
        <f t="shared" si="3"/>
        <v>0</v>
      </c>
    </row>
    <row r="238" spans="2:21" ht="14.5">
      <c r="B238" s="147" t="s">
        <v>354</v>
      </c>
      <c r="C238" s="137"/>
      <c r="D238" s="137"/>
      <c r="E238" s="137">
        <v>118.03999999999999</v>
      </c>
      <c r="F238" s="137"/>
      <c r="G238" s="137"/>
      <c r="H238" s="137"/>
      <c r="I238" s="137"/>
      <c r="J238" s="137"/>
      <c r="K238" s="137"/>
      <c r="L238" s="137"/>
      <c r="M238" s="137"/>
      <c r="N238" s="137"/>
      <c r="O238" s="137"/>
      <c r="P238" s="137"/>
      <c r="Q238" s="137"/>
      <c r="R238" s="137"/>
      <c r="S238" s="137"/>
      <c r="T238" s="137"/>
      <c r="U238" s="137">
        <f t="shared" si="3"/>
        <v>0</v>
      </c>
    </row>
    <row r="239" spans="2:21" ht="14.5">
      <c r="B239" s="147" t="s">
        <v>224</v>
      </c>
      <c r="C239" s="137"/>
      <c r="D239" s="137"/>
      <c r="E239" s="137"/>
      <c r="F239" s="137"/>
      <c r="G239" s="137"/>
      <c r="H239" s="137"/>
      <c r="I239" s="137"/>
      <c r="J239" s="137">
        <v>53.88</v>
      </c>
      <c r="K239" s="137">
        <v>49.99</v>
      </c>
      <c r="L239" s="137"/>
      <c r="M239" s="137"/>
      <c r="N239" s="137"/>
      <c r="O239" s="137"/>
      <c r="P239" s="137"/>
      <c r="Q239" s="137"/>
      <c r="R239" s="137"/>
      <c r="S239" s="137"/>
      <c r="T239" s="137"/>
      <c r="U239" s="137">
        <f t="shared" si="3"/>
        <v>0</v>
      </c>
    </row>
    <row r="240" spans="2:21" ht="14.5">
      <c r="B240" s="147" t="s">
        <v>355</v>
      </c>
      <c r="C240" s="137"/>
      <c r="D240" s="137"/>
      <c r="E240" s="137"/>
      <c r="F240" s="137"/>
      <c r="G240" s="137"/>
      <c r="H240" s="137"/>
      <c r="I240" s="137"/>
      <c r="J240" s="137">
        <v>86.360000000000014</v>
      </c>
      <c r="K240" s="137"/>
      <c r="L240" s="137">
        <v>33.979999999999997</v>
      </c>
      <c r="M240" s="137"/>
      <c r="N240" s="137">
        <v>29.79</v>
      </c>
      <c r="O240" s="137"/>
      <c r="P240" s="137"/>
      <c r="Q240" s="137"/>
      <c r="R240" s="137"/>
      <c r="S240" s="137"/>
      <c r="T240" s="137"/>
      <c r="U240" s="137">
        <f t="shared" si="3"/>
        <v>0</v>
      </c>
    </row>
    <row r="241" spans="2:21" ht="14.5">
      <c r="B241" s="147" t="s">
        <v>356</v>
      </c>
      <c r="C241" s="137"/>
      <c r="D241" s="137"/>
      <c r="E241" s="137"/>
      <c r="F241" s="137"/>
      <c r="G241" s="137"/>
      <c r="H241" s="137"/>
      <c r="I241" s="137"/>
      <c r="J241" s="137">
        <v>8.9499999999999993</v>
      </c>
      <c r="K241" s="137"/>
      <c r="L241" s="137"/>
      <c r="M241" s="137"/>
      <c r="N241" s="137"/>
      <c r="O241" s="137"/>
      <c r="P241" s="137"/>
      <c r="Q241" s="137"/>
      <c r="R241" s="137"/>
      <c r="S241" s="137"/>
      <c r="T241" s="137"/>
      <c r="U241" s="137">
        <f t="shared" si="3"/>
        <v>0</v>
      </c>
    </row>
    <row r="242" spans="2:21" ht="14.5">
      <c r="B242" s="147" t="s">
        <v>357</v>
      </c>
      <c r="C242" s="137"/>
      <c r="D242" s="137"/>
      <c r="E242" s="137"/>
      <c r="F242" s="137"/>
      <c r="G242" s="137"/>
      <c r="H242" s="137"/>
      <c r="I242" s="137"/>
      <c r="J242" s="137"/>
      <c r="K242" s="137"/>
      <c r="L242" s="137">
        <v>45.15</v>
      </c>
      <c r="M242" s="137"/>
      <c r="N242" s="137"/>
      <c r="O242" s="137"/>
      <c r="P242" s="137"/>
      <c r="Q242" s="137"/>
      <c r="R242" s="137"/>
      <c r="S242" s="137"/>
      <c r="T242" s="137"/>
      <c r="U242" s="137">
        <f t="shared" si="3"/>
        <v>0</v>
      </c>
    </row>
    <row r="243" spans="2:21" ht="14.5">
      <c r="B243" s="146" t="s">
        <v>358</v>
      </c>
      <c r="C243" s="137"/>
      <c r="D243" s="137"/>
      <c r="E243" s="137"/>
      <c r="F243" s="137"/>
      <c r="G243" s="137">
        <v>1896.58</v>
      </c>
      <c r="H243" s="137">
        <v>3150</v>
      </c>
      <c r="I243" s="137">
        <v>2034</v>
      </c>
      <c r="J243" s="137"/>
      <c r="K243" s="137">
        <v>7000</v>
      </c>
      <c r="L243" s="137">
        <v>2709</v>
      </c>
      <c r="M243" s="137">
        <v>2500</v>
      </c>
      <c r="N243" s="137">
        <v>5000</v>
      </c>
      <c r="O243" s="137"/>
      <c r="P243" s="137">
        <v>5750</v>
      </c>
      <c r="Q243" s="137">
        <v>2500</v>
      </c>
      <c r="R243" s="137">
        <v>2500</v>
      </c>
      <c r="S243" s="137">
        <v>1877</v>
      </c>
      <c r="T243" s="137">
        <v>2950</v>
      </c>
      <c r="U243" s="137">
        <f t="shared" si="3"/>
        <v>-1073</v>
      </c>
    </row>
    <row r="244" spans="2:21" ht="14.5">
      <c r="B244" s="147" t="s">
        <v>359</v>
      </c>
      <c r="C244" s="137"/>
      <c r="D244" s="137"/>
      <c r="E244" s="137"/>
      <c r="F244" s="137"/>
      <c r="G244" s="137"/>
      <c r="H244" s="137"/>
      <c r="I244" s="137">
        <v>209</v>
      </c>
      <c r="J244" s="137"/>
      <c r="K244" s="137"/>
      <c r="L244" s="137">
        <v>209</v>
      </c>
      <c r="M244" s="137"/>
      <c r="N244" s="137"/>
      <c r="O244" s="137"/>
      <c r="P244" s="137"/>
      <c r="Q244" s="137"/>
      <c r="R244" s="137"/>
      <c r="S244" s="137"/>
      <c r="T244" s="137"/>
      <c r="U244" s="137">
        <f t="shared" si="3"/>
        <v>0</v>
      </c>
    </row>
    <row r="245" spans="2:21" ht="14.5">
      <c r="B245" s="147" t="s">
        <v>360</v>
      </c>
      <c r="C245" s="137"/>
      <c r="D245" s="137"/>
      <c r="E245" s="137"/>
      <c r="F245" s="137"/>
      <c r="G245" s="137">
        <v>1896.58</v>
      </c>
      <c r="H245" s="137">
        <v>1150</v>
      </c>
      <c r="I245" s="137">
        <v>1825</v>
      </c>
      <c r="J245" s="137"/>
      <c r="K245" s="137">
        <v>5000</v>
      </c>
      <c r="L245" s="137">
        <v>2500</v>
      </c>
      <c r="M245" s="137">
        <v>2500</v>
      </c>
      <c r="N245" s="137">
        <v>5000</v>
      </c>
      <c r="O245" s="137"/>
      <c r="P245" s="137">
        <v>2500</v>
      </c>
      <c r="Q245" s="137">
        <v>2500</v>
      </c>
      <c r="R245" s="137">
        <v>2500</v>
      </c>
      <c r="S245" s="137">
        <v>1877</v>
      </c>
      <c r="T245" s="137">
        <v>2150</v>
      </c>
      <c r="U245" s="137">
        <f t="shared" si="3"/>
        <v>-273</v>
      </c>
    </row>
    <row r="246" spans="2:21" ht="14.5">
      <c r="B246" s="147" t="s">
        <v>361</v>
      </c>
      <c r="C246" s="137"/>
      <c r="D246" s="137"/>
      <c r="E246" s="137"/>
      <c r="F246" s="137"/>
      <c r="G246" s="137"/>
      <c r="H246" s="137">
        <v>2000</v>
      </c>
      <c r="I246" s="137"/>
      <c r="J246" s="137"/>
      <c r="K246" s="137">
        <v>2000</v>
      </c>
      <c r="L246" s="137"/>
      <c r="M246" s="137"/>
      <c r="N246" s="137"/>
      <c r="O246" s="137"/>
      <c r="P246" s="137">
        <v>3250</v>
      </c>
      <c r="Q246" s="137"/>
      <c r="R246" s="137"/>
      <c r="S246" s="137"/>
      <c r="T246" s="137"/>
      <c r="U246" s="137">
        <f t="shared" si="3"/>
        <v>0</v>
      </c>
    </row>
    <row r="247" spans="2:21" ht="14.5">
      <c r="B247" s="147" t="s">
        <v>650</v>
      </c>
      <c r="C247" s="137"/>
      <c r="D247" s="137"/>
      <c r="E247" s="137"/>
      <c r="F247" s="137"/>
      <c r="G247" s="137"/>
      <c r="H247" s="137"/>
      <c r="I247" s="137"/>
      <c r="J247" s="137"/>
      <c r="K247" s="137"/>
      <c r="L247" s="137"/>
      <c r="M247" s="137"/>
      <c r="N247" s="137"/>
      <c r="O247" s="137"/>
      <c r="P247" s="137"/>
      <c r="Q247" s="137"/>
      <c r="R247" s="137"/>
      <c r="S247" s="137"/>
      <c r="T247" s="137">
        <v>800</v>
      </c>
      <c r="U247" s="137">
        <f t="shared" si="3"/>
        <v>-800</v>
      </c>
    </row>
    <row r="248" spans="2:21" ht="14.5">
      <c r="B248" s="144" t="s">
        <v>362</v>
      </c>
      <c r="C248" s="137">
        <v>259.52</v>
      </c>
      <c r="D248" s="137">
        <v>10692.210000000001</v>
      </c>
      <c r="E248" s="137">
        <v>14123.759999999998</v>
      </c>
      <c r="F248" s="137">
        <v>4551.74</v>
      </c>
      <c r="G248" s="137">
        <v>3058.87</v>
      </c>
      <c r="H248" s="137">
        <v>2875.44</v>
      </c>
      <c r="I248" s="137">
        <v>4435.6899999999996</v>
      </c>
      <c r="J248" s="137">
        <v>3722.1000000000004</v>
      </c>
      <c r="K248" s="137">
        <v>5629.4</v>
      </c>
      <c r="L248" s="137">
        <v>4667.2700000000004</v>
      </c>
      <c r="M248" s="137">
        <v>16837.36</v>
      </c>
      <c r="N248" s="137">
        <v>1669.22</v>
      </c>
      <c r="O248" s="137">
        <v>2732.88</v>
      </c>
      <c r="P248" s="137">
        <v>3524.3100000000004</v>
      </c>
      <c r="Q248" s="137">
        <v>7830.65</v>
      </c>
      <c r="R248" s="137">
        <v>1540.4099999999999</v>
      </c>
      <c r="S248" s="137">
        <v>1028.97</v>
      </c>
      <c r="T248" s="137">
        <v>1107.97</v>
      </c>
      <c r="U248" s="145">
        <f t="shared" si="3"/>
        <v>-79</v>
      </c>
    </row>
    <row r="249" spans="2:21" ht="14.5">
      <c r="B249" s="146" t="s">
        <v>96</v>
      </c>
      <c r="C249" s="137">
        <v>153.99</v>
      </c>
      <c r="D249" s="137">
        <v>10586.68</v>
      </c>
      <c r="E249" s="137">
        <v>6003.0899999999992</v>
      </c>
      <c r="F249" s="137">
        <v>3392.69</v>
      </c>
      <c r="G249" s="137">
        <v>1899.82</v>
      </c>
      <c r="H249" s="137">
        <v>1716.39</v>
      </c>
      <c r="I249" s="137">
        <v>117.02</v>
      </c>
      <c r="J249" s="137">
        <v>2563.0500000000002</v>
      </c>
      <c r="K249" s="137">
        <v>3281.54</v>
      </c>
      <c r="L249" s="137">
        <v>2676.22</v>
      </c>
      <c r="M249" s="137">
        <v>15588.8</v>
      </c>
      <c r="N249" s="137">
        <v>435.17</v>
      </c>
      <c r="O249" s="137">
        <v>1498.83</v>
      </c>
      <c r="P249" s="137">
        <v>2463.7800000000002</v>
      </c>
      <c r="Q249" s="137">
        <v>6770.12</v>
      </c>
      <c r="R249" s="137">
        <v>479.88</v>
      </c>
      <c r="S249" s="137">
        <v>-54.010000000000005</v>
      </c>
      <c r="T249" s="137">
        <v>24.99</v>
      </c>
      <c r="U249" s="137">
        <f t="shared" si="3"/>
        <v>-79</v>
      </c>
    </row>
    <row r="250" spans="2:21" ht="14.5">
      <c r="B250" s="147" t="s">
        <v>332</v>
      </c>
      <c r="C250" s="137"/>
      <c r="D250" s="137"/>
      <c r="E250" s="137"/>
      <c r="F250" s="137"/>
      <c r="G250" s="137"/>
      <c r="H250" s="137"/>
      <c r="I250" s="137"/>
      <c r="J250" s="137"/>
      <c r="K250" s="137"/>
      <c r="L250" s="137">
        <v>60</v>
      </c>
      <c r="M250" s="137"/>
      <c r="N250" s="137"/>
      <c r="O250" s="137"/>
      <c r="P250" s="137"/>
      <c r="Q250" s="137"/>
      <c r="R250" s="137"/>
      <c r="S250" s="137"/>
      <c r="T250" s="137"/>
      <c r="U250" s="137">
        <f t="shared" si="3"/>
        <v>0</v>
      </c>
    </row>
    <row r="251" spans="2:21" ht="14.5">
      <c r="B251" s="147" t="s">
        <v>363</v>
      </c>
      <c r="C251" s="137"/>
      <c r="D251" s="137"/>
      <c r="E251" s="137"/>
      <c r="F251" s="137"/>
      <c r="G251" s="137"/>
      <c r="H251" s="137"/>
      <c r="I251" s="137"/>
      <c r="J251" s="137"/>
      <c r="K251" s="137"/>
      <c r="L251" s="137"/>
      <c r="M251" s="137">
        <v>296.45999999999998</v>
      </c>
      <c r="N251" s="137"/>
      <c r="O251" s="137"/>
      <c r="P251" s="137"/>
      <c r="Q251" s="137"/>
      <c r="R251" s="137"/>
      <c r="S251" s="137"/>
      <c r="T251" s="137"/>
      <c r="U251" s="137">
        <f t="shared" si="3"/>
        <v>0</v>
      </c>
    </row>
    <row r="252" spans="2:21" ht="14.5">
      <c r="B252" s="147" t="s">
        <v>364</v>
      </c>
      <c r="C252" s="137"/>
      <c r="D252" s="137"/>
      <c r="E252" s="137">
        <v>1113.21</v>
      </c>
      <c r="F252" s="137"/>
      <c r="G252" s="137">
        <v>361.11</v>
      </c>
      <c r="H252" s="137"/>
      <c r="I252" s="137"/>
      <c r="J252" s="137"/>
      <c r="K252" s="137"/>
      <c r="L252" s="137"/>
      <c r="M252" s="137"/>
      <c r="N252" s="137"/>
      <c r="O252" s="137"/>
      <c r="P252" s="137"/>
      <c r="Q252" s="137"/>
      <c r="R252" s="137"/>
      <c r="S252" s="137"/>
      <c r="T252" s="137"/>
      <c r="U252" s="137">
        <f t="shared" si="3"/>
        <v>0</v>
      </c>
    </row>
    <row r="253" spans="2:21" ht="14.5">
      <c r="B253" s="147" t="s">
        <v>365</v>
      </c>
      <c r="C253" s="137"/>
      <c r="D253" s="137"/>
      <c r="E253" s="137"/>
      <c r="F253" s="137"/>
      <c r="G253" s="137"/>
      <c r="H253" s="137"/>
      <c r="I253" s="137"/>
      <c r="J253" s="137"/>
      <c r="K253" s="137"/>
      <c r="L253" s="137">
        <v>30.99</v>
      </c>
      <c r="M253" s="137">
        <v>62</v>
      </c>
      <c r="N253" s="137">
        <v>52</v>
      </c>
      <c r="O253" s="137">
        <v>30</v>
      </c>
      <c r="P253" s="137"/>
      <c r="Q253" s="137"/>
      <c r="R253" s="137"/>
      <c r="S253" s="137"/>
      <c r="T253" s="137"/>
      <c r="U253" s="137">
        <f t="shared" si="3"/>
        <v>0</v>
      </c>
    </row>
    <row r="254" spans="2:21" ht="14.5">
      <c r="B254" s="147" t="s">
        <v>366</v>
      </c>
      <c r="C254" s="137">
        <v>24.99</v>
      </c>
      <c r="D254" s="137">
        <v>24.99</v>
      </c>
      <c r="E254" s="137">
        <v>24.99</v>
      </c>
      <c r="F254" s="137">
        <v>24.99</v>
      </c>
      <c r="G254" s="137">
        <v>24.99</v>
      </c>
      <c r="H254" s="137">
        <v>24.99</v>
      </c>
      <c r="I254" s="137">
        <v>24.99</v>
      </c>
      <c r="J254" s="137">
        <v>24.99</v>
      </c>
      <c r="K254" s="137">
        <v>24.99</v>
      </c>
      <c r="L254" s="137">
        <v>24.99</v>
      </c>
      <c r="M254" s="137">
        <v>24.99</v>
      </c>
      <c r="N254" s="137">
        <v>24.99</v>
      </c>
      <c r="O254" s="137">
        <v>24.99</v>
      </c>
      <c r="P254" s="137">
        <v>24.99</v>
      </c>
      <c r="Q254" s="137">
        <v>24.99</v>
      </c>
      <c r="R254" s="137">
        <v>24.99</v>
      </c>
      <c r="S254" s="137">
        <v>24.99</v>
      </c>
      <c r="T254" s="137">
        <v>24.99</v>
      </c>
      <c r="U254" s="137">
        <f t="shared" si="3"/>
        <v>0</v>
      </c>
    </row>
    <row r="255" spans="2:21" ht="14.5">
      <c r="B255" s="147" t="s">
        <v>367</v>
      </c>
      <c r="C255" s="137"/>
      <c r="D255" s="137"/>
      <c r="E255" s="137"/>
      <c r="F255" s="137"/>
      <c r="G255" s="137"/>
      <c r="H255" s="137"/>
      <c r="I255" s="137"/>
      <c r="J255" s="137"/>
      <c r="K255" s="137"/>
      <c r="L255" s="137">
        <v>21.86</v>
      </c>
      <c r="M255" s="137">
        <v>116.71000000000001</v>
      </c>
      <c r="N255" s="137">
        <v>216.10000000000002</v>
      </c>
      <c r="O255" s="137">
        <v>155.97999999999999</v>
      </c>
      <c r="P255" s="137">
        <v>9.57</v>
      </c>
      <c r="Q255" s="137">
        <v>86.95</v>
      </c>
      <c r="R255" s="137"/>
      <c r="S255" s="137"/>
      <c r="T255" s="137"/>
      <c r="U255" s="137">
        <f t="shared" si="3"/>
        <v>0</v>
      </c>
    </row>
    <row r="256" spans="2:21" ht="14.5">
      <c r="B256" s="147" t="s">
        <v>368</v>
      </c>
      <c r="C256" s="137">
        <v>129</v>
      </c>
      <c r="D256" s="137">
        <v>129</v>
      </c>
      <c r="E256" s="137">
        <v>129</v>
      </c>
      <c r="F256" s="137"/>
      <c r="G256" s="137"/>
      <c r="H256" s="137"/>
      <c r="I256" s="137"/>
      <c r="J256" s="137"/>
      <c r="K256" s="137"/>
      <c r="L256" s="137"/>
      <c r="M256" s="137"/>
      <c r="N256" s="137"/>
      <c r="O256" s="137"/>
      <c r="P256" s="137"/>
      <c r="Q256" s="137"/>
      <c r="R256" s="137"/>
      <c r="S256" s="137"/>
      <c r="T256" s="137"/>
      <c r="U256" s="137">
        <f t="shared" si="3"/>
        <v>0</v>
      </c>
    </row>
    <row r="257" spans="2:21" ht="14.5">
      <c r="B257" s="147" t="s">
        <v>220</v>
      </c>
      <c r="C257" s="137"/>
      <c r="D257" s="137"/>
      <c r="E257" s="137"/>
      <c r="F257" s="137"/>
      <c r="G257" s="137"/>
      <c r="H257" s="137"/>
      <c r="I257" s="137"/>
      <c r="J257" s="137"/>
      <c r="K257" s="137"/>
      <c r="L257" s="137"/>
      <c r="M257" s="137">
        <v>20.5</v>
      </c>
      <c r="N257" s="137"/>
      <c r="O257" s="137"/>
      <c r="P257" s="137"/>
      <c r="Q257" s="137"/>
      <c r="R257" s="137"/>
      <c r="S257" s="137"/>
      <c r="T257" s="137"/>
      <c r="U257" s="137">
        <f t="shared" si="3"/>
        <v>0</v>
      </c>
    </row>
    <row r="258" spans="2:21" ht="14.5">
      <c r="B258" s="147" t="s">
        <v>369</v>
      </c>
      <c r="C258" s="137"/>
      <c r="D258" s="137"/>
      <c r="E258" s="137">
        <v>1862.41</v>
      </c>
      <c r="F258" s="137">
        <v>362.97</v>
      </c>
      <c r="G258" s="137"/>
      <c r="H258" s="137"/>
      <c r="I258" s="137"/>
      <c r="J258" s="137">
        <v>1776.6999999999998</v>
      </c>
      <c r="K258" s="137">
        <v>426.95</v>
      </c>
      <c r="L258" s="137">
        <v>230.96</v>
      </c>
      <c r="M258" s="137">
        <v>1778.81</v>
      </c>
      <c r="N258" s="137"/>
      <c r="O258" s="137"/>
      <c r="P258" s="137">
        <v>208.39</v>
      </c>
      <c r="Q258" s="137"/>
      <c r="R258" s="137"/>
      <c r="S258" s="137"/>
      <c r="T258" s="137"/>
      <c r="U258" s="137">
        <f t="shared" si="3"/>
        <v>0</v>
      </c>
    </row>
    <row r="259" spans="2:21" ht="14.5">
      <c r="B259" s="147" t="s">
        <v>370</v>
      </c>
      <c r="C259" s="137"/>
      <c r="D259" s="137"/>
      <c r="E259" s="137">
        <v>956.3900000000001</v>
      </c>
      <c r="F259" s="137">
        <v>330.02</v>
      </c>
      <c r="G259" s="137">
        <v>496.35</v>
      </c>
      <c r="H259" s="137"/>
      <c r="I259" s="137">
        <v>92.03</v>
      </c>
      <c r="J259" s="137">
        <v>48.99</v>
      </c>
      <c r="K259" s="137">
        <v>518.23</v>
      </c>
      <c r="L259" s="137">
        <v>438.09999999999997</v>
      </c>
      <c r="M259" s="137">
        <v>110.24</v>
      </c>
      <c r="N259" s="137">
        <v>39.96</v>
      </c>
      <c r="O259" s="137">
        <v>119.84</v>
      </c>
      <c r="P259" s="137">
        <v>279.49</v>
      </c>
      <c r="Q259" s="137">
        <v>93.33</v>
      </c>
      <c r="R259" s="137">
        <v>89.94</v>
      </c>
      <c r="S259" s="137"/>
      <c r="T259" s="137"/>
      <c r="U259" s="137">
        <f t="shared" si="3"/>
        <v>0</v>
      </c>
    </row>
    <row r="260" spans="2:21" ht="14.5">
      <c r="B260" s="147" t="s">
        <v>371</v>
      </c>
      <c r="C260" s="137"/>
      <c r="D260" s="137"/>
      <c r="E260" s="137"/>
      <c r="F260" s="137"/>
      <c r="G260" s="137"/>
      <c r="H260" s="137"/>
      <c r="I260" s="137"/>
      <c r="J260" s="137"/>
      <c r="K260" s="137"/>
      <c r="L260" s="137"/>
      <c r="M260" s="137"/>
      <c r="N260" s="137"/>
      <c r="O260" s="137">
        <v>946.48</v>
      </c>
      <c r="P260" s="137">
        <v>391.8</v>
      </c>
      <c r="Q260" s="137"/>
      <c r="R260" s="137"/>
      <c r="S260" s="137"/>
      <c r="T260" s="137"/>
      <c r="U260" s="137">
        <f t="shared" si="3"/>
        <v>0</v>
      </c>
    </row>
    <row r="261" spans="2:21" ht="14.5">
      <c r="B261" s="147" t="s">
        <v>372</v>
      </c>
      <c r="C261" s="137"/>
      <c r="D261" s="137"/>
      <c r="E261" s="137"/>
      <c r="F261" s="137"/>
      <c r="G261" s="137"/>
      <c r="H261" s="137"/>
      <c r="I261" s="137"/>
      <c r="J261" s="137">
        <v>357.97</v>
      </c>
      <c r="K261" s="137">
        <v>29.93</v>
      </c>
      <c r="L261" s="137"/>
      <c r="M261" s="137">
        <v>271.19</v>
      </c>
      <c r="N261" s="137"/>
      <c r="O261" s="137"/>
      <c r="P261" s="137"/>
      <c r="Q261" s="137"/>
      <c r="R261" s="137"/>
      <c r="S261" s="137"/>
      <c r="T261" s="137"/>
      <c r="U261" s="137">
        <f t="shared" si="3"/>
        <v>0</v>
      </c>
    </row>
    <row r="262" spans="2:21" ht="14.5">
      <c r="B262" s="147" t="s">
        <v>373</v>
      </c>
      <c r="C262" s="137"/>
      <c r="D262" s="137">
        <v>2608.2199999999998</v>
      </c>
      <c r="E262" s="137"/>
      <c r="F262" s="137"/>
      <c r="G262" s="137"/>
      <c r="H262" s="137"/>
      <c r="I262" s="137"/>
      <c r="J262" s="137"/>
      <c r="K262" s="137">
        <v>1663.27</v>
      </c>
      <c r="L262" s="137"/>
      <c r="M262" s="137"/>
      <c r="N262" s="137"/>
      <c r="O262" s="137"/>
      <c r="P262" s="137"/>
      <c r="Q262" s="137"/>
      <c r="R262" s="137"/>
      <c r="S262" s="137"/>
      <c r="T262" s="137"/>
      <c r="U262" s="137">
        <f t="shared" ref="U262:U320" si="4">S262-T262</f>
        <v>0</v>
      </c>
    </row>
    <row r="263" spans="2:21" ht="14.5">
      <c r="B263" s="147" t="s">
        <v>374</v>
      </c>
      <c r="C263" s="137"/>
      <c r="D263" s="137">
        <v>786.92</v>
      </c>
      <c r="E263" s="137"/>
      <c r="F263" s="137"/>
      <c r="G263" s="137"/>
      <c r="H263" s="137"/>
      <c r="I263" s="137"/>
      <c r="J263" s="137">
        <v>215.98</v>
      </c>
      <c r="K263" s="137"/>
      <c r="L263" s="137"/>
      <c r="M263" s="137"/>
      <c r="N263" s="137"/>
      <c r="O263" s="137"/>
      <c r="P263" s="137">
        <v>1284.3200000000002</v>
      </c>
      <c r="Q263" s="137">
        <v>79</v>
      </c>
      <c r="R263" s="137">
        <v>272.19</v>
      </c>
      <c r="S263" s="137">
        <v>-79</v>
      </c>
      <c r="T263" s="137"/>
      <c r="U263" s="137">
        <f t="shared" si="4"/>
        <v>-79</v>
      </c>
    </row>
    <row r="264" spans="2:21" ht="14.5">
      <c r="B264" s="147" t="s">
        <v>375</v>
      </c>
      <c r="C264" s="137"/>
      <c r="D264" s="137">
        <v>65</v>
      </c>
      <c r="E264" s="137"/>
      <c r="F264" s="137"/>
      <c r="G264" s="137"/>
      <c r="H264" s="137"/>
      <c r="I264" s="137"/>
      <c r="J264" s="137"/>
      <c r="K264" s="137"/>
      <c r="L264" s="137"/>
      <c r="M264" s="137"/>
      <c r="N264" s="137"/>
      <c r="O264" s="137"/>
      <c r="P264" s="137"/>
      <c r="Q264" s="137"/>
      <c r="R264" s="137"/>
      <c r="S264" s="137"/>
      <c r="T264" s="137"/>
      <c r="U264" s="137">
        <f t="shared" si="4"/>
        <v>0</v>
      </c>
    </row>
    <row r="265" spans="2:21" ht="14.5">
      <c r="B265" s="147" t="s">
        <v>376</v>
      </c>
      <c r="C265" s="137"/>
      <c r="D265" s="137">
        <v>6972.55</v>
      </c>
      <c r="E265" s="137"/>
      <c r="F265" s="137">
        <v>2615.67</v>
      </c>
      <c r="G265" s="137"/>
      <c r="H265" s="137">
        <v>1691.4</v>
      </c>
      <c r="I265" s="137"/>
      <c r="J265" s="137"/>
      <c r="K265" s="137"/>
      <c r="L265" s="137">
        <v>999</v>
      </c>
      <c r="M265" s="137">
        <v>11612.36</v>
      </c>
      <c r="N265" s="137"/>
      <c r="O265" s="137"/>
      <c r="P265" s="137"/>
      <c r="Q265" s="137"/>
      <c r="R265" s="137"/>
      <c r="S265" s="137"/>
      <c r="T265" s="137"/>
      <c r="U265" s="137">
        <f t="shared" si="4"/>
        <v>0</v>
      </c>
    </row>
    <row r="266" spans="2:21" ht="14.5">
      <c r="B266" s="147" t="s">
        <v>96</v>
      </c>
      <c r="C266" s="137"/>
      <c r="D266" s="137"/>
      <c r="E266" s="137"/>
      <c r="F266" s="137"/>
      <c r="G266" s="137"/>
      <c r="H266" s="137"/>
      <c r="I266" s="137"/>
      <c r="J266" s="137"/>
      <c r="K266" s="137"/>
      <c r="L266" s="137">
        <v>870.31999999999994</v>
      </c>
      <c r="M266" s="137"/>
      <c r="N266" s="137"/>
      <c r="O266" s="137"/>
      <c r="P266" s="137"/>
      <c r="Q266" s="137"/>
      <c r="R266" s="137"/>
      <c r="S266" s="137"/>
      <c r="T266" s="137"/>
      <c r="U266" s="137">
        <f t="shared" si="4"/>
        <v>0</v>
      </c>
    </row>
    <row r="267" spans="2:21" ht="14.5">
      <c r="B267" s="147" t="s">
        <v>377</v>
      </c>
      <c r="C267" s="137"/>
      <c r="D267" s="137"/>
      <c r="E267" s="137">
        <v>219.36</v>
      </c>
      <c r="F267" s="137"/>
      <c r="G267" s="137"/>
      <c r="H267" s="137"/>
      <c r="I267" s="137"/>
      <c r="J267" s="137"/>
      <c r="K267" s="137"/>
      <c r="L267" s="137"/>
      <c r="M267" s="137"/>
      <c r="N267" s="137"/>
      <c r="O267" s="137"/>
      <c r="P267" s="137"/>
      <c r="Q267" s="137"/>
      <c r="R267" s="137"/>
      <c r="S267" s="137"/>
      <c r="T267" s="137"/>
      <c r="U267" s="137">
        <f t="shared" si="4"/>
        <v>0</v>
      </c>
    </row>
    <row r="268" spans="2:21" ht="14.5">
      <c r="B268" s="147" t="s">
        <v>378</v>
      </c>
      <c r="C268" s="137"/>
      <c r="D268" s="137"/>
      <c r="E268" s="137">
        <v>517.62</v>
      </c>
      <c r="F268" s="137"/>
      <c r="G268" s="137">
        <v>882.77</v>
      </c>
      <c r="H268" s="137"/>
      <c r="I268" s="137"/>
      <c r="J268" s="137"/>
      <c r="K268" s="137"/>
      <c r="L268" s="137"/>
      <c r="M268" s="137"/>
      <c r="N268" s="137"/>
      <c r="O268" s="137"/>
      <c r="P268" s="137"/>
      <c r="Q268" s="137"/>
      <c r="R268" s="137"/>
      <c r="S268" s="137"/>
      <c r="T268" s="137"/>
      <c r="U268" s="137">
        <f t="shared" si="4"/>
        <v>0</v>
      </c>
    </row>
    <row r="269" spans="2:21" ht="14.5">
      <c r="B269" s="147" t="s">
        <v>354</v>
      </c>
      <c r="C269" s="137"/>
      <c r="D269" s="137"/>
      <c r="E269" s="137"/>
      <c r="F269" s="137"/>
      <c r="G269" s="137"/>
      <c r="H269" s="137"/>
      <c r="I269" s="137"/>
      <c r="J269" s="137">
        <v>55.03</v>
      </c>
      <c r="K269" s="137"/>
      <c r="L269" s="137"/>
      <c r="M269" s="137">
        <v>81.069999999999993</v>
      </c>
      <c r="N269" s="137"/>
      <c r="O269" s="137"/>
      <c r="P269" s="137"/>
      <c r="Q269" s="137"/>
      <c r="R269" s="137"/>
      <c r="S269" s="137"/>
      <c r="T269" s="137"/>
      <c r="U269" s="137">
        <f t="shared" si="4"/>
        <v>0</v>
      </c>
    </row>
    <row r="270" spans="2:21" ht="14.5">
      <c r="B270" s="147" t="s">
        <v>379</v>
      </c>
      <c r="C270" s="137"/>
      <c r="D270" s="137"/>
      <c r="E270" s="137">
        <v>30.94</v>
      </c>
      <c r="F270" s="137">
        <v>31.98</v>
      </c>
      <c r="G270" s="137"/>
      <c r="H270" s="137"/>
      <c r="I270" s="137"/>
      <c r="J270" s="137"/>
      <c r="K270" s="137"/>
      <c r="L270" s="137"/>
      <c r="M270" s="137"/>
      <c r="N270" s="137"/>
      <c r="O270" s="137"/>
      <c r="P270" s="137"/>
      <c r="Q270" s="137"/>
      <c r="R270" s="137"/>
      <c r="S270" s="137"/>
      <c r="T270" s="137"/>
      <c r="U270" s="137">
        <f t="shared" si="4"/>
        <v>0</v>
      </c>
    </row>
    <row r="271" spans="2:21" ht="14.5">
      <c r="B271" s="147" t="s">
        <v>380</v>
      </c>
      <c r="C271" s="137"/>
      <c r="D271" s="137"/>
      <c r="E271" s="137">
        <v>617.16</v>
      </c>
      <c r="F271" s="137"/>
      <c r="G271" s="137"/>
      <c r="H271" s="137"/>
      <c r="I271" s="137"/>
      <c r="J271" s="137"/>
      <c r="K271" s="137"/>
      <c r="L271" s="137"/>
      <c r="M271" s="137"/>
      <c r="N271" s="137"/>
      <c r="O271" s="137"/>
      <c r="P271" s="137"/>
      <c r="Q271" s="137"/>
      <c r="R271" s="137"/>
      <c r="S271" s="137"/>
      <c r="T271" s="137"/>
      <c r="U271" s="137">
        <f t="shared" si="4"/>
        <v>0</v>
      </c>
    </row>
    <row r="272" spans="2:21" ht="14.5">
      <c r="B272" s="147" t="s">
        <v>381</v>
      </c>
      <c r="C272" s="137"/>
      <c r="D272" s="137"/>
      <c r="E272" s="137"/>
      <c r="F272" s="137">
        <v>27.06</v>
      </c>
      <c r="G272" s="137"/>
      <c r="H272" s="137"/>
      <c r="I272" s="137"/>
      <c r="J272" s="137"/>
      <c r="K272" s="137"/>
      <c r="L272" s="137"/>
      <c r="M272" s="137"/>
      <c r="N272" s="137"/>
      <c r="O272" s="137"/>
      <c r="P272" s="137"/>
      <c r="Q272" s="137"/>
      <c r="R272" s="137"/>
      <c r="S272" s="137"/>
      <c r="T272" s="137"/>
      <c r="U272" s="137">
        <f t="shared" si="4"/>
        <v>0</v>
      </c>
    </row>
    <row r="273" spans="2:21" ht="14.5">
      <c r="B273" s="147" t="s">
        <v>382</v>
      </c>
      <c r="C273" s="137"/>
      <c r="D273" s="137"/>
      <c r="E273" s="137"/>
      <c r="F273" s="137"/>
      <c r="G273" s="137">
        <v>134.6</v>
      </c>
      <c r="H273" s="137"/>
      <c r="I273" s="137"/>
      <c r="J273" s="137"/>
      <c r="K273" s="137"/>
      <c r="L273" s="137"/>
      <c r="M273" s="137"/>
      <c r="N273" s="137"/>
      <c r="O273" s="137"/>
      <c r="P273" s="137"/>
      <c r="Q273" s="137"/>
      <c r="R273" s="137"/>
      <c r="S273" s="137"/>
      <c r="T273" s="137"/>
      <c r="U273" s="137">
        <f t="shared" si="4"/>
        <v>0</v>
      </c>
    </row>
    <row r="274" spans="2:21" ht="14.5">
      <c r="B274" s="147" t="s">
        <v>383</v>
      </c>
      <c r="C274" s="137"/>
      <c r="D274" s="137"/>
      <c r="E274" s="137"/>
      <c r="F274" s="137"/>
      <c r="G274" s="137"/>
      <c r="H274" s="137"/>
      <c r="I274" s="137"/>
      <c r="J274" s="137">
        <v>45.13</v>
      </c>
      <c r="K274" s="137"/>
      <c r="L274" s="137"/>
      <c r="M274" s="137"/>
      <c r="N274" s="137"/>
      <c r="O274" s="137"/>
      <c r="P274" s="137"/>
      <c r="Q274" s="137"/>
      <c r="R274" s="137"/>
      <c r="S274" s="137"/>
      <c r="T274" s="137"/>
      <c r="U274" s="137">
        <f t="shared" si="4"/>
        <v>0</v>
      </c>
    </row>
    <row r="275" spans="2:21" ht="14.5">
      <c r="B275" s="147" t="s">
        <v>384</v>
      </c>
      <c r="C275" s="137"/>
      <c r="D275" s="137"/>
      <c r="E275" s="137"/>
      <c r="F275" s="137"/>
      <c r="G275" s="137"/>
      <c r="H275" s="137"/>
      <c r="I275" s="137"/>
      <c r="J275" s="137">
        <v>38.26</v>
      </c>
      <c r="K275" s="137"/>
      <c r="L275" s="137"/>
      <c r="M275" s="137"/>
      <c r="N275" s="137"/>
      <c r="O275" s="137"/>
      <c r="P275" s="137"/>
      <c r="Q275" s="137"/>
      <c r="R275" s="137"/>
      <c r="S275" s="137"/>
      <c r="T275" s="137"/>
      <c r="U275" s="137">
        <f t="shared" si="4"/>
        <v>0</v>
      </c>
    </row>
    <row r="276" spans="2:21" ht="14.5">
      <c r="B276" s="147" t="s">
        <v>385</v>
      </c>
      <c r="C276" s="137"/>
      <c r="D276" s="137"/>
      <c r="E276" s="137"/>
      <c r="F276" s="137"/>
      <c r="G276" s="137"/>
      <c r="H276" s="137"/>
      <c r="I276" s="137"/>
      <c r="J276" s="137"/>
      <c r="K276" s="137">
        <v>86.45</v>
      </c>
      <c r="L276" s="137"/>
      <c r="M276" s="137"/>
      <c r="N276" s="137"/>
      <c r="O276" s="137"/>
      <c r="P276" s="137"/>
      <c r="Q276" s="137"/>
      <c r="R276" s="137"/>
      <c r="S276" s="137"/>
      <c r="T276" s="137"/>
      <c r="U276" s="137">
        <f t="shared" si="4"/>
        <v>0</v>
      </c>
    </row>
    <row r="277" spans="2:21" ht="14.5">
      <c r="B277" s="147" t="s">
        <v>386</v>
      </c>
      <c r="C277" s="137"/>
      <c r="D277" s="137"/>
      <c r="E277" s="137"/>
      <c r="F277" s="137"/>
      <c r="G277" s="137"/>
      <c r="H277" s="137"/>
      <c r="I277" s="137"/>
      <c r="J277" s="137"/>
      <c r="K277" s="137">
        <v>10</v>
      </c>
      <c r="L277" s="137"/>
      <c r="M277" s="137"/>
      <c r="N277" s="137"/>
      <c r="O277" s="137"/>
      <c r="P277" s="137"/>
      <c r="Q277" s="137"/>
      <c r="R277" s="137"/>
      <c r="S277" s="137"/>
      <c r="T277" s="137"/>
      <c r="U277" s="137">
        <f t="shared" si="4"/>
        <v>0</v>
      </c>
    </row>
    <row r="278" spans="2:21" ht="14.5">
      <c r="B278" s="147" t="s">
        <v>387</v>
      </c>
      <c r="C278" s="137"/>
      <c r="D278" s="137"/>
      <c r="E278" s="137"/>
      <c r="F278" s="137"/>
      <c r="G278" s="137"/>
      <c r="H278" s="137"/>
      <c r="I278" s="137"/>
      <c r="J278" s="137"/>
      <c r="K278" s="137">
        <v>68.36</v>
      </c>
      <c r="L278" s="137"/>
      <c r="M278" s="137"/>
      <c r="N278" s="137"/>
      <c r="O278" s="137"/>
      <c r="P278" s="137"/>
      <c r="Q278" s="137"/>
      <c r="R278" s="137"/>
      <c r="S278" s="137"/>
      <c r="T278" s="137"/>
      <c r="U278" s="137">
        <f t="shared" si="4"/>
        <v>0</v>
      </c>
    </row>
    <row r="279" spans="2:21" ht="14.5">
      <c r="B279" s="147" t="s">
        <v>388</v>
      </c>
      <c r="C279" s="137"/>
      <c r="D279" s="137"/>
      <c r="E279" s="137"/>
      <c r="F279" s="137"/>
      <c r="G279" s="137"/>
      <c r="H279" s="137"/>
      <c r="I279" s="137"/>
      <c r="J279" s="137"/>
      <c r="K279" s="137">
        <v>453.36</v>
      </c>
      <c r="L279" s="137"/>
      <c r="M279" s="137"/>
      <c r="N279" s="137"/>
      <c r="O279" s="137"/>
      <c r="P279" s="137"/>
      <c r="Q279" s="137"/>
      <c r="R279" s="137"/>
      <c r="S279" s="137"/>
      <c r="T279" s="137"/>
      <c r="U279" s="137">
        <f t="shared" si="4"/>
        <v>0</v>
      </c>
    </row>
    <row r="280" spans="2:21" ht="14.5">
      <c r="B280" s="147" t="s">
        <v>389</v>
      </c>
      <c r="C280" s="137"/>
      <c r="D280" s="137"/>
      <c r="E280" s="137"/>
      <c r="F280" s="137"/>
      <c r="G280" s="137"/>
      <c r="H280" s="137"/>
      <c r="I280" s="137"/>
      <c r="J280" s="137"/>
      <c r="K280" s="137"/>
      <c r="L280" s="137"/>
      <c r="M280" s="137">
        <v>13.52</v>
      </c>
      <c r="N280" s="137"/>
      <c r="O280" s="137"/>
      <c r="P280" s="137"/>
      <c r="Q280" s="137"/>
      <c r="R280" s="137"/>
      <c r="S280" s="137"/>
      <c r="T280" s="137"/>
      <c r="U280" s="137">
        <f t="shared" si="4"/>
        <v>0</v>
      </c>
    </row>
    <row r="281" spans="2:21" ht="14.5">
      <c r="B281" s="147" t="s">
        <v>390</v>
      </c>
      <c r="C281" s="137"/>
      <c r="D281" s="137"/>
      <c r="E281" s="137"/>
      <c r="F281" s="137"/>
      <c r="G281" s="137"/>
      <c r="H281" s="137"/>
      <c r="I281" s="137"/>
      <c r="J281" s="137"/>
      <c r="K281" s="137"/>
      <c r="L281" s="137"/>
      <c r="M281" s="137">
        <v>474.65</v>
      </c>
      <c r="N281" s="137"/>
      <c r="O281" s="137"/>
      <c r="P281" s="137"/>
      <c r="Q281" s="137"/>
      <c r="R281" s="137"/>
      <c r="S281" s="137"/>
      <c r="T281" s="137"/>
      <c r="U281" s="137">
        <f t="shared" si="4"/>
        <v>0</v>
      </c>
    </row>
    <row r="282" spans="2:21" ht="14.5">
      <c r="B282" s="147" t="s">
        <v>391</v>
      </c>
      <c r="C282" s="137"/>
      <c r="D282" s="137"/>
      <c r="E282" s="137">
        <v>532.01</v>
      </c>
      <c r="F282" s="137"/>
      <c r="G282" s="137"/>
      <c r="H282" s="137"/>
      <c r="I282" s="137"/>
      <c r="J282" s="137"/>
      <c r="K282" s="137"/>
      <c r="L282" s="137"/>
      <c r="M282" s="137">
        <v>701.57</v>
      </c>
      <c r="N282" s="137"/>
      <c r="O282" s="137"/>
      <c r="P282" s="137"/>
      <c r="Q282" s="137"/>
      <c r="R282" s="137"/>
      <c r="S282" s="137"/>
      <c r="T282" s="137"/>
      <c r="U282" s="137">
        <f t="shared" si="4"/>
        <v>0</v>
      </c>
    </row>
    <row r="283" spans="2:21" ht="14.5">
      <c r="B283" s="147" t="s">
        <v>392</v>
      </c>
      <c r="C283" s="137"/>
      <c r="D283" s="137"/>
      <c r="E283" s="137"/>
      <c r="F283" s="137"/>
      <c r="G283" s="137"/>
      <c r="H283" s="137"/>
      <c r="I283" s="137"/>
      <c r="J283" s="137"/>
      <c r="K283" s="137"/>
      <c r="L283" s="137"/>
      <c r="M283" s="137">
        <v>24.73</v>
      </c>
      <c r="N283" s="137"/>
      <c r="O283" s="137"/>
      <c r="P283" s="137"/>
      <c r="Q283" s="137"/>
      <c r="R283" s="137"/>
      <c r="S283" s="137"/>
      <c r="T283" s="137"/>
      <c r="U283" s="137">
        <f t="shared" si="4"/>
        <v>0</v>
      </c>
    </row>
    <row r="284" spans="2:21" ht="14.5">
      <c r="B284" s="147" t="s">
        <v>393</v>
      </c>
      <c r="C284" s="137"/>
      <c r="D284" s="137"/>
      <c r="E284" s="137"/>
      <c r="F284" s="137"/>
      <c r="G284" s="137"/>
      <c r="H284" s="137"/>
      <c r="I284" s="137"/>
      <c r="J284" s="137"/>
      <c r="K284" s="137"/>
      <c r="L284" s="137"/>
      <c r="M284" s="137"/>
      <c r="N284" s="137">
        <v>99.63</v>
      </c>
      <c r="O284" s="137"/>
      <c r="P284" s="137"/>
      <c r="Q284" s="137"/>
      <c r="R284" s="137"/>
      <c r="S284" s="137"/>
      <c r="T284" s="137"/>
      <c r="U284" s="137">
        <f t="shared" si="4"/>
        <v>0</v>
      </c>
    </row>
    <row r="285" spans="2:21" ht="14.5">
      <c r="B285" s="147" t="s">
        <v>394</v>
      </c>
      <c r="C285" s="137"/>
      <c r="D285" s="137"/>
      <c r="E285" s="137"/>
      <c r="F285" s="137"/>
      <c r="G285" s="137"/>
      <c r="H285" s="137"/>
      <c r="I285" s="137"/>
      <c r="J285" s="137"/>
      <c r="K285" s="137"/>
      <c r="L285" s="137"/>
      <c r="M285" s="137"/>
      <c r="N285" s="137">
        <v>2.4900000000000002</v>
      </c>
      <c r="O285" s="137"/>
      <c r="P285" s="137"/>
      <c r="Q285" s="137"/>
      <c r="R285" s="137"/>
      <c r="S285" s="137"/>
      <c r="T285" s="137"/>
      <c r="U285" s="137">
        <f t="shared" si="4"/>
        <v>0</v>
      </c>
    </row>
    <row r="286" spans="2:21" ht="14.5">
      <c r="B286" s="147" t="s">
        <v>395</v>
      </c>
      <c r="C286" s="137"/>
      <c r="D286" s="137"/>
      <c r="E286" s="137"/>
      <c r="F286" s="137"/>
      <c r="G286" s="137"/>
      <c r="H286" s="137"/>
      <c r="I286" s="137"/>
      <c r="J286" s="137"/>
      <c r="K286" s="137"/>
      <c r="L286" s="137"/>
      <c r="M286" s="137"/>
      <c r="N286" s="137"/>
      <c r="O286" s="137">
        <v>18.71</v>
      </c>
      <c r="P286" s="137"/>
      <c r="Q286" s="137"/>
      <c r="R286" s="137"/>
      <c r="S286" s="137"/>
      <c r="T286" s="137"/>
      <c r="U286" s="137">
        <f t="shared" si="4"/>
        <v>0</v>
      </c>
    </row>
    <row r="287" spans="2:21" ht="14.5">
      <c r="B287" s="147" t="s">
        <v>396</v>
      </c>
      <c r="C287" s="137"/>
      <c r="D287" s="137"/>
      <c r="E287" s="137"/>
      <c r="F287" s="137"/>
      <c r="G287" s="137"/>
      <c r="H287" s="137"/>
      <c r="I287" s="137"/>
      <c r="J287" s="137"/>
      <c r="K287" s="137"/>
      <c r="L287" s="137"/>
      <c r="M287" s="137"/>
      <c r="N287" s="137"/>
      <c r="O287" s="137">
        <v>202.83</v>
      </c>
      <c r="P287" s="137"/>
      <c r="Q287" s="137"/>
      <c r="R287" s="137"/>
      <c r="S287" s="137"/>
      <c r="T287" s="137"/>
      <c r="U287" s="137">
        <f t="shared" si="4"/>
        <v>0</v>
      </c>
    </row>
    <row r="288" spans="2:21" ht="14.5">
      <c r="B288" s="147" t="s">
        <v>324</v>
      </c>
      <c r="C288" s="137"/>
      <c r="D288" s="137"/>
      <c r="E288" s="137"/>
      <c r="F288" s="137"/>
      <c r="G288" s="137"/>
      <c r="H288" s="137"/>
      <c r="I288" s="137"/>
      <c r="J288" s="137"/>
      <c r="K288" s="137"/>
      <c r="L288" s="137"/>
      <c r="M288" s="137"/>
      <c r="N288" s="137"/>
      <c r="O288" s="137"/>
      <c r="P288" s="137">
        <v>113</v>
      </c>
      <c r="Q288" s="137"/>
      <c r="R288" s="137"/>
      <c r="S288" s="137"/>
      <c r="T288" s="137"/>
      <c r="U288" s="137">
        <f t="shared" si="4"/>
        <v>0</v>
      </c>
    </row>
    <row r="289" spans="2:21" ht="14.5">
      <c r="B289" s="147" t="s">
        <v>397</v>
      </c>
      <c r="C289" s="137"/>
      <c r="D289" s="137"/>
      <c r="E289" s="137"/>
      <c r="F289" s="137"/>
      <c r="G289" s="137"/>
      <c r="H289" s="137"/>
      <c r="I289" s="137"/>
      <c r="J289" s="137"/>
      <c r="K289" s="137"/>
      <c r="L289" s="137"/>
      <c r="M289" s="137"/>
      <c r="N289" s="137"/>
      <c r="O289" s="137"/>
      <c r="P289" s="137">
        <v>152.22</v>
      </c>
      <c r="Q289" s="137"/>
      <c r="R289" s="137"/>
      <c r="S289" s="137"/>
      <c r="T289" s="137"/>
      <c r="U289" s="137">
        <f t="shared" si="4"/>
        <v>0</v>
      </c>
    </row>
    <row r="290" spans="2:21" ht="14.5">
      <c r="B290" s="147" t="s">
        <v>398</v>
      </c>
      <c r="C290" s="137"/>
      <c r="D290" s="137"/>
      <c r="E290" s="137"/>
      <c r="F290" s="137"/>
      <c r="G290" s="137"/>
      <c r="H290" s="137"/>
      <c r="I290" s="137"/>
      <c r="J290" s="137"/>
      <c r="K290" s="137"/>
      <c r="L290" s="137"/>
      <c r="M290" s="137"/>
      <c r="N290" s="137"/>
      <c r="O290" s="137"/>
      <c r="P290" s="137"/>
      <c r="Q290" s="137">
        <v>3414.98</v>
      </c>
      <c r="R290" s="137"/>
      <c r="S290" s="137"/>
      <c r="T290" s="137"/>
      <c r="U290" s="137">
        <f t="shared" si="4"/>
        <v>0</v>
      </c>
    </row>
    <row r="291" spans="2:21" ht="14.5">
      <c r="B291" s="147" t="s">
        <v>399</v>
      </c>
      <c r="C291" s="137"/>
      <c r="D291" s="137"/>
      <c r="E291" s="137"/>
      <c r="F291" s="137"/>
      <c r="G291" s="137"/>
      <c r="H291" s="137"/>
      <c r="I291" s="137"/>
      <c r="J291" s="137"/>
      <c r="K291" s="137"/>
      <c r="L291" s="137"/>
      <c r="M291" s="137"/>
      <c r="N291" s="137"/>
      <c r="O291" s="137"/>
      <c r="P291" s="137"/>
      <c r="Q291" s="137">
        <v>191.29</v>
      </c>
      <c r="R291" s="137"/>
      <c r="S291" s="137"/>
      <c r="T291" s="137"/>
      <c r="U291" s="137">
        <f t="shared" si="4"/>
        <v>0</v>
      </c>
    </row>
    <row r="292" spans="2:21" ht="14.5">
      <c r="B292" s="147" t="s">
        <v>400</v>
      </c>
      <c r="C292" s="137"/>
      <c r="D292" s="137"/>
      <c r="E292" s="137"/>
      <c r="F292" s="137"/>
      <c r="G292" s="137"/>
      <c r="H292" s="137"/>
      <c r="I292" s="137"/>
      <c r="J292" s="137"/>
      <c r="K292" s="137"/>
      <c r="L292" s="137"/>
      <c r="M292" s="137"/>
      <c r="N292" s="137"/>
      <c r="O292" s="137"/>
      <c r="P292" s="137"/>
      <c r="Q292" s="137">
        <v>2879.58</v>
      </c>
      <c r="R292" s="137"/>
      <c r="S292" s="137"/>
      <c r="T292" s="137"/>
      <c r="U292" s="137">
        <f t="shared" si="4"/>
        <v>0</v>
      </c>
    </row>
    <row r="293" spans="2:21" ht="14.5">
      <c r="B293" s="147" t="s">
        <v>401</v>
      </c>
      <c r="C293" s="137"/>
      <c r="D293" s="137"/>
      <c r="E293" s="137"/>
      <c r="F293" s="137"/>
      <c r="G293" s="137"/>
      <c r="H293" s="137"/>
      <c r="I293" s="137"/>
      <c r="J293" s="137"/>
      <c r="K293" s="137"/>
      <c r="L293" s="137"/>
      <c r="M293" s="137"/>
      <c r="N293" s="137"/>
      <c r="O293" s="137"/>
      <c r="P293" s="137"/>
      <c r="Q293" s="137"/>
      <c r="R293" s="137">
        <v>76.25</v>
      </c>
      <c r="S293" s="137"/>
      <c r="T293" s="137"/>
      <c r="U293" s="137">
        <f t="shared" si="4"/>
        <v>0</v>
      </c>
    </row>
    <row r="294" spans="2:21" ht="14.5">
      <c r="B294" s="147" t="s">
        <v>402</v>
      </c>
      <c r="C294" s="137"/>
      <c r="D294" s="137"/>
      <c r="E294" s="137"/>
      <c r="F294" s="137"/>
      <c r="G294" s="137"/>
      <c r="H294" s="137"/>
      <c r="I294" s="137"/>
      <c r="J294" s="137"/>
      <c r="K294" s="137"/>
      <c r="L294" s="137"/>
      <c r="M294" s="137"/>
      <c r="N294" s="137"/>
      <c r="O294" s="137"/>
      <c r="P294" s="137"/>
      <c r="Q294" s="137"/>
      <c r="R294" s="137">
        <v>16.510000000000002</v>
      </c>
      <c r="S294" s="137"/>
      <c r="T294" s="137"/>
      <c r="U294" s="137">
        <f t="shared" si="4"/>
        <v>0</v>
      </c>
    </row>
    <row r="295" spans="2:21" ht="14.5">
      <c r="B295" s="146" t="s">
        <v>403</v>
      </c>
      <c r="C295" s="137">
        <v>105.53</v>
      </c>
      <c r="D295" s="137">
        <v>105.53</v>
      </c>
      <c r="E295" s="137">
        <v>8120.67</v>
      </c>
      <c r="F295" s="137">
        <v>1159.05</v>
      </c>
      <c r="G295" s="137">
        <v>1159.05</v>
      </c>
      <c r="H295" s="137">
        <v>1159.05</v>
      </c>
      <c r="I295" s="137">
        <v>4318.67</v>
      </c>
      <c r="J295" s="137">
        <v>1159.05</v>
      </c>
      <c r="K295" s="137">
        <v>2347.8599999999997</v>
      </c>
      <c r="L295" s="137">
        <v>1159.05</v>
      </c>
      <c r="M295" s="137">
        <v>1248.56</v>
      </c>
      <c r="N295" s="137">
        <v>1234.05</v>
      </c>
      <c r="O295" s="137">
        <v>1234.05</v>
      </c>
      <c r="P295" s="137">
        <v>1060.53</v>
      </c>
      <c r="Q295" s="137">
        <v>1060.53</v>
      </c>
      <c r="R295" s="137">
        <v>1060.53</v>
      </c>
      <c r="S295" s="137">
        <v>1082.98</v>
      </c>
      <c r="T295" s="137">
        <v>1082.98</v>
      </c>
      <c r="U295" s="137">
        <f t="shared" si="4"/>
        <v>0</v>
      </c>
    </row>
    <row r="296" spans="2:21" ht="14.5">
      <c r="B296" s="147" t="s">
        <v>404</v>
      </c>
      <c r="C296" s="137">
        <v>105.53</v>
      </c>
      <c r="D296" s="137">
        <v>105.53</v>
      </c>
      <c r="E296" s="137">
        <v>105.53</v>
      </c>
      <c r="F296" s="137">
        <v>105.53</v>
      </c>
      <c r="G296" s="137">
        <v>105.53</v>
      </c>
      <c r="H296" s="137">
        <v>105.53</v>
      </c>
      <c r="I296" s="137">
        <v>105.53</v>
      </c>
      <c r="J296" s="137">
        <v>105.53</v>
      </c>
      <c r="K296" s="137">
        <v>142.84</v>
      </c>
      <c r="L296" s="137">
        <v>105.53</v>
      </c>
      <c r="M296" s="137">
        <v>105.53</v>
      </c>
      <c r="N296" s="137">
        <v>105.53</v>
      </c>
      <c r="O296" s="137">
        <v>105.53</v>
      </c>
      <c r="P296" s="137">
        <v>105.53</v>
      </c>
      <c r="Q296" s="137">
        <v>105.53</v>
      </c>
      <c r="R296" s="137">
        <v>105.53</v>
      </c>
      <c r="S296" s="137">
        <v>105.53</v>
      </c>
      <c r="T296" s="137">
        <v>105.53</v>
      </c>
      <c r="U296" s="137">
        <f t="shared" si="4"/>
        <v>0</v>
      </c>
    </row>
    <row r="297" spans="2:21" ht="14.5">
      <c r="B297" s="147" t="s">
        <v>190</v>
      </c>
      <c r="C297" s="137"/>
      <c r="D297" s="137"/>
      <c r="E297" s="137"/>
      <c r="F297" s="137"/>
      <c r="G297" s="137"/>
      <c r="H297" s="137"/>
      <c r="I297" s="137"/>
      <c r="J297" s="137"/>
      <c r="K297" s="137"/>
      <c r="L297" s="137"/>
      <c r="M297" s="137"/>
      <c r="N297" s="137"/>
      <c r="O297" s="137"/>
      <c r="P297" s="137"/>
      <c r="Q297" s="137"/>
      <c r="R297" s="137"/>
      <c r="S297" s="137">
        <v>22.45</v>
      </c>
      <c r="T297" s="137">
        <v>22.45</v>
      </c>
      <c r="U297" s="137">
        <f t="shared" si="4"/>
        <v>0</v>
      </c>
    </row>
    <row r="298" spans="2:21" ht="14.5">
      <c r="B298" s="147" t="s">
        <v>405</v>
      </c>
      <c r="C298" s="137"/>
      <c r="D298" s="137"/>
      <c r="E298" s="137">
        <v>2995.14</v>
      </c>
      <c r="F298" s="137">
        <v>1053.52</v>
      </c>
      <c r="G298" s="137">
        <v>1053.52</v>
      </c>
      <c r="H298" s="137">
        <v>1053.52</v>
      </c>
      <c r="I298" s="137">
        <v>1053.52</v>
      </c>
      <c r="J298" s="137">
        <v>1053.52</v>
      </c>
      <c r="K298" s="137">
        <v>1053.52</v>
      </c>
      <c r="L298" s="137">
        <v>1053.52</v>
      </c>
      <c r="M298" s="137">
        <v>1143.03</v>
      </c>
      <c r="N298" s="137">
        <v>1128.52</v>
      </c>
      <c r="O298" s="137">
        <v>1128.52</v>
      </c>
      <c r="P298" s="137">
        <v>955</v>
      </c>
      <c r="Q298" s="137">
        <v>955</v>
      </c>
      <c r="R298" s="137">
        <v>955</v>
      </c>
      <c r="S298" s="137">
        <v>955</v>
      </c>
      <c r="T298" s="137">
        <v>955</v>
      </c>
      <c r="U298" s="137">
        <f t="shared" si="4"/>
        <v>0</v>
      </c>
    </row>
    <row r="299" spans="2:21" ht="14.5">
      <c r="B299" s="147" t="s">
        <v>406</v>
      </c>
      <c r="C299" s="137"/>
      <c r="D299" s="137"/>
      <c r="E299" s="137">
        <v>20</v>
      </c>
      <c r="F299" s="137"/>
      <c r="G299" s="137"/>
      <c r="H299" s="137"/>
      <c r="I299" s="137"/>
      <c r="J299" s="137"/>
      <c r="K299" s="137"/>
      <c r="L299" s="137"/>
      <c r="M299" s="137"/>
      <c r="N299" s="137"/>
      <c r="O299" s="137"/>
      <c r="P299" s="137"/>
      <c r="Q299" s="137"/>
      <c r="R299" s="137"/>
      <c r="S299" s="137"/>
      <c r="T299" s="137"/>
      <c r="U299" s="137">
        <f t="shared" si="4"/>
        <v>0</v>
      </c>
    </row>
    <row r="300" spans="2:21" ht="14.5">
      <c r="B300" s="147" t="s">
        <v>407</v>
      </c>
      <c r="C300" s="137"/>
      <c r="D300" s="137"/>
      <c r="E300" s="137"/>
      <c r="F300" s="137"/>
      <c r="G300" s="137"/>
      <c r="H300" s="137"/>
      <c r="I300" s="137">
        <v>3159.62</v>
      </c>
      <c r="J300" s="137"/>
      <c r="K300" s="137"/>
      <c r="L300" s="137"/>
      <c r="M300" s="137"/>
      <c r="N300" s="137"/>
      <c r="O300" s="137"/>
      <c r="P300" s="137"/>
      <c r="Q300" s="137"/>
      <c r="R300" s="137"/>
      <c r="S300" s="137"/>
      <c r="T300" s="137"/>
      <c r="U300" s="137">
        <f t="shared" si="4"/>
        <v>0</v>
      </c>
    </row>
    <row r="301" spans="2:21" ht="14.5">
      <c r="B301" s="147" t="s">
        <v>408</v>
      </c>
      <c r="C301" s="137"/>
      <c r="D301" s="137"/>
      <c r="E301" s="137"/>
      <c r="F301" s="137"/>
      <c r="G301" s="137"/>
      <c r="H301" s="137"/>
      <c r="I301" s="137"/>
      <c r="J301" s="137"/>
      <c r="K301" s="137">
        <v>1151.5</v>
      </c>
      <c r="L301" s="137"/>
      <c r="M301" s="137"/>
      <c r="N301" s="137"/>
      <c r="O301" s="137"/>
      <c r="P301" s="137"/>
      <c r="Q301" s="137"/>
      <c r="R301" s="137"/>
      <c r="S301" s="137"/>
      <c r="T301" s="137"/>
      <c r="U301" s="137">
        <f t="shared" si="4"/>
        <v>0</v>
      </c>
    </row>
    <row r="302" spans="2:21" ht="14.5">
      <c r="B302" s="147" t="s">
        <v>409</v>
      </c>
      <c r="C302" s="137"/>
      <c r="D302" s="137"/>
      <c r="E302" s="137">
        <v>5000</v>
      </c>
      <c r="F302" s="137"/>
      <c r="G302" s="137"/>
      <c r="H302" s="137"/>
      <c r="I302" s="137"/>
      <c r="J302" s="137"/>
      <c r="K302" s="137"/>
      <c r="L302" s="137"/>
      <c r="M302" s="137"/>
      <c r="N302" s="137"/>
      <c r="O302" s="137"/>
      <c r="P302" s="137"/>
      <c r="Q302" s="137"/>
      <c r="R302" s="137"/>
      <c r="S302" s="137"/>
      <c r="T302" s="137"/>
      <c r="U302" s="137">
        <f t="shared" si="4"/>
        <v>0</v>
      </c>
    </row>
    <row r="303" spans="2:21" ht="14.5">
      <c r="B303" s="146" t="s">
        <v>130</v>
      </c>
      <c r="C303" s="137"/>
      <c r="D303" s="137"/>
      <c r="E303" s="137"/>
      <c r="F303" s="137"/>
      <c r="G303" s="137"/>
      <c r="H303" s="137"/>
      <c r="I303" s="137"/>
      <c r="J303" s="137"/>
      <c r="K303" s="137"/>
      <c r="L303" s="137">
        <v>832</v>
      </c>
      <c r="M303" s="137"/>
      <c r="N303" s="137"/>
      <c r="O303" s="137"/>
      <c r="P303" s="137"/>
      <c r="Q303" s="137"/>
      <c r="R303" s="137"/>
      <c r="S303" s="137"/>
      <c r="T303" s="137"/>
      <c r="U303" s="137">
        <f t="shared" si="4"/>
        <v>0</v>
      </c>
    </row>
    <row r="304" spans="2:21" ht="14.5">
      <c r="B304" s="147" t="s">
        <v>410</v>
      </c>
      <c r="C304" s="137"/>
      <c r="D304" s="137"/>
      <c r="E304" s="137"/>
      <c r="F304" s="137"/>
      <c r="G304" s="137"/>
      <c r="H304" s="137"/>
      <c r="I304" s="137"/>
      <c r="J304" s="137"/>
      <c r="K304" s="137"/>
      <c r="L304" s="137">
        <v>19.440000000000001</v>
      </c>
      <c r="M304" s="137"/>
      <c r="N304" s="137"/>
      <c r="O304" s="137"/>
      <c r="P304" s="137"/>
      <c r="Q304" s="137"/>
      <c r="R304" s="137"/>
      <c r="S304" s="137"/>
      <c r="T304" s="137"/>
      <c r="U304" s="137">
        <f t="shared" si="4"/>
        <v>0</v>
      </c>
    </row>
    <row r="305" spans="2:21" ht="14.5">
      <c r="B305" s="147" t="s">
        <v>411</v>
      </c>
      <c r="C305" s="137"/>
      <c r="D305" s="137"/>
      <c r="E305" s="137"/>
      <c r="F305" s="137"/>
      <c r="G305" s="137"/>
      <c r="H305" s="137"/>
      <c r="I305" s="137"/>
      <c r="J305" s="137"/>
      <c r="K305" s="137"/>
      <c r="L305" s="137">
        <v>812.56</v>
      </c>
      <c r="M305" s="137"/>
      <c r="N305" s="137"/>
      <c r="O305" s="137"/>
      <c r="P305" s="137"/>
      <c r="Q305" s="137"/>
      <c r="R305" s="137"/>
      <c r="S305" s="137"/>
      <c r="T305" s="137"/>
      <c r="U305" s="137">
        <f t="shared" si="4"/>
        <v>0</v>
      </c>
    </row>
    <row r="306" spans="2:21" ht="14.5">
      <c r="B306" s="142" t="s">
        <v>562</v>
      </c>
      <c r="C306" s="137">
        <v>210.7</v>
      </c>
      <c r="D306" s="137">
        <v>1476.51</v>
      </c>
      <c r="E306" s="137">
        <v>5</v>
      </c>
      <c r="F306" s="137">
        <v>5</v>
      </c>
      <c r="G306" s="137">
        <v>245.55</v>
      </c>
      <c r="H306" s="137">
        <v>367.31999999999994</v>
      </c>
      <c r="I306" s="137">
        <v>148.01</v>
      </c>
      <c r="J306" s="137">
        <v>509.9</v>
      </c>
      <c r="K306" s="137">
        <v>2450.4</v>
      </c>
      <c r="L306" s="137">
        <v>2724.6400000000003</v>
      </c>
      <c r="M306" s="137">
        <v>2648.86</v>
      </c>
      <c r="N306" s="137">
        <v>4845.0600000000004</v>
      </c>
      <c r="O306" s="137">
        <v>168.72</v>
      </c>
      <c r="P306" s="137">
        <v>3614.45</v>
      </c>
      <c r="Q306" s="137">
        <v>2506.71</v>
      </c>
      <c r="R306" s="137">
        <v>2607.0300000000002</v>
      </c>
      <c r="S306" s="137">
        <v>2522.3000000000002</v>
      </c>
      <c r="T306" s="137">
        <v>2613.7200000000003</v>
      </c>
      <c r="U306" s="143">
        <f t="shared" si="4"/>
        <v>-91.420000000000073</v>
      </c>
    </row>
    <row r="307" spans="2:21" ht="14.5">
      <c r="B307" s="144" t="s">
        <v>23</v>
      </c>
      <c r="C307" s="137">
        <v>210.7</v>
      </c>
      <c r="D307" s="137">
        <v>1476.51</v>
      </c>
      <c r="E307" s="137">
        <v>5</v>
      </c>
      <c r="F307" s="137">
        <v>5</v>
      </c>
      <c r="G307" s="137">
        <v>245.55</v>
      </c>
      <c r="H307" s="137">
        <v>367.31999999999994</v>
      </c>
      <c r="I307" s="137">
        <v>148.01</v>
      </c>
      <c r="J307" s="137">
        <v>509.9</v>
      </c>
      <c r="K307" s="137">
        <v>2450.4</v>
      </c>
      <c r="L307" s="137">
        <v>2724.6400000000003</v>
      </c>
      <c r="M307" s="137">
        <v>2648.86</v>
      </c>
      <c r="N307" s="137">
        <v>4845.0600000000004</v>
      </c>
      <c r="O307" s="137">
        <v>168.72</v>
      </c>
      <c r="P307" s="137">
        <v>3614.45</v>
      </c>
      <c r="Q307" s="137">
        <v>2506.71</v>
      </c>
      <c r="R307" s="137">
        <v>2607.0300000000002</v>
      </c>
      <c r="S307" s="137">
        <v>2522.3000000000002</v>
      </c>
      <c r="T307" s="137">
        <v>2613.7200000000003</v>
      </c>
      <c r="U307" s="145">
        <f t="shared" si="4"/>
        <v>-91.420000000000073</v>
      </c>
    </row>
    <row r="308" spans="2:21" ht="14.5">
      <c r="B308" s="146" t="s">
        <v>149</v>
      </c>
      <c r="C308" s="137"/>
      <c r="D308" s="137">
        <v>1278.78</v>
      </c>
      <c r="E308" s="137">
        <v>5</v>
      </c>
      <c r="F308" s="137">
        <v>5</v>
      </c>
      <c r="G308" s="137">
        <v>41.72</v>
      </c>
      <c r="H308" s="137">
        <v>155.02999999999997</v>
      </c>
      <c r="I308" s="137">
        <v>22.949999999999996</v>
      </c>
      <c r="J308" s="137">
        <v>335</v>
      </c>
      <c r="K308" s="137">
        <v>90</v>
      </c>
      <c r="L308" s="137">
        <v>10</v>
      </c>
      <c r="M308" s="137">
        <v>52.06</v>
      </c>
      <c r="N308" s="137">
        <v>6</v>
      </c>
      <c r="O308" s="137">
        <v>6</v>
      </c>
      <c r="P308" s="137">
        <v>1095</v>
      </c>
      <c r="Q308" s="137">
        <v>6</v>
      </c>
      <c r="R308" s="137">
        <v>107.83999999999999</v>
      </c>
      <c r="S308" s="137">
        <v>15</v>
      </c>
      <c r="T308" s="137">
        <v>114.77000000000001</v>
      </c>
      <c r="U308" s="137">
        <f t="shared" si="4"/>
        <v>-99.77000000000001</v>
      </c>
    </row>
    <row r="309" spans="2:21" ht="14.5">
      <c r="B309" s="147" t="s">
        <v>332</v>
      </c>
      <c r="C309" s="137"/>
      <c r="D309" s="137">
        <v>5</v>
      </c>
      <c r="E309" s="137">
        <v>5</v>
      </c>
      <c r="F309" s="137">
        <v>5</v>
      </c>
      <c r="G309" s="137">
        <v>10</v>
      </c>
      <c r="H309" s="137">
        <v>15</v>
      </c>
      <c r="I309" s="137">
        <v>91.85</v>
      </c>
      <c r="J309" s="137">
        <v>-15</v>
      </c>
      <c r="K309" s="137">
        <v>90</v>
      </c>
      <c r="L309" s="137">
        <v>10</v>
      </c>
      <c r="M309" s="137">
        <v>20</v>
      </c>
      <c r="N309" s="137">
        <v>6</v>
      </c>
      <c r="O309" s="137">
        <v>6</v>
      </c>
      <c r="P309" s="137">
        <v>15</v>
      </c>
      <c r="Q309" s="137">
        <v>16</v>
      </c>
      <c r="R309" s="137"/>
      <c r="S309" s="137">
        <v>15</v>
      </c>
      <c r="T309" s="137">
        <v>75.78</v>
      </c>
      <c r="U309" s="137">
        <f t="shared" si="4"/>
        <v>-60.78</v>
      </c>
    </row>
    <row r="310" spans="2:21" ht="14.5">
      <c r="B310" s="147" t="s">
        <v>412</v>
      </c>
      <c r="C310" s="137"/>
      <c r="D310" s="137">
        <v>195</v>
      </c>
      <c r="E310" s="137"/>
      <c r="F310" s="137"/>
      <c r="G310" s="137"/>
      <c r="H310" s="137"/>
      <c r="I310" s="137"/>
      <c r="J310" s="137"/>
      <c r="K310" s="137"/>
      <c r="L310" s="137"/>
      <c r="M310" s="137"/>
      <c r="N310" s="137"/>
      <c r="O310" s="137"/>
      <c r="P310" s="137">
        <v>195</v>
      </c>
      <c r="Q310" s="137"/>
      <c r="R310" s="137"/>
      <c r="S310" s="137"/>
      <c r="T310" s="137"/>
      <c r="U310" s="137">
        <f t="shared" si="4"/>
        <v>0</v>
      </c>
    </row>
    <row r="311" spans="2:21" ht="14.5">
      <c r="B311" s="147" t="s">
        <v>177</v>
      </c>
      <c r="C311" s="137"/>
      <c r="D311" s="137"/>
      <c r="E311" s="137"/>
      <c r="F311" s="137"/>
      <c r="G311" s="137"/>
      <c r="H311" s="137"/>
      <c r="I311" s="137"/>
      <c r="J311" s="137"/>
      <c r="K311" s="137"/>
      <c r="L311" s="137"/>
      <c r="M311" s="137"/>
      <c r="N311" s="137"/>
      <c r="O311" s="137"/>
      <c r="P311" s="137"/>
      <c r="Q311" s="137"/>
      <c r="R311" s="137">
        <v>99.99</v>
      </c>
      <c r="S311" s="137"/>
      <c r="T311" s="137"/>
      <c r="U311" s="137">
        <f t="shared" si="4"/>
        <v>0</v>
      </c>
    </row>
    <row r="312" spans="2:21" ht="14.5">
      <c r="B312" s="147" t="s">
        <v>413</v>
      </c>
      <c r="C312" s="137"/>
      <c r="D312" s="137">
        <v>33.78</v>
      </c>
      <c r="E312" s="137"/>
      <c r="F312" s="137"/>
      <c r="G312" s="137">
        <v>31.72</v>
      </c>
      <c r="H312" s="137">
        <v>7.0000000000000007E-2</v>
      </c>
      <c r="I312" s="137"/>
      <c r="J312" s="137"/>
      <c r="K312" s="137"/>
      <c r="L312" s="137"/>
      <c r="M312" s="137">
        <v>32.06</v>
      </c>
      <c r="N312" s="137"/>
      <c r="O312" s="137"/>
      <c r="P312" s="137"/>
      <c r="Q312" s="137"/>
      <c r="R312" s="137">
        <v>0.85</v>
      </c>
      <c r="S312" s="137"/>
      <c r="T312" s="137">
        <v>38.99</v>
      </c>
      <c r="U312" s="137">
        <f t="shared" si="4"/>
        <v>-38.99</v>
      </c>
    </row>
    <row r="313" spans="2:21" ht="14.5">
      <c r="B313" s="147" t="s">
        <v>414</v>
      </c>
      <c r="C313" s="137"/>
      <c r="D313" s="137">
        <v>1045</v>
      </c>
      <c r="E313" s="137"/>
      <c r="F313" s="137"/>
      <c r="G313" s="137"/>
      <c r="H313" s="137">
        <v>139.95999999999998</v>
      </c>
      <c r="I313" s="137">
        <v>-99.58</v>
      </c>
      <c r="J313" s="137">
        <v>350</v>
      </c>
      <c r="K313" s="137"/>
      <c r="L313" s="137"/>
      <c r="M313" s="137"/>
      <c r="N313" s="137"/>
      <c r="O313" s="137"/>
      <c r="P313" s="137">
        <v>885</v>
      </c>
      <c r="Q313" s="137">
        <v>-10</v>
      </c>
      <c r="R313" s="137">
        <v>2</v>
      </c>
      <c r="S313" s="137"/>
      <c r="T313" s="137"/>
      <c r="U313" s="137">
        <f t="shared" si="4"/>
        <v>0</v>
      </c>
    </row>
    <row r="314" spans="2:21" ht="14.5">
      <c r="B314" s="147"/>
      <c r="C314" s="137"/>
      <c r="D314" s="137"/>
      <c r="E314" s="137"/>
      <c r="F314" s="137"/>
      <c r="G314" s="137"/>
      <c r="H314" s="137"/>
      <c r="I314" s="137">
        <v>30.68</v>
      </c>
      <c r="J314" s="137"/>
      <c r="K314" s="137"/>
      <c r="L314" s="137"/>
      <c r="M314" s="137"/>
      <c r="N314" s="137"/>
      <c r="O314" s="137"/>
      <c r="P314" s="137"/>
      <c r="Q314" s="137"/>
      <c r="R314" s="137"/>
      <c r="S314" s="137"/>
      <c r="T314" s="137"/>
      <c r="U314" s="137">
        <f t="shared" si="4"/>
        <v>0</v>
      </c>
    </row>
    <row r="315" spans="2:21" ht="14.5">
      <c r="B315" s="147" t="s">
        <v>415</v>
      </c>
      <c r="C315" s="137"/>
      <c r="D315" s="137"/>
      <c r="E315" s="137"/>
      <c r="F315" s="137"/>
      <c r="G315" s="137"/>
      <c r="H315" s="137"/>
      <c r="I315" s="137"/>
      <c r="J315" s="137"/>
      <c r="K315" s="137"/>
      <c r="L315" s="137"/>
      <c r="M315" s="137"/>
      <c r="N315" s="137"/>
      <c r="O315" s="137"/>
      <c r="P315" s="137"/>
      <c r="Q315" s="137"/>
      <c r="R315" s="137">
        <v>5</v>
      </c>
      <c r="S315" s="137"/>
      <c r="T315" s="137"/>
      <c r="U315" s="137">
        <f t="shared" si="4"/>
        <v>0</v>
      </c>
    </row>
    <row r="316" spans="2:21" ht="14.5">
      <c r="B316" s="146" t="s">
        <v>154</v>
      </c>
      <c r="C316" s="137">
        <v>210.7</v>
      </c>
      <c r="D316" s="137">
        <v>197.73</v>
      </c>
      <c r="E316" s="137"/>
      <c r="F316" s="137"/>
      <c r="G316" s="137">
        <v>203.83</v>
      </c>
      <c r="H316" s="137">
        <v>212.29</v>
      </c>
      <c r="I316" s="137">
        <v>125.06</v>
      </c>
      <c r="J316" s="137">
        <v>174.9</v>
      </c>
      <c r="K316" s="137"/>
      <c r="L316" s="137">
        <v>354.24</v>
      </c>
      <c r="M316" s="137">
        <v>236.4</v>
      </c>
      <c r="N316" s="137">
        <v>118.26</v>
      </c>
      <c r="O316" s="137">
        <v>162.72</v>
      </c>
      <c r="P316" s="137">
        <v>159.05000000000001</v>
      </c>
      <c r="Q316" s="137">
        <v>140.31</v>
      </c>
      <c r="R316" s="137">
        <v>138.79</v>
      </c>
      <c r="S316" s="137">
        <v>146.9</v>
      </c>
      <c r="T316" s="137">
        <v>138.55000000000001</v>
      </c>
      <c r="U316" s="137">
        <f t="shared" si="4"/>
        <v>8.3499999999999943</v>
      </c>
    </row>
    <row r="317" spans="2:21" ht="14.5">
      <c r="B317" s="147" t="s">
        <v>332</v>
      </c>
      <c r="C317" s="137">
        <v>210.7</v>
      </c>
      <c r="D317" s="137">
        <v>197.73</v>
      </c>
      <c r="E317" s="137"/>
      <c r="F317" s="137"/>
      <c r="G317" s="137">
        <v>203.83</v>
      </c>
      <c r="H317" s="137">
        <v>212.29</v>
      </c>
      <c r="I317" s="137">
        <v>125.06</v>
      </c>
      <c r="J317" s="137">
        <v>174.9</v>
      </c>
      <c r="K317" s="137"/>
      <c r="L317" s="137">
        <v>354.24</v>
      </c>
      <c r="M317" s="137">
        <v>236.4</v>
      </c>
      <c r="N317" s="137">
        <v>118.26</v>
      </c>
      <c r="O317" s="137">
        <v>162.72</v>
      </c>
      <c r="P317" s="137">
        <v>159.05000000000001</v>
      </c>
      <c r="Q317" s="137">
        <v>140.31</v>
      </c>
      <c r="R317" s="137">
        <v>138.79</v>
      </c>
      <c r="S317" s="137">
        <v>146.9</v>
      </c>
      <c r="T317" s="137">
        <v>138.55000000000001</v>
      </c>
      <c r="U317" s="137">
        <f t="shared" si="4"/>
        <v>8.3499999999999943</v>
      </c>
    </row>
    <row r="318" spans="2:21" ht="14.5">
      <c r="B318" s="146" t="s">
        <v>153</v>
      </c>
      <c r="C318" s="137"/>
      <c r="D318" s="137"/>
      <c r="E318" s="137"/>
      <c r="F318" s="137"/>
      <c r="G318" s="137"/>
      <c r="H318" s="137"/>
      <c r="I318" s="137"/>
      <c r="J318" s="137"/>
      <c r="K318" s="137">
        <v>2360.4</v>
      </c>
      <c r="L318" s="137">
        <v>2360.4</v>
      </c>
      <c r="M318" s="137">
        <v>2360.4</v>
      </c>
      <c r="N318" s="137">
        <v>4720.8</v>
      </c>
      <c r="O318" s="137"/>
      <c r="P318" s="137">
        <v>2360.4</v>
      </c>
      <c r="Q318" s="137">
        <v>2360.4</v>
      </c>
      <c r="R318" s="137">
        <v>2360.4</v>
      </c>
      <c r="S318" s="137">
        <v>2360.4</v>
      </c>
      <c r="T318" s="137">
        <v>2360.4</v>
      </c>
      <c r="U318" s="137">
        <f t="shared" si="4"/>
        <v>0</v>
      </c>
    </row>
    <row r="319" spans="2:21" ht="14.5">
      <c r="B319" s="147" t="s">
        <v>332</v>
      </c>
      <c r="C319" s="137"/>
      <c r="D319" s="137"/>
      <c r="E319" s="137"/>
      <c r="F319" s="137"/>
      <c r="G319" s="137"/>
      <c r="H319" s="137"/>
      <c r="I319" s="137"/>
      <c r="J319" s="137"/>
      <c r="K319" s="137">
        <v>2360.4</v>
      </c>
      <c r="L319" s="137">
        <v>2360.4</v>
      </c>
      <c r="M319" s="137">
        <v>2360.4</v>
      </c>
      <c r="N319" s="137">
        <v>4720.8</v>
      </c>
      <c r="O319" s="137"/>
      <c r="P319" s="137">
        <v>2360.4</v>
      </c>
      <c r="Q319" s="137">
        <v>2360.4</v>
      </c>
      <c r="R319" s="137">
        <v>2360.4</v>
      </c>
      <c r="S319" s="137">
        <v>2360.4</v>
      </c>
      <c r="T319" s="137">
        <v>2360.4</v>
      </c>
      <c r="U319" s="137">
        <f t="shared" si="4"/>
        <v>0</v>
      </c>
    </row>
    <row r="320" spans="2:21" ht="14.5">
      <c r="B320" s="142" t="s">
        <v>416</v>
      </c>
      <c r="C320" s="137">
        <v>173308.72999999998</v>
      </c>
      <c r="D320" s="137">
        <v>208835.28999999998</v>
      </c>
      <c r="E320" s="137">
        <v>221179.00000000006</v>
      </c>
      <c r="F320" s="137">
        <v>220201.45999999996</v>
      </c>
      <c r="G320" s="137">
        <v>224254.52999999985</v>
      </c>
      <c r="H320" s="137">
        <v>290968.76999999996</v>
      </c>
      <c r="I320" s="137">
        <v>249170.11</v>
      </c>
      <c r="J320" s="137">
        <v>283214.42000000004</v>
      </c>
      <c r="K320" s="137">
        <v>297059.52</v>
      </c>
      <c r="L320" s="137">
        <v>303404.31999999995</v>
      </c>
      <c r="M320" s="137">
        <v>305038.76000000007</v>
      </c>
      <c r="N320" s="137">
        <v>304816.27999999991</v>
      </c>
      <c r="O320" s="137">
        <v>280361.96999999997</v>
      </c>
      <c r="P320" s="137">
        <v>261206.84000000005</v>
      </c>
      <c r="Q320" s="137">
        <v>156080.92000000001</v>
      </c>
      <c r="R320" s="137">
        <v>234799.52999999991</v>
      </c>
      <c r="S320" s="137">
        <v>213982.28</v>
      </c>
      <c r="T320" s="137">
        <v>202558.07999999996</v>
      </c>
      <c r="U320" s="155">
        <f t="shared" si="4"/>
        <v>11424.200000000041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751D-A6E0-413D-819A-F7B5089BC237}">
  <dimension ref="A1:Y203"/>
  <sheetViews>
    <sheetView showGridLines="0" zoomScale="80" zoomScaleNormal="80" workbookViewId="0">
      <pane xSplit="4" ySplit="5" topLeftCell="E51" activePane="bottomRight" state="frozen"/>
      <selection pane="topRight" activeCell="E1" sqref="E1"/>
      <selection pane="bottomLeft" activeCell="A6" sqref="A6"/>
      <selection pane="bottomRight" activeCell="Y54" sqref="Y54"/>
    </sheetView>
  </sheetViews>
  <sheetFormatPr defaultColWidth="8.08203125" defaultRowHeight="15.5"/>
  <cols>
    <col min="1" max="1" width="3.1640625" style="9" customWidth="1"/>
    <col min="2" max="2" width="22.9140625" style="7" customWidth="1"/>
    <col min="3" max="3" width="31.1640625" style="15" customWidth="1"/>
    <col min="4" max="4" width="54.58203125" style="15" bestFit="1" customWidth="1"/>
    <col min="5" max="5" width="9.6640625" style="15" hidden="1" customWidth="1"/>
    <col min="6" max="6" width="10.75" style="15" hidden="1" customWidth="1"/>
    <col min="7" max="9" width="10.75" style="165" hidden="1" customWidth="1"/>
    <col min="10" max="11" width="10.75" style="166" hidden="1" customWidth="1"/>
    <col min="12" max="13" width="10.75" style="9" hidden="1" customWidth="1"/>
    <col min="14" max="14" width="10.75" style="121" hidden="1" customWidth="1"/>
    <col min="15" max="20" width="10.75" style="9" hidden="1" customWidth="1"/>
    <col min="21" max="22" width="10.75" style="9" customWidth="1"/>
    <col min="23" max="23" width="10.5" style="9" bestFit="1" customWidth="1"/>
    <col min="24" max="24" width="8.08203125" style="9" bestFit="1" customWidth="1"/>
    <col min="25" max="25" width="11.4140625" style="9" bestFit="1" customWidth="1"/>
    <col min="26" max="16384" width="8.08203125" style="9"/>
  </cols>
  <sheetData>
    <row r="1" spans="1:25">
      <c r="A1" s="6" t="s">
        <v>559</v>
      </c>
      <c r="C1" s="8"/>
      <c r="D1" s="8"/>
      <c r="E1" s="8"/>
      <c r="F1" s="8"/>
      <c r="G1" s="156"/>
      <c r="H1" s="156"/>
      <c r="I1" s="156"/>
      <c r="J1" s="157"/>
      <c r="K1" s="157"/>
    </row>
    <row r="2" spans="1:25">
      <c r="A2" s="6"/>
      <c r="C2" s="8"/>
      <c r="D2" s="8"/>
      <c r="E2" s="8"/>
      <c r="F2" s="8"/>
      <c r="G2" s="156"/>
      <c r="H2" s="156"/>
      <c r="I2" s="156"/>
      <c r="J2" s="157"/>
      <c r="K2" s="11"/>
      <c r="L2" s="11"/>
      <c r="M2" s="11"/>
      <c r="N2" s="11"/>
      <c r="O2" s="11"/>
      <c r="P2" s="11"/>
      <c r="Q2" s="11"/>
      <c r="R2" s="11"/>
      <c r="S2" s="11"/>
      <c r="T2" s="11"/>
      <c r="U2" s="11"/>
      <c r="V2" s="11"/>
      <c r="W2" s="11"/>
      <c r="X2" s="11"/>
      <c r="Y2" s="12"/>
    </row>
    <row r="3" spans="1:25">
      <c r="C3" s="8"/>
      <c r="D3" s="8"/>
      <c r="E3" s="8"/>
      <c r="F3" s="8"/>
      <c r="G3" s="156"/>
      <c r="H3" s="156"/>
      <c r="I3" s="156"/>
      <c r="J3" s="157"/>
      <c r="K3" s="11"/>
      <c r="L3" s="11"/>
      <c r="M3" s="11"/>
      <c r="N3" s="11"/>
      <c r="O3" s="11"/>
      <c r="P3" s="11"/>
      <c r="Q3" s="11"/>
      <c r="R3" s="11"/>
      <c r="S3" s="11"/>
      <c r="T3" s="11"/>
      <c r="U3" s="11"/>
      <c r="V3" s="11"/>
      <c r="W3" s="11"/>
      <c r="X3" s="11"/>
      <c r="Y3" s="12"/>
    </row>
    <row r="4" spans="1:25">
      <c r="B4" s="158" t="s">
        <v>560</v>
      </c>
      <c r="C4" s="158"/>
      <c r="D4" s="158"/>
      <c r="E4" s="136" t="s">
        <v>155</v>
      </c>
      <c r="F4" s="136"/>
      <c r="G4" s="136"/>
      <c r="H4" s="136"/>
      <c r="I4" s="136"/>
      <c r="J4" s="136"/>
      <c r="K4" s="136"/>
      <c r="L4" s="136"/>
      <c r="M4" s="136"/>
      <c r="N4" s="136"/>
      <c r="O4" s="136"/>
      <c r="P4" s="136"/>
      <c r="Q4" s="136"/>
      <c r="R4" s="136"/>
      <c r="S4" s="136"/>
      <c r="T4" s="136"/>
      <c r="U4" s="136"/>
      <c r="V4" s="136"/>
      <c r="W4" s="159"/>
      <c r="X4" s="159"/>
    </row>
    <row r="5" spans="1:25">
      <c r="B5" s="158" t="s">
        <v>417</v>
      </c>
      <c r="C5" s="121" t="s">
        <v>418</v>
      </c>
      <c r="D5" s="121" t="s">
        <v>419</v>
      </c>
      <c r="E5" s="140">
        <v>45688</v>
      </c>
      <c r="F5" s="140">
        <v>45716</v>
      </c>
      <c r="G5" s="140">
        <v>45747</v>
      </c>
      <c r="H5" s="140">
        <v>45777</v>
      </c>
      <c r="I5" s="140">
        <v>45808</v>
      </c>
      <c r="J5" s="140">
        <v>45838</v>
      </c>
      <c r="K5" s="140">
        <v>45869</v>
      </c>
      <c r="L5" s="140">
        <v>45900</v>
      </c>
      <c r="M5" s="140">
        <v>45930</v>
      </c>
      <c r="N5" s="140">
        <v>45961</v>
      </c>
      <c r="O5" s="140">
        <v>45991</v>
      </c>
      <c r="P5" s="140">
        <v>46022</v>
      </c>
      <c r="Q5" s="140">
        <v>46053</v>
      </c>
      <c r="R5" s="140">
        <v>46081</v>
      </c>
      <c r="S5" s="140">
        <v>46112</v>
      </c>
      <c r="T5" s="140">
        <v>46142</v>
      </c>
      <c r="U5" s="140">
        <v>46173</v>
      </c>
      <c r="V5" s="140">
        <v>46203</v>
      </c>
      <c r="W5" s="141" t="s">
        <v>648</v>
      </c>
      <c r="X5" s="141" t="s">
        <v>563</v>
      </c>
    </row>
    <row r="6" spans="1:25">
      <c r="B6" s="158" t="s">
        <v>420</v>
      </c>
      <c r="C6" s="121" t="s">
        <v>421</v>
      </c>
      <c r="D6" s="121" t="s">
        <v>421</v>
      </c>
      <c r="E6" s="160">
        <v>3762414</v>
      </c>
      <c r="F6" s="160">
        <v>4457855</v>
      </c>
      <c r="G6" s="160">
        <v>4579463</v>
      </c>
      <c r="H6" s="160">
        <v>4473906</v>
      </c>
      <c r="I6" s="160">
        <v>4728640</v>
      </c>
      <c r="J6" s="160">
        <v>5065520</v>
      </c>
      <c r="K6" s="160">
        <v>5158862</v>
      </c>
      <c r="L6" s="160">
        <v>5788065</v>
      </c>
      <c r="M6" s="160">
        <v>5991910</v>
      </c>
      <c r="N6" s="160">
        <v>6270781</v>
      </c>
      <c r="O6" s="160">
        <v>6229342</v>
      </c>
      <c r="P6" s="160">
        <v>6323574</v>
      </c>
      <c r="Q6" s="160">
        <v>6062679</v>
      </c>
      <c r="R6" s="160">
        <v>6115267</v>
      </c>
      <c r="S6" s="160">
        <v>6041252</v>
      </c>
      <c r="T6" s="160">
        <v>5768982</v>
      </c>
      <c r="U6" s="160">
        <v>5470829</v>
      </c>
      <c r="V6" s="160">
        <v>5698725</v>
      </c>
      <c r="W6" s="160">
        <f>U6-V6</f>
        <v>-227896</v>
      </c>
      <c r="X6" s="160">
        <f>W6/94</f>
        <v>-2424.4255319148938</v>
      </c>
    </row>
    <row r="7" spans="1:25">
      <c r="B7" s="158"/>
      <c r="C7" s="121" t="s">
        <v>51</v>
      </c>
      <c r="D7" s="121" t="s">
        <v>51</v>
      </c>
      <c r="E7" s="160">
        <v>1911823</v>
      </c>
      <c r="F7" s="160">
        <v>2198354</v>
      </c>
      <c r="G7" s="160">
        <v>2043456</v>
      </c>
      <c r="H7" s="160">
        <v>2108487</v>
      </c>
      <c r="I7" s="160">
        <v>2151697</v>
      </c>
      <c r="J7" s="160">
        <v>2220435</v>
      </c>
      <c r="K7" s="160">
        <v>2498763</v>
      </c>
      <c r="L7" s="160">
        <v>2762127</v>
      </c>
      <c r="M7" s="160">
        <v>2796629</v>
      </c>
      <c r="N7" s="160">
        <v>3187170</v>
      </c>
      <c r="O7" s="160">
        <v>3255082</v>
      </c>
      <c r="P7" s="160">
        <v>3428387</v>
      </c>
      <c r="Q7" s="160">
        <v>3422489</v>
      </c>
      <c r="R7" s="160">
        <v>3333406</v>
      </c>
      <c r="S7" s="160">
        <v>3516012</v>
      </c>
      <c r="T7" s="160">
        <v>3503973</v>
      </c>
      <c r="U7" s="160">
        <v>3335558</v>
      </c>
      <c r="V7" s="160">
        <v>3198901</v>
      </c>
      <c r="W7" s="160">
        <f t="shared" ref="W7:W70" si="0">U7-V7</f>
        <v>136657</v>
      </c>
      <c r="X7" s="160">
        <f t="shared" ref="X7:X70" si="1">W7/94</f>
        <v>1453.7978723404256</v>
      </c>
    </row>
    <row r="8" spans="1:25">
      <c r="B8" s="158"/>
      <c r="C8" s="121" t="s">
        <v>148</v>
      </c>
      <c r="D8" s="121" t="s">
        <v>422</v>
      </c>
      <c r="E8" s="160">
        <v>758750</v>
      </c>
      <c r="F8" s="160"/>
      <c r="G8" s="160"/>
      <c r="H8" s="160"/>
      <c r="I8" s="160"/>
      <c r="J8" s="160"/>
      <c r="K8" s="160"/>
      <c r="L8" s="160"/>
      <c r="M8" s="160"/>
      <c r="N8" s="160"/>
      <c r="O8" s="160"/>
      <c r="P8" s="160"/>
      <c r="Q8" s="160">
        <v>15000</v>
      </c>
      <c r="R8" s="160"/>
      <c r="S8" s="160"/>
      <c r="T8" s="160"/>
      <c r="U8" s="160"/>
      <c r="V8" s="160"/>
      <c r="W8" s="160">
        <f t="shared" si="0"/>
        <v>0</v>
      </c>
      <c r="X8" s="160">
        <f>W8/94</f>
        <v>0</v>
      </c>
      <c r="Y8" s="161"/>
    </row>
    <row r="9" spans="1:25">
      <c r="B9" s="158"/>
      <c r="C9" s="121" t="s">
        <v>423</v>
      </c>
      <c r="D9" s="121" t="s">
        <v>423</v>
      </c>
      <c r="E9" s="160">
        <v>47000</v>
      </c>
      <c r="F9" s="160">
        <v>47000</v>
      </c>
      <c r="G9" s="160">
        <v>47000</v>
      </c>
      <c r="H9" s="160">
        <v>47000</v>
      </c>
      <c r="I9" s="160">
        <v>28667</v>
      </c>
      <c r="J9" s="160">
        <v>12000</v>
      </c>
      <c r="K9" s="160">
        <v>12000</v>
      </c>
      <c r="L9" s="160">
        <v>12000</v>
      </c>
      <c r="M9" s="160">
        <v>12000</v>
      </c>
      <c r="N9" s="160">
        <v>12000</v>
      </c>
      <c r="O9" s="160">
        <v>12000</v>
      </c>
      <c r="P9" s="160">
        <v>12000</v>
      </c>
      <c r="Q9" s="160"/>
      <c r="R9" s="160">
        <v>20000</v>
      </c>
      <c r="S9" s="160">
        <v>20000</v>
      </c>
      <c r="T9" s="160"/>
      <c r="U9" s="160">
        <v>20000</v>
      </c>
      <c r="V9" s="160">
        <v>20000</v>
      </c>
      <c r="W9" s="160">
        <f t="shared" si="0"/>
        <v>0</v>
      </c>
      <c r="X9" s="160">
        <f t="shared" si="1"/>
        <v>0</v>
      </c>
      <c r="Y9" s="161"/>
    </row>
    <row r="10" spans="1:25">
      <c r="B10" s="158" t="s">
        <v>424</v>
      </c>
      <c r="C10" s="158"/>
      <c r="D10" s="158"/>
      <c r="E10" s="160">
        <v>6479987</v>
      </c>
      <c r="F10" s="160">
        <v>6703209</v>
      </c>
      <c r="G10" s="160">
        <v>6669919</v>
      </c>
      <c r="H10" s="160">
        <v>6629393</v>
      </c>
      <c r="I10" s="160">
        <v>6909004</v>
      </c>
      <c r="J10" s="160">
        <v>7297955</v>
      </c>
      <c r="K10" s="160">
        <v>7669625</v>
      </c>
      <c r="L10" s="160">
        <v>8562192</v>
      </c>
      <c r="M10" s="160">
        <v>8800539</v>
      </c>
      <c r="N10" s="160">
        <v>9469951</v>
      </c>
      <c r="O10" s="160">
        <v>9496424</v>
      </c>
      <c r="P10" s="160">
        <v>9763961</v>
      </c>
      <c r="Q10" s="160">
        <v>9500168</v>
      </c>
      <c r="R10" s="160">
        <v>9468673</v>
      </c>
      <c r="S10" s="160">
        <v>9577264</v>
      </c>
      <c r="T10" s="160">
        <v>9272955</v>
      </c>
      <c r="U10" s="160">
        <v>8826387</v>
      </c>
      <c r="V10" s="160">
        <v>8917626</v>
      </c>
      <c r="W10" s="162">
        <f t="shared" si="0"/>
        <v>-91239</v>
      </c>
      <c r="X10" s="162">
        <f t="shared" si="1"/>
        <v>-970.62765957446811</v>
      </c>
    </row>
    <row r="11" spans="1:25">
      <c r="B11" s="158" t="s">
        <v>425</v>
      </c>
      <c r="C11" s="121" t="s">
        <v>68</v>
      </c>
      <c r="D11" s="121" t="s">
        <v>426</v>
      </c>
      <c r="E11" s="160">
        <v>376923</v>
      </c>
      <c r="F11" s="160">
        <v>376923</v>
      </c>
      <c r="G11" s="160">
        <v>376923</v>
      </c>
      <c r="H11" s="160">
        <v>376923</v>
      </c>
      <c r="I11" s="160">
        <v>376923</v>
      </c>
      <c r="J11" s="160">
        <v>376923</v>
      </c>
      <c r="K11" s="160">
        <v>376923</v>
      </c>
      <c r="L11" s="160">
        <v>376923</v>
      </c>
      <c r="M11" s="160">
        <v>376923</v>
      </c>
      <c r="N11" s="160">
        <v>395769</v>
      </c>
      <c r="O11" s="160">
        <v>395769</v>
      </c>
      <c r="P11" s="160">
        <v>395769</v>
      </c>
      <c r="Q11" s="160">
        <v>395769</v>
      </c>
      <c r="R11" s="160">
        <v>395769</v>
      </c>
      <c r="S11" s="160">
        <v>395769</v>
      </c>
      <c r="T11" s="160">
        <v>395769</v>
      </c>
      <c r="U11" s="160">
        <v>395769</v>
      </c>
      <c r="V11" s="160">
        <v>395769</v>
      </c>
      <c r="W11" s="160">
        <f t="shared" si="0"/>
        <v>0</v>
      </c>
      <c r="X11" s="160">
        <f t="shared" si="1"/>
        <v>0</v>
      </c>
    </row>
    <row r="12" spans="1:25">
      <c r="B12" s="158"/>
      <c r="C12" s="121" t="s">
        <v>72</v>
      </c>
      <c r="D12" s="121" t="s">
        <v>427</v>
      </c>
      <c r="E12" s="160"/>
      <c r="F12" s="160"/>
      <c r="G12" s="160"/>
      <c r="H12" s="160"/>
      <c r="I12" s="160"/>
      <c r="J12" s="160"/>
      <c r="K12" s="160">
        <v>400000</v>
      </c>
      <c r="L12" s="160">
        <v>400000</v>
      </c>
      <c r="M12" s="160">
        <v>400000</v>
      </c>
      <c r="N12" s="160">
        <v>400000</v>
      </c>
      <c r="O12" s="160">
        <v>400000</v>
      </c>
      <c r="P12" s="160">
        <v>400000</v>
      </c>
      <c r="Q12" s="160">
        <v>400000</v>
      </c>
      <c r="R12" s="160">
        <v>400000</v>
      </c>
      <c r="S12" s="160">
        <v>400000</v>
      </c>
      <c r="T12" s="160">
        <v>400000</v>
      </c>
      <c r="U12" s="160">
        <v>400000</v>
      </c>
      <c r="V12" s="160">
        <v>400000</v>
      </c>
      <c r="W12" s="160">
        <f t="shared" si="0"/>
        <v>0</v>
      </c>
      <c r="X12" s="160">
        <f t="shared" si="1"/>
        <v>0</v>
      </c>
    </row>
    <row r="13" spans="1:25">
      <c r="B13" s="158"/>
      <c r="C13" s="121" t="s">
        <v>65</v>
      </c>
      <c r="D13" s="121" t="s">
        <v>422</v>
      </c>
      <c r="E13" s="160"/>
      <c r="F13" s="160"/>
      <c r="G13" s="160"/>
      <c r="H13" s="160"/>
      <c r="I13" s="160"/>
      <c r="J13" s="160"/>
      <c r="K13" s="160"/>
      <c r="L13" s="160"/>
      <c r="M13" s="160"/>
      <c r="N13" s="160"/>
      <c r="O13" s="160"/>
      <c r="P13" s="160"/>
      <c r="Q13" s="160"/>
      <c r="R13" s="160">
        <v>373</v>
      </c>
      <c r="S13" s="160"/>
      <c r="T13" s="160"/>
      <c r="U13" s="160"/>
      <c r="V13" s="160"/>
      <c r="W13" s="160">
        <f t="shared" si="0"/>
        <v>0</v>
      </c>
      <c r="X13" s="160">
        <f t="shared" si="1"/>
        <v>0</v>
      </c>
    </row>
    <row r="14" spans="1:25">
      <c r="B14" s="158"/>
      <c r="C14" s="121"/>
      <c r="D14" s="121" t="s">
        <v>428</v>
      </c>
      <c r="E14" s="160">
        <v>180904.38</v>
      </c>
      <c r="F14" s="160">
        <v>217106.47999999998</v>
      </c>
      <c r="G14" s="160">
        <v>182837.26</v>
      </c>
      <c r="H14" s="160">
        <v>237374.54</v>
      </c>
      <c r="I14" s="160">
        <v>205380.36</v>
      </c>
      <c r="J14" s="160">
        <v>275963.01999999996</v>
      </c>
      <c r="K14" s="160">
        <v>222710.11</v>
      </c>
      <c r="L14" s="160">
        <v>282109.82999999996</v>
      </c>
      <c r="M14" s="160">
        <v>219561</v>
      </c>
      <c r="N14" s="160">
        <v>278072</v>
      </c>
      <c r="O14" s="160">
        <v>200679</v>
      </c>
      <c r="P14" s="160">
        <v>246415</v>
      </c>
      <c r="Q14" s="160">
        <v>180086</v>
      </c>
      <c r="R14" s="160">
        <v>212225</v>
      </c>
      <c r="S14" s="160">
        <v>213905.73</v>
      </c>
      <c r="T14" s="160">
        <v>224144</v>
      </c>
      <c r="U14" s="160">
        <v>205772</v>
      </c>
      <c r="V14" s="160">
        <v>271740</v>
      </c>
      <c r="W14" s="160">
        <f t="shared" si="0"/>
        <v>-65968</v>
      </c>
      <c r="X14" s="160">
        <f t="shared" si="1"/>
        <v>-701.78723404255322</v>
      </c>
    </row>
    <row r="15" spans="1:25">
      <c r="B15" s="158"/>
      <c r="C15" s="121"/>
      <c r="D15" s="121" t="s">
        <v>427</v>
      </c>
      <c r="E15" s="160"/>
      <c r="F15" s="160"/>
      <c r="G15" s="160"/>
      <c r="H15" s="160"/>
      <c r="I15" s="160"/>
      <c r="J15" s="160"/>
      <c r="K15" s="160"/>
      <c r="L15" s="160">
        <v>15396</v>
      </c>
      <c r="M15" s="160">
        <v>33468</v>
      </c>
      <c r="N15" s="160"/>
      <c r="O15" s="160">
        <v>47724</v>
      </c>
      <c r="P15" s="160">
        <v>19848</v>
      </c>
      <c r="Q15" s="160"/>
      <c r="R15" s="160">
        <v>69324</v>
      </c>
      <c r="S15" s="160">
        <v>32304</v>
      </c>
      <c r="T15" s="160">
        <v>50052</v>
      </c>
      <c r="U15" s="160">
        <v>42360</v>
      </c>
      <c r="V15" s="160">
        <v>54060</v>
      </c>
      <c r="W15" s="160">
        <f t="shared" si="0"/>
        <v>-11700</v>
      </c>
      <c r="X15" s="160">
        <f t="shared" si="1"/>
        <v>-124.46808510638297</v>
      </c>
    </row>
    <row r="16" spans="1:25">
      <c r="B16" s="158"/>
      <c r="C16" s="121"/>
      <c r="D16" s="121" t="s">
        <v>429</v>
      </c>
      <c r="E16" s="160"/>
      <c r="F16" s="160"/>
      <c r="G16" s="160"/>
      <c r="H16" s="160"/>
      <c r="I16" s="160"/>
      <c r="J16" s="160"/>
      <c r="K16" s="160"/>
      <c r="L16" s="160"/>
      <c r="M16" s="160"/>
      <c r="N16" s="160"/>
      <c r="O16" s="160"/>
      <c r="P16" s="160"/>
      <c r="Q16" s="160">
        <v>974</v>
      </c>
      <c r="R16" s="160"/>
      <c r="S16" s="160"/>
      <c r="T16" s="160"/>
      <c r="U16" s="160">
        <v>4907</v>
      </c>
      <c r="V16" s="160"/>
      <c r="W16" s="160">
        <f t="shared" si="0"/>
        <v>4907</v>
      </c>
      <c r="X16" s="160">
        <f t="shared" si="1"/>
        <v>52.202127659574465</v>
      </c>
    </row>
    <row r="17" spans="2:24">
      <c r="B17" s="158"/>
      <c r="C17" s="121" t="s">
        <v>69</v>
      </c>
      <c r="D17" s="121" t="s">
        <v>430</v>
      </c>
      <c r="E17" s="160">
        <v>119245</v>
      </c>
      <c r="F17" s="160">
        <v>119485</v>
      </c>
      <c r="G17" s="160">
        <v>119470</v>
      </c>
      <c r="H17" s="160">
        <v>120435</v>
      </c>
      <c r="I17" s="160">
        <v>136370</v>
      </c>
      <c r="J17" s="160">
        <v>140575</v>
      </c>
      <c r="K17" s="160">
        <v>151460</v>
      </c>
      <c r="L17" s="160">
        <v>150740</v>
      </c>
      <c r="M17" s="160">
        <v>152855.09</v>
      </c>
      <c r="N17" s="160">
        <v>159250.09</v>
      </c>
      <c r="O17" s="160">
        <v>168956.09</v>
      </c>
      <c r="P17" s="160">
        <v>181117.09</v>
      </c>
      <c r="Q17" s="160">
        <v>189327.1</v>
      </c>
      <c r="R17" s="160">
        <v>190241.09</v>
      </c>
      <c r="S17" s="160">
        <v>175436.09000000003</v>
      </c>
      <c r="T17" s="160">
        <v>180696.09000000003</v>
      </c>
      <c r="U17" s="160">
        <v>182988.09</v>
      </c>
      <c r="V17" s="160">
        <v>192532.09</v>
      </c>
      <c r="W17" s="160">
        <f t="shared" si="0"/>
        <v>-9544</v>
      </c>
      <c r="X17" s="160">
        <f t="shared" si="1"/>
        <v>-101.53191489361703</v>
      </c>
    </row>
    <row r="18" spans="2:24">
      <c r="B18" s="158"/>
      <c r="C18" s="121" t="s">
        <v>67</v>
      </c>
      <c r="D18" s="121" t="s">
        <v>426</v>
      </c>
      <c r="E18" s="160">
        <v>65105</v>
      </c>
      <c r="F18" s="160">
        <v>65105</v>
      </c>
      <c r="G18" s="160">
        <v>65105</v>
      </c>
      <c r="H18" s="160">
        <v>65105</v>
      </c>
      <c r="I18" s="160">
        <v>65105</v>
      </c>
      <c r="J18" s="160">
        <v>65105</v>
      </c>
      <c r="K18" s="160">
        <v>65105</v>
      </c>
      <c r="L18" s="160">
        <v>65105</v>
      </c>
      <c r="M18" s="160">
        <v>65105</v>
      </c>
      <c r="N18" s="160">
        <v>68360</v>
      </c>
      <c r="O18" s="160">
        <v>68360</v>
      </c>
      <c r="P18" s="160">
        <v>68360</v>
      </c>
      <c r="Q18" s="160">
        <v>68360</v>
      </c>
      <c r="R18" s="160">
        <v>68360</v>
      </c>
      <c r="S18" s="160">
        <v>68360</v>
      </c>
      <c r="T18" s="160">
        <v>68360</v>
      </c>
      <c r="U18" s="160">
        <v>68360</v>
      </c>
      <c r="V18" s="160">
        <v>68360</v>
      </c>
      <c r="W18" s="160">
        <f t="shared" si="0"/>
        <v>0</v>
      </c>
      <c r="X18" s="160">
        <f t="shared" si="1"/>
        <v>0</v>
      </c>
    </row>
    <row r="19" spans="2:24">
      <c r="B19" s="158"/>
      <c r="C19" s="121" t="s">
        <v>71</v>
      </c>
      <c r="D19" s="121" t="s">
        <v>431</v>
      </c>
      <c r="E19" s="160">
        <v>25000</v>
      </c>
      <c r="F19" s="160">
        <v>25000</v>
      </c>
      <c r="G19" s="160">
        <v>25000</v>
      </c>
      <c r="H19" s="160">
        <v>25000</v>
      </c>
      <c r="I19" s="160">
        <v>26250</v>
      </c>
      <c r="J19" s="160">
        <v>26250</v>
      </c>
      <c r="K19" s="160">
        <v>26250</v>
      </c>
      <c r="L19" s="160">
        <v>26250</v>
      </c>
      <c r="M19" s="160">
        <v>26250</v>
      </c>
      <c r="N19" s="160">
        <v>26250</v>
      </c>
      <c r="O19" s="160">
        <v>26250</v>
      </c>
      <c r="P19" s="160">
        <v>26250</v>
      </c>
      <c r="Q19" s="160">
        <v>26250</v>
      </c>
      <c r="R19" s="160">
        <v>26250</v>
      </c>
      <c r="S19" s="160">
        <v>26250</v>
      </c>
      <c r="T19" s="160">
        <v>26250</v>
      </c>
      <c r="U19" s="160">
        <v>27562</v>
      </c>
      <c r="V19" s="160">
        <v>27563</v>
      </c>
      <c r="W19" s="160">
        <f t="shared" si="0"/>
        <v>-1</v>
      </c>
      <c r="X19" s="160">
        <f t="shared" si="1"/>
        <v>-1.0638297872340425E-2</v>
      </c>
    </row>
    <row r="20" spans="2:24">
      <c r="B20" s="158"/>
      <c r="C20" s="121" t="s">
        <v>70</v>
      </c>
      <c r="D20" s="121" t="s">
        <v>429</v>
      </c>
      <c r="E20" s="160"/>
      <c r="F20" s="160"/>
      <c r="G20" s="160"/>
      <c r="H20" s="160"/>
      <c r="I20" s="160"/>
      <c r="J20" s="160"/>
      <c r="K20" s="160"/>
      <c r="L20" s="160"/>
      <c r="M20" s="160"/>
      <c r="N20" s="160"/>
      <c r="O20" s="160">
        <v>25000</v>
      </c>
      <c r="P20" s="160">
        <v>25000</v>
      </c>
      <c r="Q20" s="160">
        <v>25000</v>
      </c>
      <c r="R20" s="160">
        <v>25000</v>
      </c>
      <c r="S20" s="160">
        <v>25000</v>
      </c>
      <c r="T20" s="160">
        <v>25000</v>
      </c>
      <c r="U20" s="160">
        <v>25000</v>
      </c>
      <c r="V20" s="160">
        <v>25000</v>
      </c>
      <c r="W20" s="160">
        <f t="shared" si="0"/>
        <v>0</v>
      </c>
      <c r="X20" s="160">
        <f t="shared" si="1"/>
        <v>0</v>
      </c>
    </row>
    <row r="21" spans="2:24">
      <c r="B21" s="158"/>
      <c r="C21" s="121" t="s">
        <v>66</v>
      </c>
      <c r="D21" s="121" t="s">
        <v>432</v>
      </c>
      <c r="E21" s="160"/>
      <c r="F21" s="160"/>
      <c r="G21" s="160"/>
      <c r="H21" s="160"/>
      <c r="I21" s="160"/>
      <c r="J21" s="160">
        <v>7000</v>
      </c>
      <c r="K21" s="160"/>
      <c r="L21" s="160"/>
      <c r="M21" s="160"/>
      <c r="N21" s="160"/>
      <c r="O21" s="160"/>
      <c r="P21" s="160"/>
      <c r="Q21" s="160"/>
      <c r="R21" s="160"/>
      <c r="S21" s="160"/>
      <c r="T21" s="160"/>
      <c r="U21" s="160"/>
      <c r="V21" s="160"/>
      <c r="W21" s="160">
        <f t="shared" si="0"/>
        <v>0</v>
      </c>
      <c r="X21" s="160">
        <f t="shared" si="1"/>
        <v>0</v>
      </c>
    </row>
    <row r="22" spans="2:24">
      <c r="B22" s="158" t="s">
        <v>433</v>
      </c>
      <c r="C22" s="158"/>
      <c r="D22" s="158"/>
      <c r="E22" s="160">
        <v>767177.38</v>
      </c>
      <c r="F22" s="160">
        <v>803619.48</v>
      </c>
      <c r="G22" s="160">
        <v>769335.26</v>
      </c>
      <c r="H22" s="160">
        <v>824837.54</v>
      </c>
      <c r="I22" s="160">
        <v>810028.36</v>
      </c>
      <c r="J22" s="160">
        <v>891816.02</v>
      </c>
      <c r="K22" s="160">
        <v>1242448.1099999999</v>
      </c>
      <c r="L22" s="160">
        <v>1316523.83</v>
      </c>
      <c r="M22" s="160">
        <v>1274162.0899999999</v>
      </c>
      <c r="N22" s="160">
        <v>1327701.0899999999</v>
      </c>
      <c r="O22" s="160">
        <v>1332738.0899999999</v>
      </c>
      <c r="P22" s="160">
        <v>1362759.0899999999</v>
      </c>
      <c r="Q22" s="160">
        <v>1285766.1000000001</v>
      </c>
      <c r="R22" s="160">
        <v>1387542.0899999999</v>
      </c>
      <c r="S22" s="160">
        <v>1337024.82</v>
      </c>
      <c r="T22" s="160">
        <v>1370271.09</v>
      </c>
      <c r="U22" s="160">
        <v>1352718.0899999999</v>
      </c>
      <c r="V22" s="160">
        <v>1435024.0899999999</v>
      </c>
      <c r="W22" s="162">
        <f t="shared" si="0"/>
        <v>-82306</v>
      </c>
      <c r="X22" s="162">
        <f t="shared" si="1"/>
        <v>-875.59574468085111</v>
      </c>
    </row>
    <row r="23" spans="2:24">
      <c r="B23" s="158" t="s">
        <v>434</v>
      </c>
      <c r="C23" s="121" t="s">
        <v>78</v>
      </c>
      <c r="D23" s="121" t="s">
        <v>435</v>
      </c>
      <c r="E23" s="160">
        <v>5160.0599999999995</v>
      </c>
      <c r="F23" s="160">
        <v>5160.0599999999995</v>
      </c>
      <c r="G23" s="160">
        <v>6659.0599999999995</v>
      </c>
      <c r="H23" s="160">
        <v>6659.0599999999995</v>
      </c>
      <c r="I23" s="160">
        <v>6659.0599999999995</v>
      </c>
      <c r="J23" s="160">
        <v>6659.0599999999995</v>
      </c>
      <c r="K23" s="160">
        <v>6659.0599999999995</v>
      </c>
      <c r="L23" s="160">
        <v>10243.06</v>
      </c>
      <c r="M23" s="160">
        <v>10041.06</v>
      </c>
      <c r="N23" s="160">
        <v>10041.06</v>
      </c>
      <c r="O23" s="160">
        <v>10041.06</v>
      </c>
      <c r="P23" s="160">
        <v>10041.06</v>
      </c>
      <c r="Q23" s="160">
        <v>10041.06</v>
      </c>
      <c r="R23" s="160">
        <v>10041.06</v>
      </c>
      <c r="S23" s="160">
        <v>11256.06</v>
      </c>
      <c r="T23" s="160">
        <v>11256.06</v>
      </c>
      <c r="U23" s="160">
        <v>2367</v>
      </c>
      <c r="V23" s="160">
        <v>2367</v>
      </c>
      <c r="W23" s="160">
        <f t="shared" si="0"/>
        <v>0</v>
      </c>
      <c r="X23" s="160">
        <f t="shared" si="1"/>
        <v>0</v>
      </c>
    </row>
    <row r="24" spans="2:24">
      <c r="B24" s="158"/>
      <c r="C24" s="121"/>
      <c r="D24" s="121" t="s">
        <v>436</v>
      </c>
      <c r="E24" s="160">
        <v>45000</v>
      </c>
      <c r="F24" s="160">
        <v>50000</v>
      </c>
      <c r="G24" s="160">
        <v>50000</v>
      </c>
      <c r="H24" s="160">
        <v>50000</v>
      </c>
      <c r="I24" s="160">
        <v>49999</v>
      </c>
      <c r="J24" s="160">
        <v>50000</v>
      </c>
      <c r="K24" s="160">
        <v>50000</v>
      </c>
      <c r="L24" s="160">
        <v>50000</v>
      </c>
      <c r="M24" s="160">
        <v>56153</v>
      </c>
      <c r="N24" s="160"/>
      <c r="O24" s="160">
        <v>50000</v>
      </c>
      <c r="P24" s="160">
        <v>50000</v>
      </c>
      <c r="Q24" s="160">
        <v>32000</v>
      </c>
      <c r="R24" s="160">
        <v>7950</v>
      </c>
      <c r="S24" s="160"/>
      <c r="T24" s="160"/>
      <c r="U24" s="160"/>
      <c r="V24" s="160"/>
      <c r="W24" s="160">
        <f t="shared" si="0"/>
        <v>0</v>
      </c>
      <c r="X24" s="160">
        <f t="shared" si="1"/>
        <v>0</v>
      </c>
    </row>
    <row r="25" spans="2:24">
      <c r="B25" s="158"/>
      <c r="C25" s="121"/>
      <c r="D25" s="121" t="s">
        <v>437</v>
      </c>
      <c r="E25" s="160">
        <v>147510</v>
      </c>
      <c r="F25" s="160">
        <v>18378</v>
      </c>
      <c r="G25" s="160"/>
      <c r="H25" s="160"/>
      <c r="I25" s="160"/>
      <c r="J25" s="160"/>
      <c r="K25" s="160"/>
      <c r="L25" s="160"/>
      <c r="M25" s="160"/>
      <c r="N25" s="160"/>
      <c r="O25" s="160"/>
      <c r="P25" s="160"/>
      <c r="Q25" s="160"/>
      <c r="R25" s="160"/>
      <c r="S25" s="160"/>
      <c r="T25" s="160"/>
      <c r="U25" s="160"/>
      <c r="V25" s="160"/>
      <c r="W25" s="160">
        <f t="shared" si="0"/>
        <v>0</v>
      </c>
      <c r="X25" s="160">
        <f t="shared" si="1"/>
        <v>0</v>
      </c>
    </row>
    <row r="26" spans="2:24">
      <c r="B26" s="158"/>
      <c r="C26" s="121"/>
      <c r="D26" s="121" t="s">
        <v>438</v>
      </c>
      <c r="E26" s="160"/>
      <c r="F26" s="160"/>
      <c r="G26" s="160"/>
      <c r="H26" s="160"/>
      <c r="I26" s="160"/>
      <c r="J26" s="160"/>
      <c r="K26" s="160"/>
      <c r="L26" s="160"/>
      <c r="M26" s="160"/>
      <c r="N26" s="160"/>
      <c r="O26" s="160">
        <v>5990</v>
      </c>
      <c r="P26" s="160"/>
      <c r="Q26" s="160"/>
      <c r="R26" s="160"/>
      <c r="S26" s="160"/>
      <c r="T26" s="160"/>
      <c r="U26" s="160"/>
      <c r="V26" s="160"/>
      <c r="W26" s="160">
        <f t="shared" si="0"/>
        <v>0</v>
      </c>
      <c r="X26" s="160">
        <f t="shared" si="1"/>
        <v>0</v>
      </c>
    </row>
    <row r="27" spans="2:24">
      <c r="B27" s="158"/>
      <c r="C27" s="121"/>
      <c r="D27" s="121" t="s">
        <v>439</v>
      </c>
      <c r="E27" s="160">
        <v>6299.14</v>
      </c>
      <c r="F27" s="160">
        <v>6299.14</v>
      </c>
      <c r="G27" s="160">
        <v>9446.74</v>
      </c>
      <c r="H27" s="160">
        <v>6299.14</v>
      </c>
      <c r="I27" s="160">
        <v>6299.14</v>
      </c>
      <c r="J27" s="160">
        <v>6299.14</v>
      </c>
      <c r="K27" s="160">
        <v>6299.14</v>
      </c>
      <c r="L27" s="160">
        <v>6299.14</v>
      </c>
      <c r="M27" s="160">
        <v>6299.14</v>
      </c>
      <c r="N27" s="160">
        <v>6299.14</v>
      </c>
      <c r="O27" s="160">
        <v>6299.14</v>
      </c>
      <c r="P27" s="160">
        <v>6299.14</v>
      </c>
      <c r="Q27" s="160">
        <v>6299.14</v>
      </c>
      <c r="R27" s="160"/>
      <c r="S27" s="160">
        <v>21899.870000000003</v>
      </c>
      <c r="T27" s="160">
        <v>9536.2000000000007</v>
      </c>
      <c r="U27" s="160"/>
      <c r="V27" s="160"/>
      <c r="W27" s="160">
        <f t="shared" si="0"/>
        <v>0</v>
      </c>
      <c r="X27" s="160">
        <f t="shared" si="1"/>
        <v>0</v>
      </c>
    </row>
    <row r="28" spans="2:24">
      <c r="B28" s="158"/>
      <c r="C28" s="121"/>
      <c r="D28" s="121" t="s">
        <v>440</v>
      </c>
      <c r="E28" s="160"/>
      <c r="F28" s="160">
        <v>1068</v>
      </c>
      <c r="G28" s="160"/>
      <c r="H28" s="160"/>
      <c r="I28" s="160"/>
      <c r="J28" s="160"/>
      <c r="K28" s="160"/>
      <c r="L28" s="160"/>
      <c r="M28" s="160"/>
      <c r="N28" s="160"/>
      <c r="O28" s="160"/>
      <c r="P28" s="160"/>
      <c r="Q28" s="160"/>
      <c r="R28" s="160"/>
      <c r="S28" s="160"/>
      <c r="T28" s="160"/>
      <c r="U28" s="160"/>
      <c r="V28" s="160"/>
      <c r="W28" s="160">
        <f t="shared" si="0"/>
        <v>0</v>
      </c>
      <c r="X28" s="160">
        <f t="shared" si="1"/>
        <v>0</v>
      </c>
    </row>
    <row r="29" spans="2:24">
      <c r="B29" s="158"/>
      <c r="C29" s="121"/>
      <c r="D29" s="121" t="s">
        <v>78</v>
      </c>
      <c r="E29" s="160">
        <v>18468</v>
      </c>
      <c r="F29" s="160">
        <v>18468</v>
      </c>
      <c r="G29" s="160">
        <v>18468</v>
      </c>
      <c r="H29" s="160">
        <v>18468</v>
      </c>
      <c r="I29" s="160">
        <v>18468</v>
      </c>
      <c r="J29" s="160">
        <v>21097</v>
      </c>
      <c r="K29" s="160">
        <v>24486</v>
      </c>
      <c r="L29" s="160">
        <v>28554</v>
      </c>
      <c r="M29" s="160">
        <v>37971</v>
      </c>
      <c r="N29" s="160">
        <v>38106</v>
      </c>
      <c r="O29" s="160">
        <v>41354</v>
      </c>
      <c r="P29" s="160">
        <v>41354</v>
      </c>
      <c r="Q29" s="160">
        <v>42647</v>
      </c>
      <c r="R29" s="160">
        <v>42870</v>
      </c>
      <c r="S29" s="160">
        <v>43953</v>
      </c>
      <c r="T29" s="160">
        <v>48603</v>
      </c>
      <c r="U29" s="160">
        <v>48603</v>
      </c>
      <c r="V29" s="160">
        <v>74276</v>
      </c>
      <c r="W29" s="160">
        <f t="shared" si="0"/>
        <v>-25673</v>
      </c>
      <c r="X29" s="160">
        <f t="shared" si="1"/>
        <v>-273.11702127659572</v>
      </c>
    </row>
    <row r="30" spans="2:24">
      <c r="B30" s="158"/>
      <c r="C30" s="121"/>
      <c r="D30" s="121" t="s">
        <v>441</v>
      </c>
      <c r="E30" s="160"/>
      <c r="F30" s="160"/>
      <c r="G30" s="160"/>
      <c r="H30" s="160"/>
      <c r="I30" s="160"/>
      <c r="J30" s="160"/>
      <c r="K30" s="160"/>
      <c r="L30" s="160"/>
      <c r="M30" s="160"/>
      <c r="N30" s="160"/>
      <c r="O30" s="160">
        <v>19820.54</v>
      </c>
      <c r="P30" s="160"/>
      <c r="Q30" s="160"/>
      <c r="R30" s="160"/>
      <c r="S30" s="160"/>
      <c r="T30" s="160"/>
      <c r="U30" s="160"/>
      <c r="V30" s="160"/>
      <c r="W30" s="160">
        <f t="shared" si="0"/>
        <v>0</v>
      </c>
      <c r="X30" s="160">
        <f t="shared" si="1"/>
        <v>0</v>
      </c>
    </row>
    <row r="31" spans="2:24">
      <c r="B31" s="158"/>
      <c r="C31" s="121"/>
      <c r="D31" s="121" t="s">
        <v>442</v>
      </c>
      <c r="E31" s="160"/>
      <c r="F31" s="160"/>
      <c r="G31" s="160"/>
      <c r="H31" s="160"/>
      <c r="I31" s="160"/>
      <c r="J31" s="160"/>
      <c r="K31" s="160"/>
      <c r="L31" s="160"/>
      <c r="M31" s="160"/>
      <c r="N31" s="160"/>
      <c r="O31" s="160"/>
      <c r="P31" s="160"/>
      <c r="Q31" s="160"/>
      <c r="R31" s="160"/>
      <c r="S31" s="160"/>
      <c r="T31" s="160"/>
      <c r="U31" s="160">
        <v>1916.04</v>
      </c>
      <c r="V31" s="160">
        <v>26433.590000000004</v>
      </c>
      <c r="W31" s="160">
        <f t="shared" si="0"/>
        <v>-24517.550000000003</v>
      </c>
      <c r="X31" s="160">
        <f t="shared" si="1"/>
        <v>-260.82500000000005</v>
      </c>
    </row>
    <row r="32" spans="2:24">
      <c r="B32" s="158"/>
      <c r="C32" s="121" t="s">
        <v>79</v>
      </c>
      <c r="D32" s="121" t="s">
        <v>79</v>
      </c>
      <c r="E32" s="160">
        <v>20000</v>
      </c>
      <c r="F32" s="160">
        <v>27416</v>
      </c>
      <c r="G32" s="160">
        <v>27416</v>
      </c>
      <c r="H32" s="160">
        <v>33750</v>
      </c>
      <c r="I32" s="160">
        <v>33750</v>
      </c>
      <c r="J32" s="160">
        <v>33750</v>
      </c>
      <c r="K32" s="160">
        <v>33750</v>
      </c>
      <c r="L32" s="160">
        <v>42917</v>
      </c>
      <c r="M32" s="160">
        <v>42917</v>
      </c>
      <c r="N32" s="160">
        <v>52084</v>
      </c>
      <c r="O32" s="160">
        <v>42917</v>
      </c>
      <c r="P32" s="160">
        <v>42917</v>
      </c>
      <c r="Q32" s="160">
        <v>42917</v>
      </c>
      <c r="R32" s="160">
        <v>42917</v>
      </c>
      <c r="S32" s="160">
        <v>42917</v>
      </c>
      <c r="T32" s="160">
        <v>42917</v>
      </c>
      <c r="U32" s="160">
        <v>42917</v>
      </c>
      <c r="V32" s="160">
        <v>42916</v>
      </c>
      <c r="W32" s="160">
        <f t="shared" si="0"/>
        <v>1</v>
      </c>
      <c r="X32" s="160">
        <f t="shared" si="1"/>
        <v>1.0638297872340425E-2</v>
      </c>
    </row>
    <row r="33" spans="2:24">
      <c r="B33" s="158"/>
      <c r="C33" s="121"/>
      <c r="D33" s="121" t="s">
        <v>443</v>
      </c>
      <c r="E33" s="160"/>
      <c r="F33" s="160"/>
      <c r="G33" s="160"/>
      <c r="H33" s="160"/>
      <c r="I33" s="160">
        <v>3000</v>
      </c>
      <c r="J33" s="160"/>
      <c r="K33" s="160"/>
      <c r="L33" s="160"/>
      <c r="M33" s="160"/>
      <c r="N33" s="160"/>
      <c r="O33" s="160"/>
      <c r="P33" s="160"/>
      <c r="Q33" s="160"/>
      <c r="R33" s="160"/>
      <c r="S33" s="160"/>
      <c r="T33" s="160"/>
      <c r="U33" s="160"/>
      <c r="V33" s="160"/>
      <c r="W33" s="160">
        <f t="shared" si="0"/>
        <v>0</v>
      </c>
      <c r="X33" s="160">
        <f t="shared" si="1"/>
        <v>0</v>
      </c>
    </row>
    <row r="34" spans="2:24">
      <c r="B34" s="158"/>
      <c r="C34" s="121"/>
      <c r="D34" s="121" t="s">
        <v>444</v>
      </c>
      <c r="E34" s="160"/>
      <c r="F34" s="160"/>
      <c r="G34" s="160"/>
      <c r="H34" s="160"/>
      <c r="I34" s="160"/>
      <c r="J34" s="160"/>
      <c r="K34" s="160"/>
      <c r="L34" s="160">
        <v>5000</v>
      </c>
      <c r="M34" s="160"/>
      <c r="N34" s="160"/>
      <c r="O34" s="160"/>
      <c r="P34" s="160"/>
      <c r="Q34" s="160"/>
      <c r="R34" s="160"/>
      <c r="S34" s="160"/>
      <c r="T34" s="160"/>
      <c r="U34" s="160"/>
      <c r="V34" s="160"/>
      <c r="W34" s="160">
        <f t="shared" si="0"/>
        <v>0</v>
      </c>
      <c r="X34" s="160">
        <f t="shared" si="1"/>
        <v>0</v>
      </c>
    </row>
    <row r="35" spans="2:24">
      <c r="B35" s="158"/>
      <c r="C35" s="121"/>
      <c r="D35" s="121" t="s">
        <v>445</v>
      </c>
      <c r="E35" s="160"/>
      <c r="F35" s="160"/>
      <c r="G35" s="160"/>
      <c r="H35" s="160"/>
      <c r="I35" s="160"/>
      <c r="J35" s="160"/>
      <c r="K35" s="160"/>
      <c r="L35" s="160"/>
      <c r="M35" s="160"/>
      <c r="N35" s="160"/>
      <c r="O35" s="160"/>
      <c r="P35" s="160"/>
      <c r="Q35" s="160"/>
      <c r="R35" s="160"/>
      <c r="S35" s="160">
        <v>1673.76</v>
      </c>
      <c r="T35" s="160">
        <v>1179</v>
      </c>
      <c r="U35" s="160">
        <v>1149.52</v>
      </c>
      <c r="V35" s="160">
        <v>1616.37</v>
      </c>
      <c r="W35" s="160">
        <f t="shared" si="0"/>
        <v>-466.84999999999991</v>
      </c>
      <c r="X35" s="160">
        <f t="shared" si="1"/>
        <v>-4.9664893617021271</v>
      </c>
    </row>
    <row r="36" spans="2:24">
      <c r="B36" s="158"/>
      <c r="C36" s="121"/>
      <c r="D36" s="121" t="s">
        <v>446</v>
      </c>
      <c r="E36" s="160"/>
      <c r="F36" s="160"/>
      <c r="G36" s="160"/>
      <c r="H36" s="160"/>
      <c r="I36" s="160"/>
      <c r="J36" s="160"/>
      <c r="K36" s="160"/>
      <c r="L36" s="160"/>
      <c r="M36" s="160"/>
      <c r="N36" s="160"/>
      <c r="O36" s="160"/>
      <c r="P36" s="160"/>
      <c r="Q36" s="160"/>
      <c r="R36" s="160"/>
      <c r="S36" s="160"/>
      <c r="T36" s="160"/>
      <c r="U36" s="160">
        <v>20750</v>
      </c>
      <c r="V36" s="160"/>
      <c r="W36" s="160">
        <f t="shared" si="0"/>
        <v>20750</v>
      </c>
      <c r="X36" s="160">
        <f t="shared" si="1"/>
        <v>220.74468085106383</v>
      </c>
    </row>
    <row r="37" spans="2:24">
      <c r="B37" s="158"/>
      <c r="C37" s="121" t="s">
        <v>88</v>
      </c>
      <c r="D37" s="121" t="s">
        <v>447</v>
      </c>
      <c r="E37" s="160"/>
      <c r="F37" s="160"/>
      <c r="G37" s="160"/>
      <c r="H37" s="160"/>
      <c r="I37" s="160"/>
      <c r="J37" s="160"/>
      <c r="K37" s="160"/>
      <c r="L37" s="160">
        <v>1936</v>
      </c>
      <c r="M37" s="160">
        <v>15000</v>
      </c>
      <c r="N37" s="160">
        <v>15000</v>
      </c>
      <c r="O37" s="160">
        <v>15000</v>
      </c>
      <c r="P37" s="160">
        <v>23241.77</v>
      </c>
      <c r="Q37" s="160">
        <v>32542.65</v>
      </c>
      <c r="R37" s="160">
        <v>33095.869999999995</v>
      </c>
      <c r="S37" s="160">
        <v>64203.880000000005</v>
      </c>
      <c r="T37" s="160">
        <v>15000</v>
      </c>
      <c r="U37" s="160">
        <v>39529.520000000004</v>
      </c>
      <c r="V37" s="160">
        <v>74866</v>
      </c>
      <c r="W37" s="160">
        <f t="shared" si="0"/>
        <v>-35336.479999999996</v>
      </c>
      <c r="X37" s="160">
        <f t="shared" si="1"/>
        <v>-375.91999999999996</v>
      </c>
    </row>
    <row r="38" spans="2:24">
      <c r="B38" s="158"/>
      <c r="C38" s="121"/>
      <c r="D38" s="121" t="s">
        <v>422</v>
      </c>
      <c r="E38" s="160"/>
      <c r="F38" s="160"/>
      <c r="G38" s="160"/>
      <c r="H38" s="160"/>
      <c r="I38" s="160"/>
      <c r="J38" s="160"/>
      <c r="K38" s="160"/>
      <c r="L38" s="160"/>
      <c r="M38" s="160"/>
      <c r="N38" s="160">
        <v>20997</v>
      </c>
      <c r="O38" s="160"/>
      <c r="P38" s="160"/>
      <c r="Q38" s="160"/>
      <c r="R38" s="160"/>
      <c r="S38" s="160"/>
      <c r="T38" s="160"/>
      <c r="U38" s="160"/>
      <c r="V38" s="160"/>
      <c r="W38" s="160">
        <f t="shared" si="0"/>
        <v>0</v>
      </c>
      <c r="X38" s="160">
        <f t="shared" si="1"/>
        <v>0</v>
      </c>
    </row>
    <row r="39" spans="2:24">
      <c r="B39" s="158"/>
      <c r="C39" s="121"/>
      <c r="D39" s="121" t="s">
        <v>448</v>
      </c>
      <c r="E39" s="160"/>
      <c r="F39" s="160"/>
      <c r="G39" s="160">
        <v>55800</v>
      </c>
      <c r="H39" s="160"/>
      <c r="I39" s="160"/>
      <c r="J39" s="160"/>
      <c r="K39" s="160"/>
      <c r="L39" s="160"/>
      <c r="M39" s="160"/>
      <c r="N39" s="160"/>
      <c r="O39" s="160"/>
      <c r="P39" s="160"/>
      <c r="Q39" s="160"/>
      <c r="R39" s="160"/>
      <c r="S39" s="160">
        <v>55800</v>
      </c>
      <c r="T39" s="160"/>
      <c r="U39" s="160"/>
      <c r="V39" s="160"/>
      <c r="W39" s="160">
        <f t="shared" si="0"/>
        <v>0</v>
      </c>
      <c r="X39" s="160">
        <f t="shared" si="1"/>
        <v>0</v>
      </c>
    </row>
    <row r="40" spans="2:24">
      <c r="B40" s="158"/>
      <c r="C40" s="121"/>
      <c r="D40" s="121" t="s">
        <v>449</v>
      </c>
      <c r="E40" s="160"/>
      <c r="F40" s="160"/>
      <c r="G40" s="160"/>
      <c r="H40" s="160"/>
      <c r="I40" s="160"/>
      <c r="J40" s="160"/>
      <c r="K40" s="160"/>
      <c r="L40" s="160"/>
      <c r="M40" s="160"/>
      <c r="N40" s="160"/>
      <c r="O40" s="160"/>
      <c r="P40" s="160"/>
      <c r="Q40" s="160">
        <v>967.34</v>
      </c>
      <c r="R40" s="160"/>
      <c r="S40" s="160"/>
      <c r="T40" s="160"/>
      <c r="U40" s="160"/>
      <c r="V40" s="160"/>
      <c r="W40" s="160">
        <f t="shared" si="0"/>
        <v>0</v>
      </c>
      <c r="X40" s="160">
        <f t="shared" si="1"/>
        <v>0</v>
      </c>
    </row>
    <row r="41" spans="2:24">
      <c r="B41" s="158"/>
      <c r="C41" s="121"/>
      <c r="D41" s="121" t="s">
        <v>88</v>
      </c>
      <c r="E41" s="160">
        <v>1000</v>
      </c>
      <c r="F41" s="160">
        <v>1000</v>
      </c>
      <c r="G41" s="160">
        <v>1000</v>
      </c>
      <c r="H41" s="160">
        <v>1000</v>
      </c>
      <c r="I41" s="160">
        <v>1000</v>
      </c>
      <c r="J41" s="160">
        <v>1000</v>
      </c>
      <c r="K41" s="160">
        <v>1000</v>
      </c>
      <c r="L41" s="160">
        <v>1000</v>
      </c>
      <c r="M41" s="160">
        <v>1000</v>
      </c>
      <c r="N41" s="160">
        <v>1000</v>
      </c>
      <c r="O41" s="160">
        <v>1000</v>
      </c>
      <c r="P41" s="160">
        <v>1000</v>
      </c>
      <c r="Q41" s="160"/>
      <c r="R41" s="160"/>
      <c r="S41" s="160"/>
      <c r="T41" s="160"/>
      <c r="U41" s="160"/>
      <c r="V41" s="160"/>
      <c r="W41" s="160">
        <f t="shared" si="0"/>
        <v>0</v>
      </c>
      <c r="X41" s="160">
        <f t="shared" si="1"/>
        <v>0</v>
      </c>
    </row>
    <row r="42" spans="2:24">
      <c r="B42" s="158"/>
      <c r="C42" s="121"/>
      <c r="D42" s="121" t="s">
        <v>450</v>
      </c>
      <c r="E42" s="160"/>
      <c r="F42" s="160"/>
      <c r="G42" s="160"/>
      <c r="H42" s="160"/>
      <c r="I42" s="160"/>
      <c r="J42" s="160"/>
      <c r="K42" s="160"/>
      <c r="L42" s="160"/>
      <c r="M42" s="160"/>
      <c r="N42" s="160">
        <v>22787.23</v>
      </c>
      <c r="O42" s="160"/>
      <c r="P42" s="160"/>
      <c r="Q42" s="160"/>
      <c r="R42" s="160"/>
      <c r="S42" s="160"/>
      <c r="T42" s="160"/>
      <c r="U42" s="160"/>
      <c r="V42" s="160"/>
      <c r="W42" s="160">
        <f t="shared" si="0"/>
        <v>0</v>
      </c>
      <c r="X42" s="160">
        <f t="shared" si="1"/>
        <v>0</v>
      </c>
    </row>
    <row r="43" spans="2:24">
      <c r="B43" s="158"/>
      <c r="C43" s="121"/>
      <c r="D43" s="121" t="s">
        <v>351</v>
      </c>
      <c r="E43" s="160"/>
      <c r="F43" s="160"/>
      <c r="G43" s="160"/>
      <c r="H43" s="160"/>
      <c r="I43" s="160"/>
      <c r="J43" s="160"/>
      <c r="K43" s="160"/>
      <c r="L43" s="160"/>
      <c r="M43" s="160"/>
      <c r="N43" s="160"/>
      <c r="O43" s="160"/>
      <c r="P43" s="160"/>
      <c r="Q43" s="160"/>
      <c r="R43" s="160"/>
      <c r="S43" s="160"/>
      <c r="T43" s="160"/>
      <c r="U43" s="160">
        <v>847.46</v>
      </c>
      <c r="V43" s="160"/>
      <c r="W43" s="160">
        <f t="shared" si="0"/>
        <v>847.46</v>
      </c>
      <c r="X43" s="160">
        <f t="shared" si="1"/>
        <v>9.0155319148936179</v>
      </c>
    </row>
    <row r="44" spans="2:24">
      <c r="B44" s="158"/>
      <c r="C44" s="121" t="s">
        <v>80</v>
      </c>
      <c r="D44" s="121" t="s">
        <v>451</v>
      </c>
      <c r="E44" s="160">
        <v>15900</v>
      </c>
      <c r="F44" s="160">
        <v>15100</v>
      </c>
      <c r="G44" s="160">
        <v>15100</v>
      </c>
      <c r="H44" s="160">
        <v>15100</v>
      </c>
      <c r="I44" s="160">
        <v>15100</v>
      </c>
      <c r="J44" s="160">
        <v>15100</v>
      </c>
      <c r="K44" s="160">
        <v>15100</v>
      </c>
      <c r="L44" s="160">
        <v>16300</v>
      </c>
      <c r="M44" s="160">
        <v>15900</v>
      </c>
      <c r="N44" s="160">
        <v>15900</v>
      </c>
      <c r="O44" s="160">
        <v>18100</v>
      </c>
      <c r="P44" s="160">
        <v>17400</v>
      </c>
      <c r="Q44" s="160">
        <v>17400</v>
      </c>
      <c r="R44" s="160">
        <v>17400</v>
      </c>
      <c r="S44" s="160">
        <v>17400</v>
      </c>
      <c r="T44" s="160">
        <v>19560</v>
      </c>
      <c r="U44" s="160">
        <v>19886</v>
      </c>
      <c r="V44" s="160">
        <v>19500</v>
      </c>
      <c r="W44" s="160">
        <f t="shared" si="0"/>
        <v>386</v>
      </c>
      <c r="X44" s="160">
        <f t="shared" si="1"/>
        <v>4.1063829787234045</v>
      </c>
    </row>
    <row r="45" spans="2:24">
      <c r="B45" s="158"/>
      <c r="C45" s="121" t="s">
        <v>97</v>
      </c>
      <c r="D45" s="121" t="s">
        <v>97</v>
      </c>
      <c r="E45" s="160">
        <v>37500</v>
      </c>
      <c r="F45" s="160">
        <v>37500</v>
      </c>
      <c r="G45" s="160">
        <v>37500</v>
      </c>
      <c r="H45" s="160">
        <v>37500</v>
      </c>
      <c r="I45" s="160">
        <v>37500</v>
      </c>
      <c r="J45" s="160"/>
      <c r="K45" s="160"/>
      <c r="L45" s="160"/>
      <c r="M45" s="160"/>
      <c r="N45" s="160"/>
      <c r="O45" s="160"/>
      <c r="P45" s="160"/>
      <c r="Q45" s="160"/>
      <c r="R45" s="160"/>
      <c r="S45" s="160"/>
      <c r="T45" s="160"/>
      <c r="U45" s="160"/>
      <c r="V45" s="160"/>
      <c r="W45" s="160">
        <f t="shared" si="0"/>
        <v>0</v>
      </c>
      <c r="X45" s="160">
        <f t="shared" si="1"/>
        <v>0</v>
      </c>
    </row>
    <row r="46" spans="2:24">
      <c r="B46" s="158"/>
      <c r="C46" s="121" t="s">
        <v>74</v>
      </c>
      <c r="D46" s="121" t="s">
        <v>452</v>
      </c>
      <c r="E46" s="160">
        <v>2044.8200000000002</v>
      </c>
      <c r="F46" s="160">
        <v>2044.8200000000002</v>
      </c>
      <c r="G46" s="160">
        <v>2044.8200000000002</v>
      </c>
      <c r="H46" s="160">
        <v>2044.8200000000002</v>
      </c>
      <c r="I46" s="160">
        <v>6762.82</v>
      </c>
      <c r="J46" s="160">
        <v>2044.8200000000002</v>
      </c>
      <c r="K46" s="160">
        <v>2044.8200000000002</v>
      </c>
      <c r="L46" s="160">
        <v>2044.8200000000002</v>
      </c>
      <c r="M46" s="160">
        <v>2339.8199999999997</v>
      </c>
      <c r="N46" s="160">
        <v>2221.8200000000002</v>
      </c>
      <c r="O46" s="160">
        <v>3493</v>
      </c>
      <c r="P46" s="160">
        <v>2221.8200000000002</v>
      </c>
      <c r="Q46" s="160">
        <v>2221.8200000000002</v>
      </c>
      <c r="R46" s="160">
        <v>3021.36</v>
      </c>
      <c r="S46" s="160">
        <v>3156.71</v>
      </c>
      <c r="T46" s="160">
        <v>2679.9</v>
      </c>
      <c r="U46" s="160">
        <v>2679.9</v>
      </c>
      <c r="V46" s="160">
        <v>2679.9</v>
      </c>
      <c r="W46" s="160">
        <f t="shared" si="0"/>
        <v>0</v>
      </c>
      <c r="X46" s="160">
        <f t="shared" si="1"/>
        <v>0</v>
      </c>
    </row>
    <row r="47" spans="2:24">
      <c r="B47" s="158"/>
      <c r="C47" s="121"/>
      <c r="D47" s="121" t="s">
        <v>422</v>
      </c>
      <c r="E47" s="160">
        <v>3455</v>
      </c>
      <c r="F47" s="160"/>
      <c r="G47" s="160"/>
      <c r="H47" s="160"/>
      <c r="I47" s="160"/>
      <c r="J47" s="160"/>
      <c r="K47" s="160"/>
      <c r="L47" s="160"/>
      <c r="M47" s="160"/>
      <c r="N47" s="160"/>
      <c r="O47" s="160"/>
      <c r="P47" s="160"/>
      <c r="Q47" s="160"/>
      <c r="R47" s="160">
        <v>10443</v>
      </c>
      <c r="S47" s="160"/>
      <c r="T47" s="160"/>
      <c r="U47" s="160"/>
      <c r="V47" s="160"/>
      <c r="W47" s="160">
        <f t="shared" si="0"/>
        <v>0</v>
      </c>
      <c r="X47" s="160">
        <f t="shared" si="1"/>
        <v>0</v>
      </c>
    </row>
    <row r="48" spans="2:24">
      <c r="B48" s="158" t="s">
        <v>453</v>
      </c>
      <c r="C48" s="158"/>
      <c r="D48" s="158"/>
      <c r="E48" s="160">
        <v>302337.02</v>
      </c>
      <c r="F48" s="160">
        <v>182434.02000000002</v>
      </c>
      <c r="G48" s="160">
        <v>223434.62</v>
      </c>
      <c r="H48" s="160">
        <v>170821.02000000002</v>
      </c>
      <c r="I48" s="160">
        <v>178538.02000000002</v>
      </c>
      <c r="J48" s="160">
        <v>135950.02000000002</v>
      </c>
      <c r="K48" s="160">
        <v>139339.02000000002</v>
      </c>
      <c r="L48" s="160">
        <v>164294.02000000002</v>
      </c>
      <c r="M48" s="160">
        <v>187621.02000000002</v>
      </c>
      <c r="N48" s="160">
        <v>184436.25000000003</v>
      </c>
      <c r="O48" s="160">
        <v>214014.74000000002</v>
      </c>
      <c r="P48" s="160">
        <v>194474.79</v>
      </c>
      <c r="Q48" s="160">
        <v>187036.01</v>
      </c>
      <c r="R48" s="160">
        <v>167738.28999999998</v>
      </c>
      <c r="S48" s="160">
        <v>262260.28000000003</v>
      </c>
      <c r="T48" s="160">
        <v>150731.16</v>
      </c>
      <c r="U48" s="160">
        <v>180645.43999999997</v>
      </c>
      <c r="V48" s="160">
        <v>244654.86</v>
      </c>
      <c r="W48" s="162">
        <f t="shared" si="0"/>
        <v>-64009.420000000013</v>
      </c>
      <c r="X48" s="162">
        <f t="shared" si="1"/>
        <v>-680.95127659574484</v>
      </c>
    </row>
    <row r="49" spans="2:25">
      <c r="B49" s="158" t="s">
        <v>454</v>
      </c>
      <c r="C49" s="121" t="s">
        <v>82</v>
      </c>
      <c r="D49" s="121" t="s">
        <v>422</v>
      </c>
      <c r="E49" s="160"/>
      <c r="F49" s="160"/>
      <c r="G49" s="160"/>
      <c r="H49" s="160"/>
      <c r="I49" s="160"/>
      <c r="J49" s="160"/>
      <c r="K49" s="160"/>
      <c r="L49" s="160"/>
      <c r="M49" s="160">
        <v>4</v>
      </c>
      <c r="N49" s="160"/>
      <c r="O49" s="160"/>
      <c r="P49" s="160"/>
      <c r="Q49" s="160"/>
      <c r="R49" s="160"/>
      <c r="S49" s="160"/>
      <c r="T49" s="160"/>
      <c r="U49" s="160"/>
      <c r="V49" s="160"/>
      <c r="W49" s="160">
        <f t="shared" si="0"/>
        <v>0</v>
      </c>
      <c r="X49" s="160">
        <f t="shared" si="1"/>
        <v>0</v>
      </c>
    </row>
    <row r="50" spans="2:25">
      <c r="B50" s="158"/>
      <c r="C50" s="121"/>
      <c r="D50" s="121" t="s">
        <v>455</v>
      </c>
      <c r="E50" s="160">
        <v>256800</v>
      </c>
      <c r="F50" s="160">
        <v>267200</v>
      </c>
      <c r="G50" s="160">
        <v>248000</v>
      </c>
      <c r="H50" s="160">
        <v>252400</v>
      </c>
      <c r="I50" s="160">
        <v>237080</v>
      </c>
      <c r="J50" s="160">
        <v>189600</v>
      </c>
      <c r="K50" s="160">
        <v>228800</v>
      </c>
      <c r="L50" s="160">
        <v>250200</v>
      </c>
      <c r="M50" s="160">
        <v>262000</v>
      </c>
      <c r="N50" s="160">
        <v>302876</v>
      </c>
      <c r="O50" s="160">
        <v>303800</v>
      </c>
      <c r="P50" s="160">
        <v>278000</v>
      </c>
      <c r="Q50" s="160">
        <v>297200</v>
      </c>
      <c r="R50" s="160">
        <v>299400</v>
      </c>
      <c r="S50" s="160">
        <v>318700</v>
      </c>
      <c r="T50" s="160">
        <v>286700</v>
      </c>
      <c r="U50" s="160">
        <v>325500</v>
      </c>
      <c r="V50" s="160">
        <v>410600</v>
      </c>
      <c r="W50" s="160">
        <f t="shared" si="0"/>
        <v>-85100</v>
      </c>
      <c r="X50" s="160">
        <f t="shared" si="1"/>
        <v>-905.31914893617022</v>
      </c>
    </row>
    <row r="51" spans="2:25">
      <c r="B51" s="158"/>
      <c r="C51" s="121"/>
      <c r="D51" s="121" t="s">
        <v>456</v>
      </c>
      <c r="E51" s="160"/>
      <c r="F51" s="160"/>
      <c r="G51" s="160"/>
      <c r="H51" s="160"/>
      <c r="I51" s="160"/>
      <c r="J51" s="160"/>
      <c r="K51" s="160"/>
      <c r="L51" s="160">
        <v>54600</v>
      </c>
      <c r="M51" s="160">
        <v>39000</v>
      </c>
      <c r="N51" s="160">
        <v>90350</v>
      </c>
      <c r="O51" s="160">
        <v>92300</v>
      </c>
      <c r="P51" s="160">
        <v>111150</v>
      </c>
      <c r="Q51" s="160">
        <v>102700</v>
      </c>
      <c r="R51" s="160">
        <v>89700</v>
      </c>
      <c r="S51" s="160">
        <v>83850</v>
      </c>
      <c r="T51" s="160">
        <v>89050</v>
      </c>
      <c r="U51" s="160">
        <v>78650</v>
      </c>
      <c r="V51" s="160">
        <v>120596</v>
      </c>
      <c r="W51" s="160">
        <f t="shared" si="0"/>
        <v>-41946</v>
      </c>
      <c r="X51" s="160">
        <f t="shared" si="1"/>
        <v>-446.2340425531915</v>
      </c>
    </row>
    <row r="52" spans="2:25">
      <c r="B52" s="158"/>
      <c r="C52" s="121"/>
      <c r="D52" s="121" t="s">
        <v>651</v>
      </c>
      <c r="E52" s="160"/>
      <c r="F52" s="160"/>
      <c r="G52" s="160"/>
      <c r="H52" s="160"/>
      <c r="I52" s="160"/>
      <c r="J52" s="160"/>
      <c r="K52" s="160"/>
      <c r="L52" s="160"/>
      <c r="M52" s="160"/>
      <c r="N52" s="160"/>
      <c r="O52" s="160"/>
      <c r="P52" s="160"/>
      <c r="Q52" s="160"/>
      <c r="R52" s="160"/>
      <c r="S52" s="160"/>
      <c r="T52" s="160"/>
      <c r="U52" s="160"/>
      <c r="V52" s="160">
        <v>8500</v>
      </c>
      <c r="W52" s="160">
        <f t="shared" si="0"/>
        <v>-8500</v>
      </c>
      <c r="X52" s="160">
        <f t="shared" si="1"/>
        <v>-90.425531914893611</v>
      </c>
    </row>
    <row r="53" spans="2:25">
      <c r="B53" s="158" t="s">
        <v>457</v>
      </c>
      <c r="C53" s="158"/>
      <c r="D53" s="158"/>
      <c r="E53" s="160">
        <v>256800</v>
      </c>
      <c r="F53" s="160">
        <v>267200</v>
      </c>
      <c r="G53" s="160">
        <v>248000</v>
      </c>
      <c r="H53" s="160">
        <v>252400</v>
      </c>
      <c r="I53" s="160">
        <v>237080</v>
      </c>
      <c r="J53" s="160">
        <v>189600</v>
      </c>
      <c r="K53" s="160">
        <v>228800</v>
      </c>
      <c r="L53" s="160">
        <v>304800</v>
      </c>
      <c r="M53" s="160">
        <v>301004</v>
      </c>
      <c r="N53" s="160">
        <v>393226</v>
      </c>
      <c r="O53" s="160">
        <v>396100</v>
      </c>
      <c r="P53" s="160">
        <v>389150</v>
      </c>
      <c r="Q53" s="160">
        <v>399900</v>
      </c>
      <c r="R53" s="160">
        <v>389100</v>
      </c>
      <c r="S53" s="160">
        <v>402550</v>
      </c>
      <c r="T53" s="160">
        <v>375750</v>
      </c>
      <c r="U53" s="160">
        <v>404150</v>
      </c>
      <c r="V53" s="160">
        <v>539696</v>
      </c>
      <c r="W53" s="162">
        <f t="shared" si="0"/>
        <v>-135546</v>
      </c>
      <c r="X53" s="162">
        <f t="shared" si="1"/>
        <v>-1441.9787234042553</v>
      </c>
    </row>
    <row r="54" spans="2:25">
      <c r="B54" s="158" t="s">
        <v>458</v>
      </c>
      <c r="C54" s="121" t="s">
        <v>91</v>
      </c>
      <c r="D54" s="121" t="s">
        <v>422</v>
      </c>
      <c r="E54" s="160">
        <v>4200</v>
      </c>
      <c r="F54" s="160"/>
      <c r="G54" s="160">
        <v>39096.449999999997</v>
      </c>
      <c r="H54" s="160">
        <v>42861.25</v>
      </c>
      <c r="I54" s="160">
        <v>44593</v>
      </c>
      <c r="J54" s="160">
        <v>13596</v>
      </c>
      <c r="K54" s="160">
        <v>100</v>
      </c>
      <c r="L54" s="160">
        <v>90000</v>
      </c>
      <c r="M54" s="160">
        <v>3750</v>
      </c>
      <c r="N54" s="160">
        <v>208593</v>
      </c>
      <c r="O54" s="160">
        <v>22062</v>
      </c>
      <c r="P54" s="160">
        <v>32011</v>
      </c>
      <c r="Q54" s="160">
        <v>29246</v>
      </c>
      <c r="R54" s="160">
        <v>45039</v>
      </c>
      <c r="S54" s="160">
        <v>45037</v>
      </c>
      <c r="T54" s="160">
        <v>10135</v>
      </c>
      <c r="U54" s="160">
        <v>31508.66</v>
      </c>
      <c r="V54" s="160">
        <v>92619.5</v>
      </c>
      <c r="W54" s="160">
        <f t="shared" si="0"/>
        <v>-61110.84</v>
      </c>
      <c r="X54" s="160">
        <f t="shared" si="1"/>
        <v>-650.11531914893612</v>
      </c>
    </row>
    <row r="55" spans="2:25">
      <c r="B55" s="158"/>
      <c r="C55" s="121"/>
      <c r="D55" s="121" t="s">
        <v>459</v>
      </c>
      <c r="E55" s="160">
        <v>2432.6</v>
      </c>
      <c r="F55" s="160"/>
      <c r="G55" s="160">
        <v>1579.91</v>
      </c>
      <c r="H55" s="160">
        <v>9110</v>
      </c>
      <c r="I55" s="160"/>
      <c r="J55" s="160"/>
      <c r="K55" s="160"/>
      <c r="L55" s="160"/>
      <c r="M55" s="160"/>
      <c r="N55" s="160">
        <v>1899.1100000000001</v>
      </c>
      <c r="O55" s="160"/>
      <c r="P55" s="160">
        <v>6871.2900000000009</v>
      </c>
      <c r="Q55" s="160">
        <v>9267.48</v>
      </c>
      <c r="R55" s="160">
        <v>8571.7999999999993</v>
      </c>
      <c r="S55" s="160"/>
      <c r="T55" s="160">
        <v>14947.89</v>
      </c>
      <c r="U55" s="160">
        <v>1083.72</v>
      </c>
      <c r="V55" s="160">
        <v>12402.33</v>
      </c>
      <c r="W55" s="160">
        <f t="shared" si="0"/>
        <v>-11318.61</v>
      </c>
      <c r="X55" s="160">
        <f t="shared" si="1"/>
        <v>-120.41074468085107</v>
      </c>
    </row>
    <row r="56" spans="2:25">
      <c r="B56" s="158"/>
      <c r="C56" s="121"/>
      <c r="D56" s="121" t="s">
        <v>438</v>
      </c>
      <c r="E56" s="160"/>
      <c r="F56" s="160"/>
      <c r="G56" s="160">
        <v>675</v>
      </c>
      <c r="H56" s="160"/>
      <c r="I56" s="160"/>
      <c r="J56" s="160">
        <v>1150</v>
      </c>
      <c r="K56" s="160"/>
      <c r="L56" s="160"/>
      <c r="M56" s="160"/>
      <c r="N56" s="160"/>
      <c r="O56" s="160">
        <v>1177.3399999999999</v>
      </c>
      <c r="P56" s="160"/>
      <c r="Q56" s="160"/>
      <c r="R56" s="160"/>
      <c r="S56" s="160"/>
      <c r="T56" s="160"/>
      <c r="U56" s="160">
        <v>3622</v>
      </c>
      <c r="V56" s="160"/>
      <c r="W56" s="160">
        <f t="shared" si="0"/>
        <v>3622</v>
      </c>
      <c r="X56" s="160">
        <f t="shared" si="1"/>
        <v>38.531914893617021</v>
      </c>
    </row>
    <row r="57" spans="2:25">
      <c r="B57" s="158"/>
      <c r="C57" s="121"/>
      <c r="D57" s="121" t="s">
        <v>460</v>
      </c>
      <c r="E57" s="160"/>
      <c r="F57" s="160">
        <v>112960</v>
      </c>
      <c r="G57" s="160">
        <v>37160</v>
      </c>
      <c r="H57" s="160"/>
      <c r="I57" s="160">
        <v>2760</v>
      </c>
      <c r="J57" s="160"/>
      <c r="K57" s="160">
        <v>3160</v>
      </c>
      <c r="L57" s="160">
        <v>5750</v>
      </c>
      <c r="M57" s="160">
        <v>1325</v>
      </c>
      <c r="N57" s="160"/>
      <c r="O57" s="160"/>
      <c r="P57" s="160"/>
      <c r="Q57" s="160"/>
      <c r="R57" s="160"/>
      <c r="S57" s="160">
        <v>2570</v>
      </c>
      <c r="T57" s="160"/>
      <c r="U57" s="160"/>
      <c r="V57" s="160">
        <v>155353</v>
      </c>
      <c r="W57" s="160">
        <f t="shared" si="0"/>
        <v>-155353</v>
      </c>
      <c r="X57" s="160">
        <f t="shared" si="1"/>
        <v>-1652.6914893617022</v>
      </c>
    </row>
    <row r="58" spans="2:25">
      <c r="B58" s="158"/>
      <c r="C58" s="121"/>
      <c r="D58" s="121" t="s">
        <v>461</v>
      </c>
      <c r="E58" s="160">
        <v>8750</v>
      </c>
      <c r="F58" s="160"/>
      <c r="G58" s="160">
        <v>3750</v>
      </c>
      <c r="H58" s="160">
        <v>2589.29</v>
      </c>
      <c r="I58" s="160"/>
      <c r="J58" s="160"/>
      <c r="K58" s="160"/>
      <c r="L58" s="160"/>
      <c r="M58" s="160"/>
      <c r="N58" s="160">
        <v>1143</v>
      </c>
      <c r="O58" s="160"/>
      <c r="P58" s="160"/>
      <c r="Q58" s="160"/>
      <c r="R58" s="160"/>
      <c r="S58" s="160"/>
      <c r="T58" s="160"/>
      <c r="U58" s="160"/>
      <c r="V58" s="160"/>
      <c r="W58" s="160">
        <f t="shared" si="0"/>
        <v>0</v>
      </c>
      <c r="X58" s="160">
        <f t="shared" si="1"/>
        <v>0</v>
      </c>
    </row>
    <row r="59" spans="2:25">
      <c r="B59" s="158"/>
      <c r="C59" s="121"/>
      <c r="D59" s="121" t="s">
        <v>91</v>
      </c>
      <c r="E59" s="160">
        <v>27922</v>
      </c>
      <c r="F59" s="160">
        <v>34975</v>
      </c>
      <c r="G59" s="160">
        <v>33338</v>
      </c>
      <c r="H59" s="160">
        <v>144422</v>
      </c>
      <c r="I59" s="160">
        <v>23000</v>
      </c>
      <c r="J59" s="160">
        <v>13000</v>
      </c>
      <c r="K59" s="160">
        <v>31833</v>
      </c>
      <c r="L59" s="160">
        <v>47348</v>
      </c>
      <c r="M59" s="160">
        <v>74731</v>
      </c>
      <c r="N59" s="160">
        <v>73750</v>
      </c>
      <c r="O59" s="160">
        <v>197389.2</v>
      </c>
      <c r="P59" s="160">
        <v>11017</v>
      </c>
      <c r="Q59" s="160"/>
      <c r="R59" s="160">
        <v>269358.45</v>
      </c>
      <c r="S59" s="160">
        <v>285358.45</v>
      </c>
      <c r="T59" s="160">
        <v>122969.25</v>
      </c>
      <c r="U59" s="160">
        <v>120969.25</v>
      </c>
      <c r="V59" s="160">
        <v>150171.25</v>
      </c>
      <c r="W59" s="160">
        <f t="shared" si="0"/>
        <v>-29202</v>
      </c>
      <c r="X59" s="160">
        <f t="shared" si="1"/>
        <v>-310.65957446808511</v>
      </c>
    </row>
    <row r="60" spans="2:25">
      <c r="B60" s="158"/>
      <c r="C60" s="121"/>
      <c r="D60" s="121" t="s">
        <v>462</v>
      </c>
      <c r="E60" s="160"/>
      <c r="F60" s="160">
        <v>29023.29</v>
      </c>
      <c r="G60" s="160"/>
      <c r="H60" s="160"/>
      <c r="I60" s="160"/>
      <c r="J60" s="160"/>
      <c r="K60" s="160"/>
      <c r="L60" s="160"/>
      <c r="M60" s="160"/>
      <c r="N60" s="160"/>
      <c r="O60" s="160"/>
      <c r="P60" s="160"/>
      <c r="Q60" s="160"/>
      <c r="R60" s="160"/>
      <c r="S60" s="160"/>
      <c r="T60" s="160"/>
      <c r="U60" s="160"/>
      <c r="V60" s="160"/>
      <c r="W60" s="160">
        <f t="shared" si="0"/>
        <v>0</v>
      </c>
      <c r="X60" s="160">
        <f t="shared" si="1"/>
        <v>0</v>
      </c>
    </row>
    <row r="61" spans="2:25">
      <c r="B61" s="158"/>
      <c r="C61" s="121"/>
      <c r="D61" s="121" t="s">
        <v>463</v>
      </c>
      <c r="E61" s="160"/>
      <c r="F61" s="160">
        <v>10950</v>
      </c>
      <c r="G61" s="160"/>
      <c r="H61" s="160"/>
      <c r="I61" s="160"/>
      <c r="J61" s="160"/>
      <c r="K61" s="160"/>
      <c r="L61" s="160"/>
      <c r="M61" s="160"/>
      <c r="N61" s="160"/>
      <c r="O61" s="160"/>
      <c r="P61" s="160"/>
      <c r="Q61" s="160"/>
      <c r="R61" s="160"/>
      <c r="S61" s="160"/>
      <c r="T61" s="160"/>
      <c r="U61" s="160"/>
      <c r="V61" s="160"/>
      <c r="W61" s="160">
        <f t="shared" si="0"/>
        <v>0</v>
      </c>
      <c r="X61" s="160">
        <f t="shared" si="1"/>
        <v>0</v>
      </c>
    </row>
    <row r="62" spans="2:25">
      <c r="B62" s="158"/>
      <c r="C62" s="121"/>
      <c r="D62" s="121" t="s">
        <v>464</v>
      </c>
      <c r="E62" s="160"/>
      <c r="F62" s="160"/>
      <c r="G62" s="160">
        <v>15594</v>
      </c>
      <c r="H62" s="160"/>
      <c r="I62" s="160"/>
      <c r="J62" s="160"/>
      <c r="K62" s="160"/>
      <c r="L62" s="160"/>
      <c r="M62" s="160"/>
      <c r="N62" s="160"/>
      <c r="O62" s="160"/>
      <c r="P62" s="160"/>
      <c r="Q62" s="160"/>
      <c r="R62" s="160"/>
      <c r="S62" s="160"/>
      <c r="T62" s="160"/>
      <c r="U62" s="160"/>
      <c r="V62" s="160"/>
      <c r="W62" s="160">
        <f t="shared" si="0"/>
        <v>0</v>
      </c>
      <c r="X62" s="160">
        <f t="shared" si="1"/>
        <v>0</v>
      </c>
    </row>
    <row r="63" spans="2:25">
      <c r="B63" s="158"/>
      <c r="C63" s="121"/>
      <c r="D63" s="121" t="s">
        <v>465</v>
      </c>
      <c r="E63" s="160"/>
      <c r="F63" s="160"/>
      <c r="G63" s="160"/>
      <c r="H63" s="160"/>
      <c r="I63" s="160">
        <v>28125</v>
      </c>
      <c r="J63" s="160"/>
      <c r="K63" s="160">
        <v>10932.28</v>
      </c>
      <c r="L63" s="160"/>
      <c r="M63" s="160"/>
      <c r="N63" s="160"/>
      <c r="O63" s="160"/>
      <c r="P63" s="160"/>
      <c r="Q63" s="160"/>
      <c r="R63" s="160"/>
      <c r="S63" s="160"/>
      <c r="T63" s="160"/>
      <c r="U63" s="160"/>
      <c r="V63" s="160"/>
      <c r="W63" s="160">
        <f t="shared" si="0"/>
        <v>0</v>
      </c>
      <c r="X63" s="160">
        <f t="shared" si="1"/>
        <v>0</v>
      </c>
      <c r="Y63" s="13"/>
    </row>
    <row r="64" spans="2:25">
      <c r="B64" s="158"/>
      <c r="C64" s="121"/>
      <c r="D64" s="121" t="s">
        <v>466</v>
      </c>
      <c r="E64" s="160"/>
      <c r="F64" s="160"/>
      <c r="G64" s="160"/>
      <c r="H64" s="160"/>
      <c r="I64" s="160"/>
      <c r="J64" s="160"/>
      <c r="K64" s="160"/>
      <c r="L64" s="160">
        <v>8514.75</v>
      </c>
      <c r="M64" s="160">
        <v>7019</v>
      </c>
      <c r="N64" s="160"/>
      <c r="O64" s="160">
        <v>650</v>
      </c>
      <c r="P64" s="160"/>
      <c r="Q64" s="160"/>
      <c r="R64" s="160">
        <v>1727.1799999999998</v>
      </c>
      <c r="S64" s="160"/>
      <c r="T64" s="160"/>
      <c r="U64" s="160"/>
      <c r="V64" s="160"/>
      <c r="W64" s="160">
        <f t="shared" si="0"/>
        <v>0</v>
      </c>
      <c r="X64" s="160">
        <f t="shared" si="1"/>
        <v>0</v>
      </c>
    </row>
    <row r="65" spans="2:24">
      <c r="B65" s="158"/>
      <c r="C65" s="121"/>
      <c r="D65" s="121" t="s">
        <v>467</v>
      </c>
      <c r="E65" s="160"/>
      <c r="F65" s="160"/>
      <c r="G65" s="160"/>
      <c r="H65" s="160"/>
      <c r="I65" s="160"/>
      <c r="J65" s="160"/>
      <c r="K65" s="160"/>
      <c r="L65" s="160">
        <v>15000</v>
      </c>
      <c r="M65" s="160"/>
      <c r="N65" s="160"/>
      <c r="O65" s="160"/>
      <c r="P65" s="160"/>
      <c r="Q65" s="160"/>
      <c r="R65" s="160"/>
      <c r="S65" s="160"/>
      <c r="T65" s="160"/>
      <c r="U65" s="160"/>
      <c r="V65" s="160"/>
      <c r="W65" s="160">
        <f t="shared" si="0"/>
        <v>0</v>
      </c>
      <c r="X65" s="160">
        <f t="shared" si="1"/>
        <v>0</v>
      </c>
    </row>
    <row r="66" spans="2:24">
      <c r="B66" s="158"/>
      <c r="C66" s="121"/>
      <c r="D66" s="121" t="s">
        <v>468</v>
      </c>
      <c r="E66" s="160"/>
      <c r="F66" s="160"/>
      <c r="G66" s="160"/>
      <c r="H66" s="160"/>
      <c r="I66" s="160"/>
      <c r="J66" s="160"/>
      <c r="K66" s="160"/>
      <c r="L66" s="160"/>
      <c r="M66" s="160">
        <v>400</v>
      </c>
      <c r="N66" s="160">
        <v>800</v>
      </c>
      <c r="O66" s="160"/>
      <c r="P66" s="160"/>
      <c r="Q66" s="160"/>
      <c r="R66" s="160"/>
      <c r="S66" s="160"/>
      <c r="T66" s="160"/>
      <c r="U66" s="160"/>
      <c r="V66" s="160"/>
      <c r="W66" s="160">
        <f t="shared" si="0"/>
        <v>0</v>
      </c>
      <c r="X66" s="160">
        <f t="shared" si="1"/>
        <v>0</v>
      </c>
    </row>
    <row r="67" spans="2:24">
      <c r="B67" s="158"/>
      <c r="C67" s="121"/>
      <c r="D67" s="121" t="s">
        <v>469</v>
      </c>
      <c r="E67" s="160"/>
      <c r="F67" s="160"/>
      <c r="G67" s="160"/>
      <c r="H67" s="160"/>
      <c r="I67" s="160"/>
      <c r="J67" s="160"/>
      <c r="K67" s="160"/>
      <c r="L67" s="160"/>
      <c r="M67" s="160"/>
      <c r="N67" s="160">
        <v>160</v>
      </c>
      <c r="O67" s="160"/>
      <c r="P67" s="160"/>
      <c r="Q67" s="160"/>
      <c r="R67" s="160"/>
      <c r="S67" s="160"/>
      <c r="T67" s="160"/>
      <c r="U67" s="160"/>
      <c r="V67" s="160">
        <v>1300</v>
      </c>
      <c r="W67" s="160">
        <f t="shared" si="0"/>
        <v>-1300</v>
      </c>
      <c r="X67" s="160">
        <f t="shared" si="1"/>
        <v>-13.829787234042554</v>
      </c>
    </row>
    <row r="68" spans="2:24">
      <c r="B68" s="158"/>
      <c r="C68" s="121"/>
      <c r="D68" s="121" t="s">
        <v>470</v>
      </c>
      <c r="E68" s="160"/>
      <c r="F68" s="160"/>
      <c r="G68" s="160"/>
      <c r="H68" s="160"/>
      <c r="I68" s="160"/>
      <c r="J68" s="160"/>
      <c r="K68" s="160"/>
      <c r="L68" s="160"/>
      <c r="M68" s="160"/>
      <c r="N68" s="160"/>
      <c r="O68" s="160"/>
      <c r="P68" s="160">
        <v>1091</v>
      </c>
      <c r="Q68" s="160"/>
      <c r="R68" s="160"/>
      <c r="S68" s="160"/>
      <c r="T68" s="160"/>
      <c r="U68" s="160"/>
      <c r="V68" s="160"/>
      <c r="W68" s="160">
        <f t="shared" si="0"/>
        <v>0</v>
      </c>
      <c r="X68" s="160">
        <f t="shared" si="1"/>
        <v>0</v>
      </c>
    </row>
    <row r="69" spans="2:24">
      <c r="B69" s="158"/>
      <c r="C69" s="121"/>
      <c r="D69" s="121" t="s">
        <v>471</v>
      </c>
      <c r="E69" s="160"/>
      <c r="F69" s="160"/>
      <c r="G69" s="160"/>
      <c r="H69" s="160"/>
      <c r="I69" s="160"/>
      <c r="J69" s="160"/>
      <c r="K69" s="160"/>
      <c r="L69" s="160"/>
      <c r="M69" s="160"/>
      <c r="N69" s="160"/>
      <c r="O69" s="160"/>
      <c r="P69" s="160"/>
      <c r="Q69" s="160"/>
      <c r="R69" s="160">
        <v>3600</v>
      </c>
      <c r="S69" s="160">
        <v>2800</v>
      </c>
      <c r="T69" s="160">
        <v>4800</v>
      </c>
      <c r="U69" s="160">
        <v>1200</v>
      </c>
      <c r="V69" s="160"/>
      <c r="W69" s="160">
        <f t="shared" si="0"/>
        <v>1200</v>
      </c>
      <c r="X69" s="160">
        <f t="shared" si="1"/>
        <v>12.76595744680851</v>
      </c>
    </row>
    <row r="70" spans="2:24">
      <c r="B70" s="158"/>
      <c r="C70" s="121"/>
      <c r="D70" s="121" t="s">
        <v>472</v>
      </c>
      <c r="E70" s="160"/>
      <c r="F70" s="160"/>
      <c r="G70" s="160"/>
      <c r="H70" s="160"/>
      <c r="I70" s="160"/>
      <c r="J70" s="160"/>
      <c r="K70" s="160"/>
      <c r="L70" s="160"/>
      <c r="M70" s="160"/>
      <c r="N70" s="160"/>
      <c r="O70" s="160"/>
      <c r="P70" s="160"/>
      <c r="Q70" s="160"/>
      <c r="R70" s="160"/>
      <c r="S70" s="160">
        <v>22339</v>
      </c>
      <c r="T70" s="160">
        <v>24040</v>
      </c>
      <c r="U70" s="160">
        <v>22340</v>
      </c>
      <c r="V70" s="160"/>
      <c r="W70" s="160">
        <f t="shared" si="0"/>
        <v>22340</v>
      </c>
      <c r="X70" s="160">
        <f t="shared" si="1"/>
        <v>237.65957446808511</v>
      </c>
    </row>
    <row r="71" spans="2:24">
      <c r="B71" s="158"/>
      <c r="C71" s="121" t="s">
        <v>85</v>
      </c>
      <c r="D71" s="121" t="s">
        <v>85</v>
      </c>
      <c r="E71" s="160">
        <v>47089</v>
      </c>
      <c r="F71" s="160">
        <v>47089</v>
      </c>
      <c r="G71" s="160">
        <v>47612</v>
      </c>
      <c r="H71" s="160">
        <v>49045</v>
      </c>
      <c r="I71" s="160">
        <v>50235</v>
      </c>
      <c r="J71" s="160">
        <v>50235</v>
      </c>
      <c r="K71" s="160">
        <v>60835</v>
      </c>
      <c r="L71" s="160">
        <v>60835</v>
      </c>
      <c r="M71" s="160">
        <v>60135</v>
      </c>
      <c r="N71" s="160">
        <v>63932</v>
      </c>
      <c r="O71" s="160">
        <v>63932</v>
      </c>
      <c r="P71" s="160">
        <v>69537</v>
      </c>
      <c r="Q71" s="160">
        <v>69537</v>
      </c>
      <c r="R71" s="160">
        <v>69537</v>
      </c>
      <c r="S71" s="160">
        <v>69537</v>
      </c>
      <c r="T71" s="160">
        <v>69537</v>
      </c>
      <c r="U71" s="160">
        <v>69537</v>
      </c>
      <c r="V71" s="160">
        <v>69537</v>
      </c>
      <c r="W71" s="160">
        <f t="shared" ref="W71:W134" si="2">U71-V71</f>
        <v>0</v>
      </c>
      <c r="X71" s="160">
        <f t="shared" ref="X71:X134" si="3">W71/94</f>
        <v>0</v>
      </c>
    </row>
    <row r="72" spans="2:24">
      <c r="B72" s="158"/>
      <c r="C72" s="121"/>
      <c r="D72" s="121" t="s">
        <v>473</v>
      </c>
      <c r="E72" s="160"/>
      <c r="F72" s="160">
        <v>39839</v>
      </c>
      <c r="G72" s="160"/>
      <c r="H72" s="160"/>
      <c r="I72" s="160"/>
      <c r="J72" s="160"/>
      <c r="K72" s="160"/>
      <c r="L72" s="160"/>
      <c r="M72" s="160"/>
      <c r="N72" s="160"/>
      <c r="O72" s="160"/>
      <c r="P72" s="160"/>
      <c r="Q72" s="160"/>
      <c r="R72" s="160"/>
      <c r="S72" s="160"/>
      <c r="T72" s="160"/>
      <c r="U72" s="160"/>
      <c r="V72" s="160"/>
      <c r="W72" s="160">
        <f t="shared" si="2"/>
        <v>0</v>
      </c>
      <c r="X72" s="160">
        <f t="shared" si="3"/>
        <v>0</v>
      </c>
    </row>
    <row r="73" spans="2:24">
      <c r="B73" s="158"/>
      <c r="C73" s="121"/>
      <c r="D73" s="121" t="s">
        <v>474</v>
      </c>
      <c r="E73" s="160"/>
      <c r="F73" s="160"/>
      <c r="G73" s="160"/>
      <c r="H73" s="160"/>
      <c r="I73" s="160"/>
      <c r="J73" s="160"/>
      <c r="K73" s="160"/>
      <c r="L73" s="160">
        <v>9326</v>
      </c>
      <c r="M73" s="160">
        <v>8273.5</v>
      </c>
      <c r="N73" s="160"/>
      <c r="O73" s="160"/>
      <c r="P73" s="160"/>
      <c r="Q73" s="160"/>
      <c r="R73" s="160"/>
      <c r="S73" s="160"/>
      <c r="T73" s="160"/>
      <c r="U73" s="160"/>
      <c r="V73" s="160"/>
      <c r="W73" s="160">
        <f t="shared" si="2"/>
        <v>0</v>
      </c>
      <c r="X73" s="160">
        <f t="shared" si="3"/>
        <v>0</v>
      </c>
    </row>
    <row r="74" spans="2:24">
      <c r="B74" s="158"/>
      <c r="C74" s="121" t="s">
        <v>475</v>
      </c>
      <c r="D74" s="121" t="s">
        <v>422</v>
      </c>
      <c r="E74" s="160"/>
      <c r="F74" s="160"/>
      <c r="G74" s="160">
        <v>95500</v>
      </c>
      <c r="H74" s="160"/>
      <c r="I74" s="160"/>
      <c r="J74" s="160"/>
      <c r="K74" s="160"/>
      <c r="L74" s="160"/>
      <c r="M74" s="160"/>
      <c r="N74" s="160"/>
      <c r="O74" s="160"/>
      <c r="P74" s="160"/>
      <c r="Q74" s="160"/>
      <c r="R74" s="160"/>
      <c r="S74" s="160"/>
      <c r="T74" s="160"/>
      <c r="U74" s="160"/>
      <c r="V74" s="160">
        <v>97000</v>
      </c>
      <c r="W74" s="160">
        <f t="shared" si="2"/>
        <v>-97000</v>
      </c>
      <c r="X74" s="160">
        <f t="shared" si="3"/>
        <v>-1031.9148936170213</v>
      </c>
    </row>
    <row r="75" spans="2:24">
      <c r="B75" s="158"/>
      <c r="C75" s="121"/>
      <c r="D75" s="121" t="s">
        <v>652</v>
      </c>
      <c r="E75" s="160"/>
      <c r="F75" s="160"/>
      <c r="G75" s="160"/>
      <c r="H75" s="160"/>
      <c r="I75" s="160"/>
      <c r="J75" s="160"/>
      <c r="K75" s="160"/>
      <c r="L75" s="160"/>
      <c r="M75" s="160"/>
      <c r="N75" s="160"/>
      <c r="O75" s="160"/>
      <c r="P75" s="160"/>
      <c r="Q75" s="160"/>
      <c r="R75" s="160"/>
      <c r="S75" s="160"/>
      <c r="T75" s="160"/>
      <c r="U75" s="160"/>
      <c r="V75" s="160">
        <v>25000</v>
      </c>
      <c r="W75" s="160">
        <f t="shared" si="2"/>
        <v>-25000</v>
      </c>
      <c r="X75" s="160">
        <f t="shared" si="3"/>
        <v>-265.95744680851061</v>
      </c>
    </row>
    <row r="76" spans="2:24">
      <c r="B76" s="158"/>
      <c r="C76" s="121" t="s">
        <v>90</v>
      </c>
      <c r="D76" s="121" t="s">
        <v>422</v>
      </c>
      <c r="E76" s="160"/>
      <c r="F76" s="160"/>
      <c r="G76" s="160"/>
      <c r="H76" s="160"/>
      <c r="I76" s="160"/>
      <c r="J76" s="160"/>
      <c r="K76" s="160"/>
      <c r="L76" s="160"/>
      <c r="M76" s="160"/>
      <c r="N76" s="160"/>
      <c r="O76" s="160"/>
      <c r="P76" s="160">
        <v>5000</v>
      </c>
      <c r="Q76" s="160"/>
      <c r="R76" s="160"/>
      <c r="S76" s="160"/>
      <c r="T76" s="160"/>
      <c r="U76" s="160"/>
      <c r="V76" s="160"/>
      <c r="W76" s="160">
        <f t="shared" si="2"/>
        <v>0</v>
      </c>
      <c r="X76" s="160">
        <f t="shared" si="3"/>
        <v>0</v>
      </c>
    </row>
    <row r="77" spans="2:24">
      <c r="B77" s="158" t="s">
        <v>476</v>
      </c>
      <c r="C77" s="158"/>
      <c r="D77" s="158"/>
      <c r="E77" s="160">
        <v>90393.600000000006</v>
      </c>
      <c r="F77" s="160">
        <v>274836.29000000004</v>
      </c>
      <c r="G77" s="160">
        <v>274305.36</v>
      </c>
      <c r="H77" s="160">
        <v>248027.54</v>
      </c>
      <c r="I77" s="160">
        <v>148713</v>
      </c>
      <c r="J77" s="160">
        <v>77981</v>
      </c>
      <c r="K77" s="160">
        <v>106860.28</v>
      </c>
      <c r="L77" s="160">
        <v>236773.75</v>
      </c>
      <c r="M77" s="160">
        <v>155633.5</v>
      </c>
      <c r="N77" s="160">
        <v>350277.11</v>
      </c>
      <c r="O77" s="160">
        <v>285210.54000000004</v>
      </c>
      <c r="P77" s="160">
        <v>125527.29000000001</v>
      </c>
      <c r="Q77" s="160">
        <v>108050.48</v>
      </c>
      <c r="R77" s="160">
        <v>397833.43</v>
      </c>
      <c r="S77" s="160">
        <v>427641.45</v>
      </c>
      <c r="T77" s="160">
        <v>246429.14</v>
      </c>
      <c r="U77" s="160">
        <v>250260.63</v>
      </c>
      <c r="V77" s="160">
        <v>603383.07999999996</v>
      </c>
      <c r="W77" s="162">
        <f t="shared" si="2"/>
        <v>-353122.44999999995</v>
      </c>
      <c r="X77" s="162">
        <f t="shared" si="3"/>
        <v>-3756.6218085106379</v>
      </c>
    </row>
    <row r="78" spans="2:24" s="14" customFormat="1">
      <c r="B78" s="158" t="s">
        <v>477</v>
      </c>
      <c r="C78" s="121" t="s">
        <v>151</v>
      </c>
      <c r="D78" s="121" t="s">
        <v>478</v>
      </c>
      <c r="E78" s="160">
        <v>-167235.57</v>
      </c>
      <c r="F78" s="160">
        <v>-138326.94</v>
      </c>
      <c r="G78" s="160">
        <v>-28714.170000000002</v>
      </c>
      <c r="H78" s="160">
        <v>219266.34</v>
      </c>
      <c r="I78" s="160">
        <v>83110.83</v>
      </c>
      <c r="J78" s="160">
        <v>-55995.8</v>
      </c>
      <c r="K78" s="160">
        <v>-95145.17</v>
      </c>
      <c r="L78" s="160"/>
      <c r="M78" s="160">
        <v>-256064.22999999998</v>
      </c>
      <c r="N78" s="160">
        <v>-595788.35000000009</v>
      </c>
      <c r="O78" s="160">
        <v>-362545.16</v>
      </c>
      <c r="P78" s="160">
        <v>-476463.83</v>
      </c>
      <c r="Q78" s="160">
        <v>-574648.6</v>
      </c>
      <c r="R78" s="160">
        <v>-427104.2</v>
      </c>
      <c r="S78" s="160">
        <v>-780353.77</v>
      </c>
      <c r="T78" s="160">
        <v>-384237</v>
      </c>
      <c r="U78" s="160">
        <v>-674963.79999999993</v>
      </c>
      <c r="V78" s="160">
        <v>-427214.65</v>
      </c>
      <c r="W78" s="160">
        <f t="shared" si="2"/>
        <v>-247749.14999999991</v>
      </c>
      <c r="X78" s="160">
        <f t="shared" si="3"/>
        <v>-2635.6292553191479</v>
      </c>
    </row>
    <row r="79" spans="2:24" s="14" customFormat="1">
      <c r="B79" s="158" t="s">
        <v>479</v>
      </c>
      <c r="C79" s="158"/>
      <c r="D79" s="158"/>
      <c r="E79" s="160">
        <v>-167235.57</v>
      </c>
      <c r="F79" s="160">
        <v>-138326.94</v>
      </c>
      <c r="G79" s="160">
        <v>-28714.170000000002</v>
      </c>
      <c r="H79" s="160">
        <v>219266.34</v>
      </c>
      <c r="I79" s="160">
        <v>83110.83</v>
      </c>
      <c r="J79" s="160">
        <v>-55995.8</v>
      </c>
      <c r="K79" s="160">
        <v>-95145.17</v>
      </c>
      <c r="L79" s="160"/>
      <c r="M79" s="160">
        <v>-256064.22999999998</v>
      </c>
      <c r="N79" s="160">
        <v>-595788.35000000009</v>
      </c>
      <c r="O79" s="160">
        <v>-362545.16</v>
      </c>
      <c r="P79" s="160">
        <v>-476463.83</v>
      </c>
      <c r="Q79" s="160">
        <v>-574648.6</v>
      </c>
      <c r="R79" s="160">
        <v>-427104.2</v>
      </c>
      <c r="S79" s="160">
        <v>-780353.77</v>
      </c>
      <c r="T79" s="160">
        <v>-384237</v>
      </c>
      <c r="U79" s="160">
        <v>-674963.79999999993</v>
      </c>
      <c r="V79" s="160">
        <v>-427214.65</v>
      </c>
      <c r="W79" s="162">
        <f t="shared" si="2"/>
        <v>-247749.14999999991</v>
      </c>
      <c r="X79" s="162">
        <f t="shared" si="3"/>
        <v>-2635.6292553191479</v>
      </c>
    </row>
    <row r="80" spans="2:24" s="14" customFormat="1">
      <c r="B80" s="158" t="s">
        <v>480</v>
      </c>
      <c r="C80" s="121" t="s">
        <v>147</v>
      </c>
      <c r="D80" s="121" t="s">
        <v>147</v>
      </c>
      <c r="E80" s="160">
        <v>838403</v>
      </c>
      <c r="F80" s="160">
        <v>817569</v>
      </c>
      <c r="G80" s="160">
        <v>796736</v>
      </c>
      <c r="H80" s="160">
        <v>1055712</v>
      </c>
      <c r="I80" s="160">
        <v>884317</v>
      </c>
      <c r="J80" s="160">
        <v>1209843</v>
      </c>
      <c r="K80" s="160">
        <v>895074</v>
      </c>
      <c r="L80" s="160">
        <v>895074</v>
      </c>
      <c r="M80" s="160">
        <v>895074</v>
      </c>
      <c r="N80" s="160">
        <v>895074</v>
      </c>
      <c r="O80" s="160">
        <v>895074</v>
      </c>
      <c r="P80" s="160">
        <v>160000</v>
      </c>
      <c r="Q80" s="160">
        <v>895074</v>
      </c>
      <c r="R80" s="160">
        <v>895074</v>
      </c>
      <c r="S80" s="160">
        <v>895074</v>
      </c>
      <c r="T80" s="160">
        <v>886938</v>
      </c>
      <c r="U80" s="160">
        <v>886938</v>
      </c>
      <c r="V80" s="160">
        <v>886939</v>
      </c>
      <c r="W80" s="160">
        <f t="shared" si="2"/>
        <v>-1</v>
      </c>
      <c r="X80" s="160">
        <f t="shared" si="3"/>
        <v>-1.0638297872340425E-2</v>
      </c>
    </row>
    <row r="81" spans="2:25" s="14" customFormat="1">
      <c r="B81" s="158"/>
      <c r="C81" s="121" t="s">
        <v>140</v>
      </c>
      <c r="D81" s="121" t="s">
        <v>140</v>
      </c>
      <c r="E81" s="160">
        <v>54601</v>
      </c>
      <c r="F81" s="160">
        <v>77859</v>
      </c>
      <c r="G81" s="160">
        <v>74488</v>
      </c>
      <c r="H81" s="160">
        <v>74488</v>
      </c>
      <c r="I81" s="160">
        <v>74488</v>
      </c>
      <c r="J81" s="160">
        <v>74488</v>
      </c>
      <c r="K81" s="160">
        <v>74488</v>
      </c>
      <c r="L81" s="160">
        <v>89843</v>
      </c>
      <c r="M81" s="160">
        <v>92772</v>
      </c>
      <c r="N81" s="160">
        <v>91488</v>
      </c>
      <c r="O81" s="160">
        <v>91488</v>
      </c>
      <c r="P81" s="160">
        <v>91440</v>
      </c>
      <c r="Q81" s="160">
        <v>91470</v>
      </c>
      <c r="R81" s="160">
        <v>80185</v>
      </c>
      <c r="S81" s="160">
        <v>71674</v>
      </c>
      <c r="T81" s="160">
        <v>71219</v>
      </c>
      <c r="U81" s="160">
        <v>66261</v>
      </c>
      <c r="V81" s="160">
        <v>66650</v>
      </c>
      <c r="W81" s="160">
        <f t="shared" si="2"/>
        <v>-389</v>
      </c>
      <c r="X81" s="160">
        <f t="shared" si="3"/>
        <v>-4.1382978723404253</v>
      </c>
    </row>
    <row r="82" spans="2:25">
      <c r="B82" s="158"/>
      <c r="C82" s="121" t="s">
        <v>141</v>
      </c>
      <c r="D82" s="121" t="s">
        <v>141</v>
      </c>
      <c r="E82" s="160">
        <v>52473</v>
      </c>
      <c r="F82" s="160">
        <v>71393</v>
      </c>
      <c r="G82" s="160">
        <v>65718</v>
      </c>
      <c r="H82" s="160">
        <v>63878</v>
      </c>
      <c r="I82" s="160">
        <v>71081</v>
      </c>
      <c r="J82" s="160">
        <v>63878</v>
      </c>
      <c r="K82" s="160">
        <v>63878</v>
      </c>
      <c r="L82" s="160">
        <v>63878</v>
      </c>
      <c r="M82" s="160">
        <v>66558</v>
      </c>
      <c r="N82" s="160">
        <v>63878</v>
      </c>
      <c r="O82" s="160">
        <v>76816</v>
      </c>
      <c r="P82" s="160">
        <v>78606</v>
      </c>
      <c r="Q82" s="160">
        <v>78584</v>
      </c>
      <c r="R82" s="160">
        <v>61960</v>
      </c>
      <c r="S82" s="160">
        <v>81042</v>
      </c>
      <c r="T82" s="160">
        <v>76922</v>
      </c>
      <c r="U82" s="160">
        <v>73941</v>
      </c>
      <c r="V82" s="160">
        <v>66943</v>
      </c>
      <c r="W82" s="160">
        <f t="shared" si="2"/>
        <v>6998</v>
      </c>
      <c r="X82" s="160">
        <f t="shared" si="3"/>
        <v>74.446808510638292</v>
      </c>
    </row>
    <row r="83" spans="2:25">
      <c r="B83" s="158"/>
      <c r="C83" s="121" t="s">
        <v>139</v>
      </c>
      <c r="D83" s="121" t="s">
        <v>139</v>
      </c>
      <c r="E83" s="160">
        <v>43600</v>
      </c>
      <c r="F83" s="160">
        <v>43600</v>
      </c>
      <c r="G83" s="160">
        <v>42181</v>
      </c>
      <c r="H83" s="160">
        <v>43600</v>
      </c>
      <c r="I83" s="160">
        <v>36812</v>
      </c>
      <c r="J83" s="160">
        <v>28800</v>
      </c>
      <c r="K83" s="160">
        <v>44729</v>
      </c>
      <c r="L83" s="160">
        <v>48600</v>
      </c>
      <c r="M83" s="160">
        <v>49705</v>
      </c>
      <c r="N83" s="160">
        <v>48600</v>
      </c>
      <c r="O83" s="160">
        <v>56960</v>
      </c>
      <c r="P83" s="160">
        <v>69728</v>
      </c>
      <c r="Q83" s="160">
        <v>69706</v>
      </c>
      <c r="R83" s="160">
        <v>68994</v>
      </c>
      <c r="S83" s="160">
        <v>77295</v>
      </c>
      <c r="T83" s="160">
        <v>58100</v>
      </c>
      <c r="U83" s="160">
        <v>53341</v>
      </c>
      <c r="V83" s="160">
        <v>53343</v>
      </c>
      <c r="W83" s="160">
        <f t="shared" si="2"/>
        <v>-2</v>
      </c>
      <c r="X83" s="160">
        <f t="shared" si="3"/>
        <v>-2.1276595744680851E-2</v>
      </c>
    </row>
    <row r="84" spans="2:25" s="163" customFormat="1">
      <c r="B84" s="158" t="s">
        <v>481</v>
      </c>
      <c r="C84" s="158"/>
      <c r="D84" s="158"/>
      <c r="E84" s="160">
        <v>989077</v>
      </c>
      <c r="F84" s="160">
        <v>1010421</v>
      </c>
      <c r="G84" s="160">
        <v>979123</v>
      </c>
      <c r="H84" s="160">
        <v>1237678</v>
      </c>
      <c r="I84" s="160">
        <v>1066698</v>
      </c>
      <c r="J84" s="160">
        <v>1377009</v>
      </c>
      <c r="K84" s="160">
        <v>1078169</v>
      </c>
      <c r="L84" s="160">
        <v>1097395</v>
      </c>
      <c r="M84" s="160">
        <v>1104109</v>
      </c>
      <c r="N84" s="160">
        <v>1099040</v>
      </c>
      <c r="O84" s="160">
        <v>1120338</v>
      </c>
      <c r="P84" s="160">
        <v>399774</v>
      </c>
      <c r="Q84" s="160">
        <v>1134834</v>
      </c>
      <c r="R84" s="160">
        <v>1106213</v>
      </c>
      <c r="S84" s="160">
        <v>1125085</v>
      </c>
      <c r="T84" s="160">
        <v>1093179</v>
      </c>
      <c r="U84" s="160">
        <v>1080481</v>
      </c>
      <c r="V84" s="160">
        <v>1073875</v>
      </c>
      <c r="W84" s="162">
        <f t="shared" si="2"/>
        <v>6606</v>
      </c>
      <c r="X84" s="162">
        <f t="shared" si="3"/>
        <v>70.276595744680847</v>
      </c>
      <c r="Y84" s="14"/>
    </row>
    <row r="85" spans="2:25">
      <c r="B85" s="158" t="s">
        <v>482</v>
      </c>
      <c r="C85" s="121" t="s">
        <v>146</v>
      </c>
      <c r="D85" s="121" t="s">
        <v>483</v>
      </c>
      <c r="E85" s="160">
        <v>125000</v>
      </c>
      <c r="F85" s="160">
        <v>125000</v>
      </c>
      <c r="G85" s="160">
        <v>125000</v>
      </c>
      <c r="H85" s="160">
        <v>125000</v>
      </c>
      <c r="I85" s="160">
        <v>125000</v>
      </c>
      <c r="J85" s="160">
        <v>125000</v>
      </c>
      <c r="K85" s="160">
        <v>125000</v>
      </c>
      <c r="L85" s="160">
        <v>125000</v>
      </c>
      <c r="M85" s="160">
        <v>125000</v>
      </c>
      <c r="N85" s="160">
        <v>125000</v>
      </c>
      <c r="O85" s="160">
        <v>125000</v>
      </c>
      <c r="P85" s="160">
        <v>125000</v>
      </c>
      <c r="Q85" s="160">
        <v>125000</v>
      </c>
      <c r="R85" s="160">
        <v>125000</v>
      </c>
      <c r="S85" s="160">
        <v>185000</v>
      </c>
      <c r="T85" s="160">
        <v>125000</v>
      </c>
      <c r="U85" s="160">
        <v>125000</v>
      </c>
      <c r="V85" s="160">
        <v>125000</v>
      </c>
      <c r="W85" s="160">
        <f t="shared" si="2"/>
        <v>0</v>
      </c>
      <c r="X85" s="160">
        <f t="shared" si="3"/>
        <v>0</v>
      </c>
    </row>
    <row r="86" spans="2:25">
      <c r="B86" s="158"/>
      <c r="C86" s="121" t="s">
        <v>53</v>
      </c>
      <c r="D86" s="121" t="s">
        <v>484</v>
      </c>
      <c r="E86" s="160"/>
      <c r="F86" s="160">
        <v>12420</v>
      </c>
      <c r="G86" s="160">
        <v>53658</v>
      </c>
      <c r="H86" s="160"/>
      <c r="I86" s="160"/>
      <c r="J86" s="160"/>
      <c r="K86" s="160"/>
      <c r="L86" s="160"/>
      <c r="M86" s="160"/>
      <c r="N86" s="160"/>
      <c r="O86" s="160"/>
      <c r="P86" s="160"/>
      <c r="Q86" s="160"/>
      <c r="R86" s="160"/>
      <c r="S86" s="160"/>
      <c r="T86" s="160"/>
      <c r="U86" s="160"/>
      <c r="V86" s="160"/>
      <c r="W86" s="160">
        <f t="shared" si="2"/>
        <v>0</v>
      </c>
      <c r="X86" s="160">
        <f t="shared" si="3"/>
        <v>0</v>
      </c>
    </row>
    <row r="87" spans="2:25">
      <c r="B87" s="158"/>
      <c r="C87" s="121"/>
      <c r="D87" s="121" t="s">
        <v>422</v>
      </c>
      <c r="E87" s="160"/>
      <c r="F87" s="160"/>
      <c r="G87" s="160"/>
      <c r="H87" s="160"/>
      <c r="I87" s="160"/>
      <c r="J87" s="160"/>
      <c r="K87" s="160"/>
      <c r="L87" s="160"/>
      <c r="M87" s="160"/>
      <c r="N87" s="160"/>
      <c r="O87" s="160"/>
      <c r="P87" s="160"/>
      <c r="Q87" s="160"/>
      <c r="R87" s="160"/>
      <c r="S87" s="160">
        <v>11172</v>
      </c>
      <c r="T87" s="160"/>
      <c r="U87" s="160"/>
      <c r="V87" s="160"/>
      <c r="W87" s="160">
        <f t="shared" si="2"/>
        <v>0</v>
      </c>
      <c r="X87" s="160">
        <f t="shared" si="3"/>
        <v>0</v>
      </c>
    </row>
    <row r="88" spans="2:25">
      <c r="B88" s="158"/>
      <c r="C88" s="121"/>
      <c r="D88" s="121" t="s">
        <v>53</v>
      </c>
      <c r="E88" s="160">
        <v>210148</v>
      </c>
      <c r="F88" s="160">
        <v>414284</v>
      </c>
      <c r="G88" s="160">
        <v>1019968</v>
      </c>
      <c r="H88" s="160"/>
      <c r="I88" s="160"/>
      <c r="J88" s="160">
        <v>51954</v>
      </c>
      <c r="K88" s="160"/>
      <c r="L88" s="160"/>
      <c r="M88" s="160"/>
      <c r="N88" s="160"/>
      <c r="O88" s="160"/>
      <c r="P88" s="160"/>
      <c r="Q88" s="160"/>
      <c r="R88" s="160"/>
      <c r="S88" s="160"/>
      <c r="T88" s="160"/>
      <c r="U88" s="160"/>
      <c r="V88" s="160"/>
      <c r="W88" s="160">
        <f t="shared" si="2"/>
        <v>0</v>
      </c>
      <c r="X88" s="160">
        <f t="shared" si="3"/>
        <v>0</v>
      </c>
    </row>
    <row r="89" spans="2:25">
      <c r="B89" s="158"/>
      <c r="C89" s="121" t="s">
        <v>485</v>
      </c>
      <c r="D89" s="121" t="s">
        <v>340</v>
      </c>
      <c r="E89" s="160"/>
      <c r="F89" s="160">
        <v>100000</v>
      </c>
      <c r="G89" s="160"/>
      <c r="H89" s="160"/>
      <c r="I89" s="160"/>
      <c r="J89" s="160"/>
      <c r="K89" s="160"/>
      <c r="L89" s="160"/>
      <c r="M89" s="160"/>
      <c r="N89" s="160"/>
      <c r="O89" s="160"/>
      <c r="P89" s="160"/>
      <c r="Q89" s="160"/>
      <c r="R89" s="160"/>
      <c r="S89" s="160"/>
      <c r="T89" s="160"/>
      <c r="U89" s="160"/>
      <c r="V89" s="160"/>
      <c r="W89" s="160">
        <f t="shared" si="2"/>
        <v>0</v>
      </c>
      <c r="X89" s="160">
        <f t="shared" si="3"/>
        <v>0</v>
      </c>
    </row>
    <row r="90" spans="2:25">
      <c r="B90" s="158"/>
      <c r="C90" s="121"/>
      <c r="D90" s="121" t="s">
        <v>486</v>
      </c>
      <c r="E90" s="160"/>
      <c r="F90" s="160"/>
      <c r="G90" s="160"/>
      <c r="H90" s="160"/>
      <c r="I90" s="160">
        <v>60450</v>
      </c>
      <c r="J90" s="160"/>
      <c r="K90" s="160"/>
      <c r="L90" s="160"/>
      <c r="M90" s="160"/>
      <c r="N90" s="160"/>
      <c r="O90" s="160"/>
      <c r="P90" s="160"/>
      <c r="Q90" s="160"/>
      <c r="R90" s="160"/>
      <c r="S90" s="160"/>
      <c r="T90" s="160"/>
      <c r="U90" s="160"/>
      <c r="V90" s="160"/>
      <c r="W90" s="160">
        <f t="shared" si="2"/>
        <v>0</v>
      </c>
      <c r="X90" s="160">
        <f t="shared" si="3"/>
        <v>0</v>
      </c>
    </row>
    <row r="91" spans="2:25">
      <c r="B91" s="158"/>
      <c r="C91" s="121"/>
      <c r="D91" s="121" t="s">
        <v>487</v>
      </c>
      <c r="E91" s="160"/>
      <c r="F91" s="160"/>
      <c r="G91" s="160"/>
      <c r="H91" s="160"/>
      <c r="I91" s="160"/>
      <c r="J91" s="160">
        <v>131000</v>
      </c>
      <c r="K91" s="160"/>
      <c r="L91" s="160"/>
      <c r="M91" s="160"/>
      <c r="N91" s="160"/>
      <c r="O91" s="160"/>
      <c r="P91" s="160"/>
      <c r="Q91" s="160"/>
      <c r="R91" s="160"/>
      <c r="S91" s="160"/>
      <c r="T91" s="160"/>
      <c r="U91" s="160"/>
      <c r="V91" s="160"/>
      <c r="W91" s="160">
        <f t="shared" si="2"/>
        <v>0</v>
      </c>
      <c r="X91" s="160">
        <f t="shared" si="3"/>
        <v>0</v>
      </c>
    </row>
    <row r="92" spans="2:25">
      <c r="B92" s="158"/>
      <c r="C92" s="121" t="s">
        <v>143</v>
      </c>
      <c r="D92" s="121" t="s">
        <v>488</v>
      </c>
      <c r="E92" s="160"/>
      <c r="F92" s="160"/>
      <c r="G92" s="160"/>
      <c r="H92" s="160"/>
      <c r="I92" s="160"/>
      <c r="J92" s="160">
        <v>165000</v>
      </c>
      <c r="K92" s="160">
        <v>30000</v>
      </c>
      <c r="L92" s="160"/>
      <c r="M92" s="160"/>
      <c r="N92" s="160"/>
      <c r="O92" s="160"/>
      <c r="P92" s="160">
        <v>6000</v>
      </c>
      <c r="Q92" s="160">
        <v>5000</v>
      </c>
      <c r="R92" s="160"/>
      <c r="S92" s="160"/>
      <c r="T92" s="160"/>
      <c r="U92" s="160"/>
      <c r="V92" s="160"/>
      <c r="W92" s="160">
        <f t="shared" si="2"/>
        <v>0</v>
      </c>
      <c r="X92" s="160">
        <f t="shared" si="3"/>
        <v>0</v>
      </c>
    </row>
    <row r="93" spans="2:25">
      <c r="B93" s="158"/>
      <c r="C93" s="121" t="s">
        <v>489</v>
      </c>
      <c r="D93" s="121" t="s">
        <v>483</v>
      </c>
      <c r="E93" s="160"/>
      <c r="F93" s="160"/>
      <c r="G93" s="160"/>
      <c r="H93" s="160"/>
      <c r="I93" s="160"/>
      <c r="J93" s="160"/>
      <c r="K93" s="160">
        <v>300</v>
      </c>
      <c r="L93" s="160"/>
      <c r="M93" s="160"/>
      <c r="N93" s="160"/>
      <c r="O93" s="160"/>
      <c r="P93" s="160"/>
      <c r="Q93" s="160"/>
      <c r="R93" s="160"/>
      <c r="S93" s="160"/>
      <c r="T93" s="160"/>
      <c r="U93" s="160"/>
      <c r="V93" s="160"/>
      <c r="W93" s="160">
        <f t="shared" si="2"/>
        <v>0</v>
      </c>
      <c r="X93" s="160">
        <f t="shared" si="3"/>
        <v>0</v>
      </c>
    </row>
    <row r="94" spans="2:25">
      <c r="B94" s="158" t="s">
        <v>490</v>
      </c>
      <c r="C94" s="158"/>
      <c r="D94" s="158"/>
      <c r="E94" s="160">
        <v>335148</v>
      </c>
      <c r="F94" s="160">
        <v>651704</v>
      </c>
      <c r="G94" s="160">
        <v>1198626</v>
      </c>
      <c r="H94" s="160">
        <v>125000</v>
      </c>
      <c r="I94" s="160">
        <v>185450</v>
      </c>
      <c r="J94" s="160">
        <v>472954</v>
      </c>
      <c r="K94" s="160">
        <v>155300</v>
      </c>
      <c r="L94" s="160">
        <v>125000</v>
      </c>
      <c r="M94" s="160">
        <v>125000</v>
      </c>
      <c r="N94" s="160">
        <v>125000</v>
      </c>
      <c r="O94" s="160">
        <v>125000</v>
      </c>
      <c r="P94" s="160">
        <v>131000</v>
      </c>
      <c r="Q94" s="160">
        <v>130000</v>
      </c>
      <c r="R94" s="160">
        <v>125000</v>
      </c>
      <c r="S94" s="160">
        <v>196172</v>
      </c>
      <c r="T94" s="160">
        <v>125000</v>
      </c>
      <c r="U94" s="160">
        <v>125000</v>
      </c>
      <c r="V94" s="160">
        <v>125000</v>
      </c>
      <c r="W94" s="162">
        <f t="shared" si="2"/>
        <v>0</v>
      </c>
      <c r="X94" s="162">
        <f t="shared" si="3"/>
        <v>0</v>
      </c>
    </row>
    <row r="95" spans="2:25">
      <c r="B95" s="158" t="s">
        <v>491</v>
      </c>
      <c r="C95" s="121" t="s">
        <v>106</v>
      </c>
      <c r="D95" s="121" t="s">
        <v>106</v>
      </c>
      <c r="E95" s="160">
        <v>106743</v>
      </c>
      <c r="F95" s="160">
        <v>143864</v>
      </c>
      <c r="G95" s="160">
        <v>123335</v>
      </c>
      <c r="H95" s="160">
        <v>135405</v>
      </c>
      <c r="I95" s="160">
        <v>131899</v>
      </c>
      <c r="J95" s="160">
        <v>19867</v>
      </c>
      <c r="K95" s="160">
        <v>19867</v>
      </c>
      <c r="L95" s="160">
        <v>125076</v>
      </c>
      <c r="M95" s="160">
        <v>112295</v>
      </c>
      <c r="N95" s="160">
        <v>130598</v>
      </c>
      <c r="O95" s="160">
        <v>118522</v>
      </c>
      <c r="P95" s="160">
        <v>106479</v>
      </c>
      <c r="Q95" s="160">
        <v>106145</v>
      </c>
      <c r="R95" s="160">
        <v>93372</v>
      </c>
      <c r="S95" s="160">
        <v>116553</v>
      </c>
      <c r="T95" s="160">
        <v>114721</v>
      </c>
      <c r="U95" s="160">
        <v>104048</v>
      </c>
      <c r="V95" s="160">
        <v>102491</v>
      </c>
      <c r="W95" s="160">
        <f t="shared" si="2"/>
        <v>1557</v>
      </c>
      <c r="X95" s="160">
        <f t="shared" si="3"/>
        <v>16.563829787234042</v>
      </c>
    </row>
    <row r="96" spans="2:25">
      <c r="B96" s="158"/>
      <c r="C96" s="121" t="s">
        <v>492</v>
      </c>
      <c r="D96" s="121" t="s">
        <v>493</v>
      </c>
      <c r="E96" s="160"/>
      <c r="F96" s="160"/>
      <c r="G96" s="160"/>
      <c r="H96" s="160"/>
      <c r="I96" s="160"/>
      <c r="J96" s="160"/>
      <c r="K96" s="160"/>
      <c r="L96" s="160"/>
      <c r="M96" s="160"/>
      <c r="N96" s="160"/>
      <c r="O96" s="160">
        <v>10</v>
      </c>
      <c r="P96" s="160"/>
      <c r="Q96" s="160"/>
      <c r="R96" s="160"/>
      <c r="S96" s="160"/>
      <c r="T96" s="160"/>
      <c r="U96" s="160"/>
      <c r="V96" s="160"/>
      <c r="W96" s="160">
        <f t="shared" si="2"/>
        <v>0</v>
      </c>
      <c r="X96" s="160">
        <f t="shared" si="3"/>
        <v>0</v>
      </c>
    </row>
    <row r="97" spans="2:24">
      <c r="B97" s="158" t="s">
        <v>494</v>
      </c>
      <c r="C97" s="158"/>
      <c r="D97" s="158"/>
      <c r="E97" s="160">
        <v>106743</v>
      </c>
      <c r="F97" s="160">
        <v>143864</v>
      </c>
      <c r="G97" s="160">
        <v>123335</v>
      </c>
      <c r="H97" s="160">
        <v>135405</v>
      </c>
      <c r="I97" s="160">
        <v>131899</v>
      </c>
      <c r="J97" s="160">
        <v>19867</v>
      </c>
      <c r="K97" s="160">
        <v>19867</v>
      </c>
      <c r="L97" s="160">
        <v>125076</v>
      </c>
      <c r="M97" s="160">
        <v>112295</v>
      </c>
      <c r="N97" s="160">
        <v>130598</v>
      </c>
      <c r="O97" s="160">
        <v>118532</v>
      </c>
      <c r="P97" s="160">
        <v>106479</v>
      </c>
      <c r="Q97" s="160">
        <v>106145</v>
      </c>
      <c r="R97" s="160">
        <v>93372</v>
      </c>
      <c r="S97" s="160">
        <v>116553</v>
      </c>
      <c r="T97" s="160">
        <v>114721</v>
      </c>
      <c r="U97" s="160">
        <v>104048</v>
      </c>
      <c r="V97" s="160">
        <v>102491</v>
      </c>
      <c r="W97" s="162">
        <f t="shared" si="2"/>
        <v>1557</v>
      </c>
      <c r="X97" s="162">
        <f t="shared" si="3"/>
        <v>16.563829787234042</v>
      </c>
    </row>
    <row r="98" spans="2:24">
      <c r="B98" s="158" t="s">
        <v>495</v>
      </c>
      <c r="C98" s="121" t="s">
        <v>57</v>
      </c>
      <c r="D98" s="121" t="s">
        <v>57</v>
      </c>
      <c r="E98" s="160">
        <v>296342</v>
      </c>
      <c r="F98" s="160">
        <v>305791</v>
      </c>
      <c r="G98" s="160">
        <v>317357</v>
      </c>
      <c r="H98" s="160">
        <v>314981</v>
      </c>
      <c r="I98" s="160">
        <v>338119</v>
      </c>
      <c r="J98" s="160">
        <v>338763</v>
      </c>
      <c r="K98" s="160">
        <v>356938</v>
      </c>
      <c r="L98" s="160">
        <v>390653</v>
      </c>
      <c r="M98" s="160">
        <v>418465</v>
      </c>
      <c r="N98" s="160">
        <v>430132</v>
      </c>
      <c r="O98" s="160">
        <v>435979</v>
      </c>
      <c r="P98" s="160">
        <v>479345</v>
      </c>
      <c r="Q98" s="160">
        <v>467242</v>
      </c>
      <c r="R98" s="160">
        <v>426537</v>
      </c>
      <c r="S98" s="160">
        <v>458363</v>
      </c>
      <c r="T98" s="160">
        <v>458087</v>
      </c>
      <c r="U98" s="160">
        <v>450986.5</v>
      </c>
      <c r="V98" s="160">
        <v>462074</v>
      </c>
      <c r="W98" s="160">
        <f t="shared" si="2"/>
        <v>-11087.5</v>
      </c>
      <c r="X98" s="160">
        <f t="shared" si="3"/>
        <v>-117.95212765957447</v>
      </c>
    </row>
    <row r="99" spans="2:24">
      <c r="B99" s="158"/>
      <c r="C99" s="121" t="s">
        <v>59</v>
      </c>
      <c r="D99" s="121" t="s">
        <v>59</v>
      </c>
      <c r="E99" s="160">
        <v>296342</v>
      </c>
      <c r="F99" s="160">
        <v>305791</v>
      </c>
      <c r="G99" s="160">
        <v>317357</v>
      </c>
      <c r="H99" s="160">
        <v>314981</v>
      </c>
      <c r="I99" s="160">
        <v>338119</v>
      </c>
      <c r="J99" s="160">
        <v>338763</v>
      </c>
      <c r="K99" s="160">
        <v>356938</v>
      </c>
      <c r="L99" s="160">
        <v>390653</v>
      </c>
      <c r="M99" s="160">
        <v>418465</v>
      </c>
      <c r="N99" s="160">
        <v>430132</v>
      </c>
      <c r="O99" s="160">
        <v>435979</v>
      </c>
      <c r="P99" s="160">
        <v>479345</v>
      </c>
      <c r="Q99" s="160">
        <v>467242</v>
      </c>
      <c r="R99" s="160">
        <v>426537</v>
      </c>
      <c r="S99" s="160">
        <v>458363</v>
      </c>
      <c r="T99" s="160">
        <v>458087</v>
      </c>
      <c r="U99" s="160">
        <v>450986.5</v>
      </c>
      <c r="V99" s="160">
        <v>462074</v>
      </c>
      <c r="W99" s="160">
        <f t="shared" si="2"/>
        <v>-11087.5</v>
      </c>
      <c r="X99" s="160">
        <f t="shared" si="3"/>
        <v>-117.95212765957447</v>
      </c>
    </row>
    <row r="100" spans="2:24">
      <c r="B100" s="158"/>
      <c r="C100" s="121" t="s">
        <v>95</v>
      </c>
      <c r="D100" s="121" t="s">
        <v>95</v>
      </c>
      <c r="E100" s="160">
        <v>200794</v>
      </c>
      <c r="F100" s="160">
        <v>200730</v>
      </c>
      <c r="G100" s="160">
        <v>210292</v>
      </c>
      <c r="H100" s="160">
        <v>216462</v>
      </c>
      <c r="I100" s="160">
        <v>228978</v>
      </c>
      <c r="J100" s="160">
        <v>229828</v>
      </c>
      <c r="K100" s="160">
        <v>297205</v>
      </c>
      <c r="L100" s="160">
        <v>273626</v>
      </c>
      <c r="M100" s="160">
        <v>277256</v>
      </c>
      <c r="N100" s="160">
        <v>289438</v>
      </c>
      <c r="O100" s="160">
        <v>264362</v>
      </c>
      <c r="P100" s="160">
        <v>293709</v>
      </c>
      <c r="Q100" s="160">
        <v>296255</v>
      </c>
      <c r="R100" s="160">
        <v>267000</v>
      </c>
      <c r="S100" s="160">
        <v>282458</v>
      </c>
      <c r="T100" s="160">
        <v>271457</v>
      </c>
      <c r="U100" s="160">
        <v>268211</v>
      </c>
      <c r="V100" s="160">
        <v>281311</v>
      </c>
      <c r="W100" s="160">
        <f t="shared" si="2"/>
        <v>-13100</v>
      </c>
      <c r="X100" s="160">
        <f t="shared" si="3"/>
        <v>-139.36170212765958</v>
      </c>
    </row>
    <row r="101" spans="2:24">
      <c r="B101" s="158"/>
      <c r="C101" s="121" t="s">
        <v>99</v>
      </c>
      <c r="D101" s="121" t="s">
        <v>422</v>
      </c>
      <c r="E101" s="160">
        <v>8856</v>
      </c>
      <c r="F101" s="160"/>
      <c r="G101" s="160"/>
      <c r="H101" s="160">
        <v>3826</v>
      </c>
      <c r="I101" s="160">
        <v>10216</v>
      </c>
      <c r="J101" s="160">
        <v>7035</v>
      </c>
      <c r="K101" s="160"/>
      <c r="L101" s="160"/>
      <c r="M101" s="160"/>
      <c r="N101" s="160"/>
      <c r="O101" s="160"/>
      <c r="P101" s="160">
        <v>35700</v>
      </c>
      <c r="Q101" s="160"/>
      <c r="R101" s="160">
        <v>3020</v>
      </c>
      <c r="S101" s="160">
        <v>710</v>
      </c>
      <c r="T101" s="160">
        <v>160</v>
      </c>
      <c r="U101" s="160">
        <v>730</v>
      </c>
      <c r="V101" s="160"/>
      <c r="W101" s="160">
        <f t="shared" si="2"/>
        <v>730</v>
      </c>
      <c r="X101" s="160">
        <f t="shared" si="3"/>
        <v>7.7659574468085104</v>
      </c>
    </row>
    <row r="102" spans="2:24">
      <c r="B102" s="158"/>
      <c r="C102" s="121"/>
      <c r="D102" s="121" t="s">
        <v>459</v>
      </c>
      <c r="E102" s="160">
        <v>390</v>
      </c>
      <c r="F102" s="160">
        <v>3130</v>
      </c>
      <c r="G102" s="160"/>
      <c r="H102" s="160">
        <v>820</v>
      </c>
      <c r="I102" s="160"/>
      <c r="J102" s="160">
        <v>55256</v>
      </c>
      <c r="K102" s="160">
        <v>4673</v>
      </c>
      <c r="L102" s="160"/>
      <c r="M102" s="160"/>
      <c r="N102" s="160"/>
      <c r="O102" s="160"/>
      <c r="P102" s="160"/>
      <c r="Q102" s="160">
        <v>230</v>
      </c>
      <c r="R102" s="160"/>
      <c r="S102" s="160">
        <v>2150</v>
      </c>
      <c r="T102" s="160"/>
      <c r="U102" s="160">
        <v>7080</v>
      </c>
      <c r="V102" s="160"/>
      <c r="W102" s="160">
        <f t="shared" si="2"/>
        <v>7080</v>
      </c>
      <c r="X102" s="160">
        <f t="shared" si="3"/>
        <v>75.319148936170208</v>
      </c>
    </row>
    <row r="103" spans="2:24">
      <c r="B103" s="158"/>
      <c r="C103" s="121"/>
      <c r="D103" s="121" t="s">
        <v>438</v>
      </c>
      <c r="E103" s="160"/>
      <c r="F103" s="160">
        <v>1648</v>
      </c>
      <c r="G103" s="160"/>
      <c r="H103" s="160"/>
      <c r="I103" s="160"/>
      <c r="J103" s="160"/>
      <c r="K103" s="160"/>
      <c r="L103" s="160"/>
      <c r="M103" s="160"/>
      <c r="N103" s="160"/>
      <c r="O103" s="160">
        <v>18170</v>
      </c>
      <c r="P103" s="160"/>
      <c r="Q103" s="160">
        <v>589.5</v>
      </c>
      <c r="R103" s="160">
        <v>20917.689999999999</v>
      </c>
      <c r="S103" s="160"/>
      <c r="T103" s="160"/>
      <c r="U103" s="160"/>
      <c r="V103" s="160">
        <v>5000</v>
      </c>
      <c r="W103" s="160">
        <f t="shared" si="2"/>
        <v>-5000</v>
      </c>
      <c r="X103" s="160">
        <f t="shared" si="3"/>
        <v>-53.191489361702125</v>
      </c>
    </row>
    <row r="104" spans="2:24">
      <c r="B104" s="158"/>
      <c r="C104" s="121"/>
      <c r="D104" s="121" t="s">
        <v>510</v>
      </c>
      <c r="E104" s="160"/>
      <c r="F104" s="160"/>
      <c r="G104" s="160"/>
      <c r="H104" s="160"/>
      <c r="I104" s="160"/>
      <c r="J104" s="160">
        <v>3812</v>
      </c>
      <c r="K104" s="160"/>
      <c r="L104" s="160"/>
      <c r="M104" s="160"/>
      <c r="N104" s="160"/>
      <c r="O104" s="160"/>
      <c r="P104" s="160"/>
      <c r="Q104" s="160"/>
      <c r="R104" s="160"/>
      <c r="S104" s="160"/>
      <c r="T104" s="160"/>
      <c r="U104" s="160"/>
      <c r="V104" s="160"/>
      <c r="W104" s="160">
        <f t="shared" si="2"/>
        <v>0</v>
      </c>
      <c r="X104" s="160">
        <f t="shared" si="3"/>
        <v>0</v>
      </c>
    </row>
    <row r="105" spans="2:24">
      <c r="B105" s="158"/>
      <c r="C105" s="121"/>
      <c r="D105" s="121" t="s">
        <v>99</v>
      </c>
      <c r="E105" s="160"/>
      <c r="F105" s="160"/>
      <c r="G105" s="160"/>
      <c r="H105" s="160"/>
      <c r="I105" s="160"/>
      <c r="J105" s="160">
        <v>41390</v>
      </c>
      <c r="K105" s="160">
        <v>6417</v>
      </c>
      <c r="L105" s="160">
        <v>11957</v>
      </c>
      <c r="M105" s="160">
        <v>17762</v>
      </c>
      <c r="N105" s="160"/>
      <c r="O105" s="160"/>
      <c r="P105" s="160">
        <v>15306</v>
      </c>
      <c r="Q105" s="160"/>
      <c r="R105" s="160"/>
      <c r="S105" s="160"/>
      <c r="T105" s="160"/>
      <c r="U105" s="160"/>
      <c r="V105" s="160"/>
      <c r="W105" s="160">
        <f t="shared" si="2"/>
        <v>0</v>
      </c>
      <c r="X105" s="160">
        <f t="shared" si="3"/>
        <v>0</v>
      </c>
    </row>
    <row r="106" spans="2:24">
      <c r="B106" s="158"/>
      <c r="C106" s="121"/>
      <c r="D106" s="121" t="s">
        <v>511</v>
      </c>
      <c r="E106" s="160">
        <v>8909</v>
      </c>
      <c r="F106" s="160"/>
      <c r="G106" s="160"/>
      <c r="H106" s="160"/>
      <c r="I106" s="160"/>
      <c r="J106" s="160"/>
      <c r="K106" s="160"/>
      <c r="L106" s="160"/>
      <c r="M106" s="160"/>
      <c r="N106" s="160"/>
      <c r="O106" s="160"/>
      <c r="P106" s="160"/>
      <c r="Q106" s="160"/>
      <c r="R106" s="160"/>
      <c r="S106" s="160"/>
      <c r="T106" s="160"/>
      <c r="U106" s="160"/>
      <c r="V106" s="160"/>
      <c r="W106" s="160">
        <f t="shared" si="2"/>
        <v>0</v>
      </c>
      <c r="X106" s="160">
        <f t="shared" si="3"/>
        <v>0</v>
      </c>
    </row>
    <row r="107" spans="2:24">
      <c r="B107" s="158"/>
      <c r="C107" s="121"/>
      <c r="D107" s="121" t="s">
        <v>512</v>
      </c>
      <c r="E107" s="160"/>
      <c r="F107" s="160"/>
      <c r="G107" s="160">
        <v>206943.42</v>
      </c>
      <c r="H107" s="160"/>
      <c r="I107" s="160"/>
      <c r="J107" s="160"/>
      <c r="K107" s="160"/>
      <c r="L107" s="160"/>
      <c r="M107" s="160"/>
      <c r="N107" s="160"/>
      <c r="O107" s="160"/>
      <c r="P107" s="160"/>
      <c r="Q107" s="160"/>
      <c r="R107" s="160"/>
      <c r="S107" s="160"/>
      <c r="T107" s="160"/>
      <c r="U107" s="160"/>
      <c r="V107" s="160">
        <v>180000</v>
      </c>
      <c r="W107" s="160">
        <f t="shared" si="2"/>
        <v>-180000</v>
      </c>
      <c r="X107" s="160">
        <f t="shared" si="3"/>
        <v>-1914.8936170212767</v>
      </c>
    </row>
    <row r="108" spans="2:24">
      <c r="B108" s="158"/>
      <c r="C108" s="121"/>
      <c r="D108" s="121" t="s">
        <v>513</v>
      </c>
      <c r="E108" s="160"/>
      <c r="F108" s="160"/>
      <c r="G108" s="160"/>
      <c r="H108" s="160"/>
      <c r="I108" s="160"/>
      <c r="J108" s="160"/>
      <c r="K108" s="160"/>
      <c r="L108" s="160"/>
      <c r="M108" s="160"/>
      <c r="N108" s="160">
        <v>6249</v>
      </c>
      <c r="O108" s="160"/>
      <c r="P108" s="160"/>
      <c r="Q108" s="160"/>
      <c r="R108" s="160"/>
      <c r="S108" s="160"/>
      <c r="T108" s="160"/>
      <c r="U108" s="160"/>
      <c r="V108" s="160"/>
      <c r="W108" s="160">
        <f t="shared" si="2"/>
        <v>0</v>
      </c>
      <c r="X108" s="160">
        <f t="shared" si="3"/>
        <v>0</v>
      </c>
    </row>
    <row r="109" spans="2:24">
      <c r="B109" s="158"/>
      <c r="C109" s="121"/>
      <c r="D109" s="121" t="s">
        <v>469</v>
      </c>
      <c r="E109" s="160"/>
      <c r="F109" s="160"/>
      <c r="G109" s="160"/>
      <c r="H109" s="160"/>
      <c r="I109" s="160"/>
      <c r="J109" s="160"/>
      <c r="K109" s="160"/>
      <c r="L109" s="160"/>
      <c r="M109" s="160"/>
      <c r="N109" s="160">
        <v>2976</v>
      </c>
      <c r="O109" s="160">
        <v>5972</v>
      </c>
      <c r="P109" s="160">
        <v>4607.96</v>
      </c>
      <c r="Q109" s="160">
        <v>1507</v>
      </c>
      <c r="R109" s="160">
        <v>2979</v>
      </c>
      <c r="S109" s="160">
        <v>2834</v>
      </c>
      <c r="T109" s="160">
        <v>9654</v>
      </c>
      <c r="U109" s="160">
        <v>17472</v>
      </c>
      <c r="V109" s="160">
        <v>18866.580000000002</v>
      </c>
      <c r="W109" s="160">
        <f t="shared" si="2"/>
        <v>-1394.5800000000017</v>
      </c>
      <c r="X109" s="160">
        <f t="shared" si="3"/>
        <v>-14.835957446808528</v>
      </c>
    </row>
    <row r="110" spans="2:24">
      <c r="B110" s="158"/>
      <c r="C110" s="121"/>
      <c r="D110" s="121" t="s">
        <v>514</v>
      </c>
      <c r="E110" s="160"/>
      <c r="F110" s="160"/>
      <c r="G110" s="160"/>
      <c r="H110" s="160"/>
      <c r="I110" s="160"/>
      <c r="J110" s="160"/>
      <c r="K110" s="160"/>
      <c r="L110" s="160"/>
      <c r="M110" s="160"/>
      <c r="N110" s="160"/>
      <c r="O110" s="160"/>
      <c r="P110" s="160">
        <v>27036</v>
      </c>
      <c r="Q110" s="160"/>
      <c r="R110" s="160"/>
      <c r="S110" s="160"/>
      <c r="T110" s="160"/>
      <c r="U110" s="160"/>
      <c r="V110" s="160"/>
      <c r="W110" s="160">
        <f t="shared" si="2"/>
        <v>0</v>
      </c>
      <c r="X110" s="160">
        <f t="shared" si="3"/>
        <v>0</v>
      </c>
    </row>
    <row r="111" spans="2:24">
      <c r="B111" s="158"/>
      <c r="C111" s="121"/>
      <c r="D111" s="121" t="s">
        <v>515</v>
      </c>
      <c r="E111" s="160"/>
      <c r="F111" s="160"/>
      <c r="G111" s="160"/>
      <c r="H111" s="160"/>
      <c r="I111" s="160"/>
      <c r="J111" s="160"/>
      <c r="K111" s="160"/>
      <c r="L111" s="160"/>
      <c r="M111" s="160"/>
      <c r="N111" s="160"/>
      <c r="O111" s="160"/>
      <c r="P111" s="160">
        <v>13622</v>
      </c>
      <c r="Q111" s="160"/>
      <c r="R111" s="160"/>
      <c r="S111" s="160"/>
      <c r="T111" s="160"/>
      <c r="U111" s="160"/>
      <c r="V111" s="160"/>
      <c r="W111" s="160">
        <f t="shared" si="2"/>
        <v>0</v>
      </c>
      <c r="X111" s="160">
        <f t="shared" si="3"/>
        <v>0</v>
      </c>
    </row>
    <row r="112" spans="2:24">
      <c r="B112" s="158"/>
      <c r="C112" s="121"/>
      <c r="D112" s="121" t="s">
        <v>516</v>
      </c>
      <c r="E112" s="160"/>
      <c r="F112" s="160"/>
      <c r="G112" s="160"/>
      <c r="H112" s="160"/>
      <c r="I112" s="160"/>
      <c r="J112" s="160"/>
      <c r="K112" s="160"/>
      <c r="L112" s="160"/>
      <c r="M112" s="160"/>
      <c r="N112" s="160"/>
      <c r="O112" s="160"/>
      <c r="P112" s="160">
        <v>26000</v>
      </c>
      <c r="Q112" s="160"/>
      <c r="R112" s="160"/>
      <c r="S112" s="160"/>
      <c r="T112" s="160"/>
      <c r="U112" s="160"/>
      <c r="V112" s="160"/>
      <c r="W112" s="160">
        <f t="shared" si="2"/>
        <v>0</v>
      </c>
      <c r="X112" s="160">
        <f t="shared" si="3"/>
        <v>0</v>
      </c>
    </row>
    <row r="113" spans="2:24">
      <c r="B113" s="158"/>
      <c r="C113" s="121"/>
      <c r="D113" s="121" t="s">
        <v>517</v>
      </c>
      <c r="E113" s="160"/>
      <c r="F113" s="160"/>
      <c r="G113" s="160"/>
      <c r="H113" s="160"/>
      <c r="I113" s="160"/>
      <c r="J113" s="160"/>
      <c r="K113" s="160"/>
      <c r="L113" s="160"/>
      <c r="M113" s="160"/>
      <c r="N113" s="160"/>
      <c r="O113" s="160"/>
      <c r="P113" s="160">
        <v>24069</v>
      </c>
      <c r="Q113" s="160"/>
      <c r="R113" s="160"/>
      <c r="S113" s="160"/>
      <c r="T113" s="160"/>
      <c r="U113" s="160"/>
      <c r="V113" s="160"/>
      <c r="W113" s="160">
        <f t="shared" si="2"/>
        <v>0</v>
      </c>
      <c r="X113" s="160">
        <f t="shared" si="3"/>
        <v>0</v>
      </c>
    </row>
    <row r="114" spans="2:24">
      <c r="B114" s="158"/>
      <c r="C114" s="121"/>
      <c r="D114" s="121" t="s">
        <v>518</v>
      </c>
      <c r="E114" s="160"/>
      <c r="F114" s="160"/>
      <c r="G114" s="160"/>
      <c r="H114" s="160"/>
      <c r="I114" s="160"/>
      <c r="J114" s="160"/>
      <c r="K114" s="160"/>
      <c r="L114" s="160"/>
      <c r="M114" s="160"/>
      <c r="N114" s="160"/>
      <c r="O114" s="160"/>
      <c r="P114" s="160">
        <v>83225</v>
      </c>
      <c r="Q114" s="160"/>
      <c r="R114" s="160"/>
      <c r="S114" s="160"/>
      <c r="T114" s="160"/>
      <c r="U114" s="160"/>
      <c r="V114" s="160"/>
      <c r="W114" s="160">
        <f t="shared" si="2"/>
        <v>0</v>
      </c>
      <c r="X114" s="160">
        <f t="shared" si="3"/>
        <v>0</v>
      </c>
    </row>
    <row r="115" spans="2:24">
      <c r="B115" s="158"/>
      <c r="C115" s="121"/>
      <c r="D115" s="121" t="s">
        <v>519</v>
      </c>
      <c r="E115" s="160"/>
      <c r="F115" s="160"/>
      <c r="G115" s="160"/>
      <c r="H115" s="160"/>
      <c r="I115" s="160"/>
      <c r="J115" s="160"/>
      <c r="K115" s="160"/>
      <c r="L115" s="160"/>
      <c r="M115" s="160"/>
      <c r="N115" s="160"/>
      <c r="O115" s="160"/>
      <c r="P115" s="160">
        <v>1600</v>
      </c>
      <c r="Q115" s="160"/>
      <c r="R115" s="160"/>
      <c r="S115" s="160"/>
      <c r="T115" s="160"/>
      <c r="U115" s="160"/>
      <c r="V115" s="160"/>
      <c r="W115" s="160">
        <f t="shared" si="2"/>
        <v>0</v>
      </c>
      <c r="X115" s="160">
        <f t="shared" si="3"/>
        <v>0</v>
      </c>
    </row>
    <row r="116" spans="2:24">
      <c r="B116" s="158"/>
      <c r="C116" s="121"/>
      <c r="D116" s="121" t="s">
        <v>520</v>
      </c>
      <c r="E116" s="160"/>
      <c r="F116" s="160"/>
      <c r="G116" s="160"/>
      <c r="H116" s="160"/>
      <c r="I116" s="160"/>
      <c r="J116" s="160"/>
      <c r="K116" s="160"/>
      <c r="L116" s="160"/>
      <c r="M116" s="160"/>
      <c r="N116" s="160"/>
      <c r="O116" s="160"/>
      <c r="P116" s="160">
        <v>6000</v>
      </c>
      <c r="Q116" s="160"/>
      <c r="R116" s="160"/>
      <c r="S116" s="160"/>
      <c r="T116" s="160"/>
      <c r="U116" s="160"/>
      <c r="V116" s="160"/>
      <c r="W116" s="160">
        <f t="shared" si="2"/>
        <v>0</v>
      </c>
      <c r="X116" s="160">
        <f t="shared" si="3"/>
        <v>0</v>
      </c>
    </row>
    <row r="117" spans="2:24">
      <c r="B117" s="158"/>
      <c r="C117" s="121"/>
      <c r="D117" s="121" t="s">
        <v>521</v>
      </c>
      <c r="E117" s="160"/>
      <c r="F117" s="160"/>
      <c r="G117" s="160"/>
      <c r="H117" s="160"/>
      <c r="I117" s="160"/>
      <c r="J117" s="160"/>
      <c r="K117" s="160"/>
      <c r="L117" s="160"/>
      <c r="M117" s="160"/>
      <c r="N117" s="160"/>
      <c r="O117" s="160"/>
      <c r="P117" s="160">
        <v>441</v>
      </c>
      <c r="Q117" s="160"/>
      <c r="R117" s="160"/>
      <c r="S117" s="160"/>
      <c r="T117" s="160"/>
      <c r="U117" s="160"/>
      <c r="V117" s="160"/>
      <c r="W117" s="160">
        <f t="shared" si="2"/>
        <v>0</v>
      </c>
      <c r="X117" s="160">
        <f t="shared" si="3"/>
        <v>0</v>
      </c>
    </row>
    <row r="118" spans="2:24">
      <c r="B118" s="158"/>
      <c r="C118" s="121"/>
      <c r="D118" s="121" t="s">
        <v>522</v>
      </c>
      <c r="E118" s="160"/>
      <c r="F118" s="160"/>
      <c r="G118" s="160"/>
      <c r="H118" s="160"/>
      <c r="I118" s="160"/>
      <c r="J118" s="160"/>
      <c r="K118" s="160"/>
      <c r="L118" s="160"/>
      <c r="M118" s="160"/>
      <c r="N118" s="160"/>
      <c r="O118" s="160">
        <v>20000</v>
      </c>
      <c r="P118" s="160"/>
      <c r="Q118" s="160"/>
      <c r="R118" s="160"/>
      <c r="S118" s="160"/>
      <c r="T118" s="160"/>
      <c r="U118" s="160"/>
      <c r="V118" s="160"/>
      <c r="W118" s="160">
        <f t="shared" si="2"/>
        <v>0</v>
      </c>
      <c r="X118" s="160">
        <f t="shared" si="3"/>
        <v>0</v>
      </c>
    </row>
    <row r="119" spans="2:24">
      <c r="B119" s="158"/>
      <c r="C119" s="121"/>
      <c r="D119" s="121" t="s">
        <v>523</v>
      </c>
      <c r="E119" s="160"/>
      <c r="F119" s="160"/>
      <c r="G119" s="160"/>
      <c r="H119" s="160"/>
      <c r="I119" s="160"/>
      <c r="J119" s="160"/>
      <c r="K119" s="160"/>
      <c r="L119" s="160"/>
      <c r="M119" s="160"/>
      <c r="N119" s="160"/>
      <c r="O119" s="160">
        <v>2271</v>
      </c>
      <c r="P119" s="160"/>
      <c r="Q119" s="160"/>
      <c r="R119" s="160"/>
      <c r="S119" s="160"/>
      <c r="T119" s="160"/>
      <c r="U119" s="160"/>
      <c r="V119" s="160"/>
      <c r="W119" s="160">
        <f t="shared" si="2"/>
        <v>0</v>
      </c>
      <c r="X119" s="160">
        <f t="shared" si="3"/>
        <v>0</v>
      </c>
    </row>
    <row r="120" spans="2:24">
      <c r="B120" s="158"/>
      <c r="C120" s="121"/>
      <c r="D120" s="121" t="s">
        <v>653</v>
      </c>
      <c r="E120" s="160"/>
      <c r="F120" s="160"/>
      <c r="G120" s="160"/>
      <c r="H120" s="160"/>
      <c r="I120" s="160"/>
      <c r="J120" s="160"/>
      <c r="K120" s="160"/>
      <c r="L120" s="160"/>
      <c r="M120" s="160"/>
      <c r="N120" s="160"/>
      <c r="O120" s="160"/>
      <c r="P120" s="160"/>
      <c r="Q120" s="160"/>
      <c r="R120" s="160"/>
      <c r="S120" s="160"/>
      <c r="T120" s="160"/>
      <c r="U120" s="160"/>
      <c r="V120" s="160">
        <v>92857.14</v>
      </c>
      <c r="W120" s="160">
        <f t="shared" si="2"/>
        <v>-92857.14</v>
      </c>
      <c r="X120" s="160">
        <f t="shared" si="3"/>
        <v>-987.84191489361706</v>
      </c>
    </row>
    <row r="121" spans="2:24">
      <c r="B121" s="158"/>
      <c r="C121" s="121" t="s">
        <v>496</v>
      </c>
      <c r="D121" s="121" t="s">
        <v>496</v>
      </c>
      <c r="E121" s="160">
        <v>40200</v>
      </c>
      <c r="F121" s="160">
        <v>41600</v>
      </c>
      <c r="G121" s="160">
        <v>53330</v>
      </c>
      <c r="H121" s="160">
        <v>45400</v>
      </c>
      <c r="I121" s="160">
        <v>48785</v>
      </c>
      <c r="J121" s="160">
        <v>50500</v>
      </c>
      <c r="K121" s="160">
        <v>51405</v>
      </c>
      <c r="L121" s="160">
        <v>56800</v>
      </c>
      <c r="M121" s="160">
        <v>101380</v>
      </c>
      <c r="N121" s="160">
        <v>57910</v>
      </c>
      <c r="O121" s="160">
        <v>59440</v>
      </c>
      <c r="P121" s="160">
        <v>72328</v>
      </c>
      <c r="Q121" s="160">
        <v>68808</v>
      </c>
      <c r="R121" s="160">
        <v>59223</v>
      </c>
      <c r="S121" s="160">
        <v>58813</v>
      </c>
      <c r="T121" s="160">
        <v>56163</v>
      </c>
      <c r="U121" s="160">
        <v>56838</v>
      </c>
      <c r="V121" s="160">
        <v>61179</v>
      </c>
      <c r="W121" s="160">
        <f t="shared" si="2"/>
        <v>-4341</v>
      </c>
      <c r="X121" s="160">
        <f t="shared" si="3"/>
        <v>-46.180851063829785</v>
      </c>
    </row>
    <row r="122" spans="2:24">
      <c r="B122" s="158"/>
      <c r="C122" s="121" t="s">
        <v>137</v>
      </c>
      <c r="D122" s="121" t="s">
        <v>497</v>
      </c>
      <c r="E122" s="160"/>
      <c r="F122" s="160"/>
      <c r="G122" s="160"/>
      <c r="H122" s="160"/>
      <c r="I122" s="160"/>
      <c r="J122" s="160"/>
      <c r="K122" s="160"/>
      <c r="L122" s="160"/>
      <c r="M122" s="160"/>
      <c r="N122" s="160">
        <v>1186.44</v>
      </c>
      <c r="O122" s="160"/>
      <c r="P122" s="160"/>
      <c r="Q122" s="160"/>
      <c r="R122" s="160"/>
      <c r="S122" s="160"/>
      <c r="T122" s="160"/>
      <c r="U122" s="160"/>
      <c r="V122" s="160"/>
      <c r="W122" s="160">
        <f t="shared" si="2"/>
        <v>0</v>
      </c>
      <c r="X122" s="160">
        <f t="shared" si="3"/>
        <v>0</v>
      </c>
    </row>
    <row r="123" spans="2:24">
      <c r="B123" s="158"/>
      <c r="C123" s="121"/>
      <c r="D123" s="121" t="s">
        <v>498</v>
      </c>
      <c r="E123" s="160"/>
      <c r="F123" s="160"/>
      <c r="G123" s="160"/>
      <c r="H123" s="160"/>
      <c r="I123" s="160">
        <v>2000</v>
      </c>
      <c r="J123" s="160"/>
      <c r="K123" s="160"/>
      <c r="L123" s="160"/>
      <c r="M123" s="160"/>
      <c r="N123" s="160"/>
      <c r="O123" s="160"/>
      <c r="P123" s="160"/>
      <c r="Q123" s="160"/>
      <c r="R123" s="160"/>
      <c r="S123" s="160"/>
      <c r="T123" s="160"/>
      <c r="U123" s="160"/>
      <c r="V123" s="160"/>
      <c r="W123" s="160">
        <f t="shared" si="2"/>
        <v>0</v>
      </c>
      <c r="X123" s="160">
        <f t="shared" si="3"/>
        <v>0</v>
      </c>
    </row>
    <row r="124" spans="2:24">
      <c r="B124" s="158"/>
      <c r="C124" s="121"/>
      <c r="D124" s="121" t="s">
        <v>422</v>
      </c>
      <c r="E124" s="160">
        <v>10012</v>
      </c>
      <c r="F124" s="160"/>
      <c r="G124" s="160"/>
      <c r="H124" s="160"/>
      <c r="I124" s="160"/>
      <c r="J124" s="160"/>
      <c r="K124" s="160">
        <v>20273</v>
      </c>
      <c r="L124" s="160"/>
      <c r="M124" s="160"/>
      <c r="N124" s="160">
        <v>3400</v>
      </c>
      <c r="O124" s="160">
        <v>1350</v>
      </c>
      <c r="P124" s="160">
        <v>4350</v>
      </c>
      <c r="Q124" s="160">
        <v>7168</v>
      </c>
      <c r="R124" s="160">
        <v>8011</v>
      </c>
      <c r="S124" s="160">
        <v>44118</v>
      </c>
      <c r="T124" s="160">
        <v>19516.5</v>
      </c>
      <c r="U124" s="160"/>
      <c r="V124" s="160">
        <v>11050</v>
      </c>
      <c r="W124" s="160">
        <f t="shared" si="2"/>
        <v>-11050</v>
      </c>
      <c r="X124" s="160">
        <f t="shared" si="3"/>
        <v>-117.55319148936171</v>
      </c>
    </row>
    <row r="125" spans="2:24">
      <c r="B125" s="158"/>
      <c r="C125" s="121"/>
      <c r="D125" s="121" t="s">
        <v>459</v>
      </c>
      <c r="E125" s="160"/>
      <c r="F125" s="160"/>
      <c r="G125" s="160"/>
      <c r="H125" s="160"/>
      <c r="I125" s="160"/>
      <c r="J125" s="160"/>
      <c r="K125" s="160">
        <v>603</v>
      </c>
      <c r="L125" s="160"/>
      <c r="M125" s="160"/>
      <c r="N125" s="160"/>
      <c r="O125" s="160"/>
      <c r="P125" s="160">
        <v>1504</v>
      </c>
      <c r="Q125" s="160">
        <v>8667</v>
      </c>
      <c r="R125" s="160"/>
      <c r="S125" s="160"/>
      <c r="T125" s="160"/>
      <c r="U125" s="160"/>
      <c r="V125" s="160"/>
      <c r="W125" s="160">
        <f t="shared" si="2"/>
        <v>0</v>
      </c>
      <c r="X125" s="160">
        <f t="shared" si="3"/>
        <v>0</v>
      </c>
    </row>
    <row r="126" spans="2:24">
      <c r="B126" s="158"/>
      <c r="C126" s="121"/>
      <c r="D126" s="121" t="s">
        <v>438</v>
      </c>
      <c r="E126" s="160"/>
      <c r="F126" s="160"/>
      <c r="G126" s="160"/>
      <c r="H126" s="160"/>
      <c r="I126" s="160"/>
      <c r="J126" s="160"/>
      <c r="K126" s="160"/>
      <c r="L126" s="160"/>
      <c r="M126" s="160"/>
      <c r="N126" s="160"/>
      <c r="O126" s="160"/>
      <c r="P126" s="160"/>
      <c r="Q126" s="160"/>
      <c r="R126" s="160"/>
      <c r="S126" s="160"/>
      <c r="T126" s="160">
        <v>25245.71</v>
      </c>
      <c r="U126" s="160"/>
      <c r="V126" s="160"/>
      <c r="W126" s="160">
        <f t="shared" si="2"/>
        <v>0</v>
      </c>
      <c r="X126" s="160">
        <f t="shared" si="3"/>
        <v>0</v>
      </c>
    </row>
    <row r="127" spans="2:24">
      <c r="B127" s="158"/>
      <c r="C127" s="121"/>
      <c r="D127" s="121" t="s">
        <v>426</v>
      </c>
      <c r="E127" s="160"/>
      <c r="F127" s="160"/>
      <c r="G127" s="160"/>
      <c r="H127" s="160"/>
      <c r="I127" s="160">
        <v>11370</v>
      </c>
      <c r="J127" s="160"/>
      <c r="K127" s="160"/>
      <c r="L127" s="160"/>
      <c r="M127" s="160"/>
      <c r="N127" s="160"/>
      <c r="O127" s="160"/>
      <c r="P127" s="160"/>
      <c r="Q127" s="160"/>
      <c r="R127" s="160"/>
      <c r="S127" s="160"/>
      <c r="T127" s="160"/>
      <c r="U127" s="160"/>
      <c r="V127" s="160"/>
      <c r="W127" s="160">
        <f t="shared" si="2"/>
        <v>0</v>
      </c>
      <c r="X127" s="160">
        <f t="shared" si="3"/>
        <v>0</v>
      </c>
    </row>
    <row r="128" spans="2:24">
      <c r="B128" s="158"/>
      <c r="C128" s="121"/>
      <c r="D128" s="121" t="s">
        <v>499</v>
      </c>
      <c r="E128" s="160">
        <v>21735.5</v>
      </c>
      <c r="F128" s="160">
        <v>14588.5</v>
      </c>
      <c r="G128" s="160">
        <v>18055.5</v>
      </c>
      <c r="H128" s="160">
        <v>15484</v>
      </c>
      <c r="I128" s="160">
        <v>16498.5</v>
      </c>
      <c r="J128" s="160">
        <v>19445.5</v>
      </c>
      <c r="K128" s="160">
        <v>15465</v>
      </c>
      <c r="L128" s="160">
        <v>23548.5</v>
      </c>
      <c r="M128" s="160">
        <v>22524</v>
      </c>
      <c r="N128" s="160">
        <v>21835</v>
      </c>
      <c r="O128" s="160">
        <v>26382</v>
      </c>
      <c r="P128" s="160">
        <v>16052</v>
      </c>
      <c r="Q128" s="160">
        <v>15599.5</v>
      </c>
      <c r="R128" s="160">
        <v>14716.5</v>
      </c>
      <c r="S128" s="160">
        <v>21443.5</v>
      </c>
      <c r="T128" s="160">
        <v>18622</v>
      </c>
      <c r="U128" s="160">
        <v>18919</v>
      </c>
      <c r="V128" s="160">
        <v>18792</v>
      </c>
      <c r="W128" s="160">
        <f t="shared" si="2"/>
        <v>127</v>
      </c>
      <c r="X128" s="160">
        <f t="shared" si="3"/>
        <v>1.3510638297872339</v>
      </c>
    </row>
    <row r="129" spans="2:24">
      <c r="B129" s="158"/>
      <c r="C129" s="121"/>
      <c r="D129" s="121" t="s">
        <v>500</v>
      </c>
      <c r="E129" s="160"/>
      <c r="F129" s="160"/>
      <c r="G129" s="160">
        <v>295.76</v>
      </c>
      <c r="H129" s="160"/>
      <c r="I129" s="160"/>
      <c r="J129" s="160"/>
      <c r="K129" s="160"/>
      <c r="L129" s="160"/>
      <c r="M129" s="160"/>
      <c r="N129" s="160"/>
      <c r="O129" s="160"/>
      <c r="P129" s="160"/>
      <c r="Q129" s="160"/>
      <c r="R129" s="160"/>
      <c r="S129" s="160"/>
      <c r="T129" s="160"/>
      <c r="U129" s="160"/>
      <c r="V129" s="160"/>
      <c r="W129" s="160">
        <f t="shared" si="2"/>
        <v>0</v>
      </c>
      <c r="X129" s="160">
        <f t="shared" si="3"/>
        <v>0</v>
      </c>
    </row>
    <row r="130" spans="2:24">
      <c r="B130" s="158"/>
      <c r="C130" s="121"/>
      <c r="D130" s="121" t="s">
        <v>460</v>
      </c>
      <c r="E130" s="160"/>
      <c r="F130" s="160"/>
      <c r="G130" s="160"/>
      <c r="H130" s="160"/>
      <c r="I130" s="160"/>
      <c r="J130" s="160">
        <v>59830</v>
      </c>
      <c r="K130" s="160"/>
      <c r="L130" s="160"/>
      <c r="M130" s="160"/>
      <c r="N130" s="160"/>
      <c r="O130" s="160"/>
      <c r="P130" s="160"/>
      <c r="Q130" s="160"/>
      <c r="R130" s="160"/>
      <c r="S130" s="160"/>
      <c r="T130" s="160"/>
      <c r="U130" s="160"/>
      <c r="V130" s="160"/>
      <c r="W130" s="160">
        <f t="shared" si="2"/>
        <v>0</v>
      </c>
      <c r="X130" s="160">
        <f t="shared" si="3"/>
        <v>0</v>
      </c>
    </row>
    <row r="131" spans="2:24">
      <c r="B131" s="158"/>
      <c r="C131" s="121"/>
      <c r="D131" s="121" t="s">
        <v>432</v>
      </c>
      <c r="E131" s="160"/>
      <c r="F131" s="160"/>
      <c r="G131" s="160"/>
      <c r="H131" s="160"/>
      <c r="I131" s="160"/>
      <c r="J131" s="160"/>
      <c r="K131" s="160"/>
      <c r="L131" s="160"/>
      <c r="M131" s="160">
        <v>38677.19</v>
      </c>
      <c r="N131" s="160"/>
      <c r="O131" s="160">
        <v>4500</v>
      </c>
      <c r="P131" s="160">
        <v>23805.94</v>
      </c>
      <c r="Q131" s="160"/>
      <c r="R131" s="160"/>
      <c r="S131" s="160"/>
      <c r="T131" s="160"/>
      <c r="U131" s="160"/>
      <c r="V131" s="160">
        <v>10150</v>
      </c>
      <c r="W131" s="160">
        <f t="shared" si="2"/>
        <v>-10150</v>
      </c>
      <c r="X131" s="160">
        <f t="shared" si="3"/>
        <v>-107.97872340425532</v>
      </c>
    </row>
    <row r="132" spans="2:24">
      <c r="B132" s="158"/>
      <c r="C132" s="121"/>
      <c r="D132" s="121" t="s">
        <v>137</v>
      </c>
      <c r="E132" s="160">
        <v>7100</v>
      </c>
      <c r="F132" s="160">
        <v>7260</v>
      </c>
      <c r="G132" s="160">
        <v>5608</v>
      </c>
      <c r="H132" s="160">
        <v>10230</v>
      </c>
      <c r="I132" s="160">
        <v>8817</v>
      </c>
      <c r="J132" s="160">
        <v>27257</v>
      </c>
      <c r="K132" s="160">
        <v>14000</v>
      </c>
      <c r="L132" s="160">
        <v>4430</v>
      </c>
      <c r="M132" s="160">
        <v>3200</v>
      </c>
      <c r="N132" s="160">
        <v>12000</v>
      </c>
      <c r="O132" s="160">
        <v>12000</v>
      </c>
      <c r="P132" s="160">
        <v>10051</v>
      </c>
      <c r="Q132" s="160"/>
      <c r="R132" s="160"/>
      <c r="S132" s="160">
        <v>4000</v>
      </c>
      <c r="T132" s="160"/>
      <c r="U132" s="160">
        <v>4000</v>
      </c>
      <c r="V132" s="160">
        <v>8000</v>
      </c>
      <c r="W132" s="160">
        <f t="shared" si="2"/>
        <v>-4000</v>
      </c>
      <c r="X132" s="160">
        <f t="shared" si="3"/>
        <v>-42.553191489361701</v>
      </c>
    </row>
    <row r="133" spans="2:24">
      <c r="B133" s="158"/>
      <c r="C133" s="121"/>
      <c r="D133" s="121" t="s">
        <v>501</v>
      </c>
      <c r="E133" s="160"/>
      <c r="F133" s="160"/>
      <c r="G133" s="160">
        <v>422.88</v>
      </c>
      <c r="H133" s="160"/>
      <c r="I133" s="160"/>
      <c r="J133" s="160"/>
      <c r="K133" s="160"/>
      <c r="L133" s="160"/>
      <c r="M133" s="160"/>
      <c r="N133" s="160"/>
      <c r="O133" s="160"/>
      <c r="P133" s="160"/>
      <c r="Q133" s="160"/>
      <c r="R133" s="160"/>
      <c r="S133" s="160"/>
      <c r="T133" s="160"/>
      <c r="U133" s="160"/>
      <c r="V133" s="160"/>
      <c r="W133" s="160">
        <f t="shared" si="2"/>
        <v>0</v>
      </c>
      <c r="X133" s="160">
        <f t="shared" si="3"/>
        <v>0</v>
      </c>
    </row>
    <row r="134" spans="2:24">
      <c r="B134" s="158"/>
      <c r="C134" s="121"/>
      <c r="D134" s="121" t="s">
        <v>502</v>
      </c>
      <c r="E134" s="160"/>
      <c r="F134" s="160"/>
      <c r="G134" s="160"/>
      <c r="H134" s="160"/>
      <c r="I134" s="160"/>
      <c r="J134" s="160"/>
      <c r="K134" s="160">
        <v>16699</v>
      </c>
      <c r="L134" s="160"/>
      <c r="M134" s="160"/>
      <c r="N134" s="160"/>
      <c r="O134" s="160"/>
      <c r="P134" s="160"/>
      <c r="Q134" s="160"/>
      <c r="R134" s="160">
        <v>1617</v>
      </c>
      <c r="S134" s="160"/>
      <c r="T134" s="160"/>
      <c r="U134" s="160"/>
      <c r="V134" s="160"/>
      <c r="W134" s="160">
        <f t="shared" si="2"/>
        <v>0</v>
      </c>
      <c r="X134" s="160">
        <f t="shared" si="3"/>
        <v>0</v>
      </c>
    </row>
    <row r="135" spans="2:24">
      <c r="B135" s="158"/>
      <c r="C135" s="121"/>
      <c r="D135" s="121" t="s">
        <v>503</v>
      </c>
      <c r="E135" s="160"/>
      <c r="F135" s="160"/>
      <c r="G135" s="160"/>
      <c r="H135" s="160"/>
      <c r="I135" s="160"/>
      <c r="J135" s="160">
        <v>5218</v>
      </c>
      <c r="K135" s="160"/>
      <c r="L135" s="160"/>
      <c r="M135" s="160"/>
      <c r="N135" s="160"/>
      <c r="O135" s="160"/>
      <c r="P135" s="160"/>
      <c r="Q135" s="160"/>
      <c r="R135" s="160"/>
      <c r="S135" s="160"/>
      <c r="T135" s="160"/>
      <c r="U135" s="160"/>
      <c r="V135" s="160"/>
      <c r="W135" s="160">
        <f t="shared" ref="W135:W198" si="4">U135-V135</f>
        <v>0</v>
      </c>
      <c r="X135" s="160">
        <f t="shared" ref="X135:X199" si="5">W135/94</f>
        <v>0</v>
      </c>
    </row>
    <row r="136" spans="2:24">
      <c r="B136" s="158"/>
      <c r="C136" s="121"/>
      <c r="D136" s="121" t="s">
        <v>504</v>
      </c>
      <c r="E136" s="160"/>
      <c r="F136" s="160"/>
      <c r="G136" s="160"/>
      <c r="H136" s="160"/>
      <c r="I136" s="160"/>
      <c r="J136" s="160"/>
      <c r="K136" s="160">
        <v>2240</v>
      </c>
      <c r="L136" s="160"/>
      <c r="M136" s="160"/>
      <c r="N136" s="160"/>
      <c r="O136" s="160"/>
      <c r="P136" s="160"/>
      <c r="Q136" s="160"/>
      <c r="R136" s="160"/>
      <c r="S136" s="160"/>
      <c r="T136" s="160"/>
      <c r="U136" s="160"/>
      <c r="V136" s="160"/>
      <c r="W136" s="160">
        <f t="shared" si="4"/>
        <v>0</v>
      </c>
      <c r="X136" s="160">
        <f t="shared" si="5"/>
        <v>0</v>
      </c>
    </row>
    <row r="137" spans="2:24">
      <c r="B137" s="158"/>
      <c r="C137" s="121"/>
      <c r="D137" s="121" t="s">
        <v>468</v>
      </c>
      <c r="E137" s="160"/>
      <c r="F137" s="160"/>
      <c r="G137" s="160"/>
      <c r="H137" s="160"/>
      <c r="I137" s="160"/>
      <c r="J137" s="160"/>
      <c r="K137" s="160"/>
      <c r="L137" s="160"/>
      <c r="M137" s="160"/>
      <c r="N137" s="160">
        <v>100</v>
      </c>
      <c r="O137" s="160"/>
      <c r="P137" s="160"/>
      <c r="Q137" s="160"/>
      <c r="R137" s="160"/>
      <c r="S137" s="160"/>
      <c r="T137" s="160"/>
      <c r="U137" s="160"/>
      <c r="V137" s="160"/>
      <c r="W137" s="160">
        <f t="shared" si="4"/>
        <v>0</v>
      </c>
      <c r="X137" s="160">
        <f t="shared" si="5"/>
        <v>0</v>
      </c>
    </row>
    <row r="138" spans="2:24">
      <c r="B138" s="158"/>
      <c r="C138" s="121"/>
      <c r="D138" s="121" t="s">
        <v>505</v>
      </c>
      <c r="E138" s="160"/>
      <c r="F138" s="160"/>
      <c r="G138" s="160"/>
      <c r="H138" s="160"/>
      <c r="I138" s="160"/>
      <c r="J138" s="160"/>
      <c r="K138" s="160"/>
      <c r="L138" s="160"/>
      <c r="M138" s="160"/>
      <c r="N138" s="160">
        <v>40400</v>
      </c>
      <c r="O138" s="160"/>
      <c r="P138" s="160"/>
      <c r="Q138" s="160"/>
      <c r="R138" s="160"/>
      <c r="S138" s="160"/>
      <c r="T138" s="160"/>
      <c r="U138" s="160"/>
      <c r="V138" s="160"/>
      <c r="W138" s="160">
        <f t="shared" si="4"/>
        <v>0</v>
      </c>
      <c r="X138" s="160">
        <f t="shared" si="5"/>
        <v>0</v>
      </c>
    </row>
    <row r="139" spans="2:24">
      <c r="B139" s="158"/>
      <c r="C139" s="121"/>
      <c r="D139" s="121" t="s">
        <v>506</v>
      </c>
      <c r="E139" s="160"/>
      <c r="F139" s="160"/>
      <c r="G139" s="160"/>
      <c r="H139" s="160"/>
      <c r="I139" s="160"/>
      <c r="J139" s="160"/>
      <c r="K139" s="160"/>
      <c r="L139" s="160"/>
      <c r="M139" s="160"/>
      <c r="N139" s="160">
        <v>2653</v>
      </c>
      <c r="O139" s="160"/>
      <c r="P139" s="160"/>
      <c r="Q139" s="160"/>
      <c r="R139" s="160"/>
      <c r="S139" s="160">
        <v>480</v>
      </c>
      <c r="T139" s="160"/>
      <c r="U139" s="160">
        <v>1047</v>
      </c>
      <c r="V139" s="160"/>
      <c r="W139" s="160">
        <f t="shared" si="4"/>
        <v>1047</v>
      </c>
      <c r="X139" s="160">
        <f t="shared" si="5"/>
        <v>11.138297872340425</v>
      </c>
    </row>
    <row r="140" spans="2:24">
      <c r="B140" s="158"/>
      <c r="C140" s="121"/>
      <c r="D140" s="121" t="s">
        <v>469</v>
      </c>
      <c r="E140" s="160"/>
      <c r="F140" s="160"/>
      <c r="G140" s="160"/>
      <c r="H140" s="160"/>
      <c r="I140" s="160"/>
      <c r="J140" s="160"/>
      <c r="K140" s="160"/>
      <c r="L140" s="160"/>
      <c r="M140" s="160"/>
      <c r="N140" s="160"/>
      <c r="O140" s="160">
        <v>246.05</v>
      </c>
      <c r="P140" s="160">
        <v>919</v>
      </c>
      <c r="Q140" s="160">
        <v>2265.9</v>
      </c>
      <c r="R140" s="160">
        <v>2057.75</v>
      </c>
      <c r="S140" s="160">
        <v>838.4</v>
      </c>
      <c r="T140" s="160">
        <v>4907.91</v>
      </c>
      <c r="U140" s="160">
        <v>942.7</v>
      </c>
      <c r="V140" s="160">
        <v>966</v>
      </c>
      <c r="W140" s="160">
        <f t="shared" si="4"/>
        <v>-23.299999999999955</v>
      </c>
      <c r="X140" s="160">
        <f t="shared" si="5"/>
        <v>-0.24787234042553144</v>
      </c>
    </row>
    <row r="141" spans="2:24">
      <c r="B141" s="158"/>
      <c r="C141" s="121"/>
      <c r="D141" s="121" t="s">
        <v>507</v>
      </c>
      <c r="E141" s="160"/>
      <c r="F141" s="160"/>
      <c r="G141" s="160"/>
      <c r="H141" s="160"/>
      <c r="I141" s="160"/>
      <c r="J141" s="160"/>
      <c r="K141" s="160"/>
      <c r="L141" s="160"/>
      <c r="M141" s="160"/>
      <c r="N141" s="160">
        <v>3602.3</v>
      </c>
      <c r="O141" s="160"/>
      <c r="P141" s="160"/>
      <c r="Q141" s="160">
        <v>3178.5</v>
      </c>
      <c r="R141" s="160"/>
      <c r="S141" s="160">
        <v>4238</v>
      </c>
      <c r="T141" s="160"/>
      <c r="U141" s="160">
        <v>4238</v>
      </c>
      <c r="V141" s="160"/>
      <c r="W141" s="160">
        <f t="shared" si="4"/>
        <v>4238</v>
      </c>
      <c r="X141" s="160">
        <f t="shared" si="5"/>
        <v>45.085106382978722</v>
      </c>
    </row>
    <row r="142" spans="2:24">
      <c r="B142" s="158"/>
      <c r="C142" s="121"/>
      <c r="D142" s="121" t="s">
        <v>508</v>
      </c>
      <c r="E142" s="160"/>
      <c r="F142" s="160"/>
      <c r="G142" s="160"/>
      <c r="H142" s="160"/>
      <c r="I142" s="160"/>
      <c r="J142" s="160"/>
      <c r="K142" s="160"/>
      <c r="L142" s="160"/>
      <c r="M142" s="160"/>
      <c r="N142" s="160"/>
      <c r="O142" s="160">
        <v>78810</v>
      </c>
      <c r="P142" s="160"/>
      <c r="Q142" s="160"/>
      <c r="R142" s="160"/>
      <c r="S142" s="160"/>
      <c r="T142" s="160"/>
      <c r="U142" s="160"/>
      <c r="V142" s="160"/>
      <c r="W142" s="160">
        <f t="shared" si="4"/>
        <v>0</v>
      </c>
      <c r="X142" s="160">
        <f t="shared" si="5"/>
        <v>0</v>
      </c>
    </row>
    <row r="143" spans="2:24">
      <c r="B143" s="158"/>
      <c r="C143" s="121"/>
      <c r="D143" s="121" t="s">
        <v>493</v>
      </c>
      <c r="E143" s="160"/>
      <c r="F143" s="160"/>
      <c r="G143" s="160"/>
      <c r="H143" s="160"/>
      <c r="I143" s="160"/>
      <c r="J143" s="160"/>
      <c r="K143" s="160"/>
      <c r="L143" s="160"/>
      <c r="M143" s="160"/>
      <c r="N143" s="160"/>
      <c r="O143" s="160">
        <v>22279</v>
      </c>
      <c r="P143" s="160"/>
      <c r="Q143" s="160"/>
      <c r="R143" s="160"/>
      <c r="S143" s="160"/>
      <c r="T143" s="160"/>
      <c r="U143" s="160"/>
      <c r="V143" s="160"/>
      <c r="W143" s="160">
        <f t="shared" si="4"/>
        <v>0</v>
      </c>
      <c r="X143" s="160">
        <f t="shared" si="5"/>
        <v>0</v>
      </c>
    </row>
    <row r="144" spans="2:24">
      <c r="B144" s="158"/>
      <c r="C144" s="121"/>
      <c r="D144" s="121" t="s">
        <v>509</v>
      </c>
      <c r="E144" s="160"/>
      <c r="F144" s="160"/>
      <c r="G144" s="160"/>
      <c r="H144" s="160"/>
      <c r="I144" s="160"/>
      <c r="J144" s="160"/>
      <c r="K144" s="160"/>
      <c r="L144" s="160"/>
      <c r="M144" s="160"/>
      <c r="N144" s="160"/>
      <c r="O144" s="160"/>
      <c r="P144" s="160"/>
      <c r="Q144" s="160">
        <v>9401.73</v>
      </c>
      <c r="R144" s="160"/>
      <c r="S144" s="160"/>
      <c r="T144" s="160"/>
      <c r="U144" s="160"/>
      <c r="V144" s="160"/>
      <c r="W144" s="160">
        <f t="shared" si="4"/>
        <v>0</v>
      </c>
      <c r="X144" s="160">
        <f t="shared" si="5"/>
        <v>0</v>
      </c>
    </row>
    <row r="145" spans="2:24">
      <c r="B145" s="158"/>
      <c r="C145" s="121"/>
      <c r="D145" s="121" t="s">
        <v>653</v>
      </c>
      <c r="E145" s="160"/>
      <c r="F145" s="160"/>
      <c r="G145" s="160"/>
      <c r="H145" s="160"/>
      <c r="I145" s="160"/>
      <c r="J145" s="160"/>
      <c r="K145" s="160"/>
      <c r="L145" s="160"/>
      <c r="M145" s="160"/>
      <c r="N145" s="160"/>
      <c r="O145" s="160"/>
      <c r="P145" s="160"/>
      <c r="Q145" s="160"/>
      <c r="R145" s="160"/>
      <c r="S145" s="160"/>
      <c r="T145" s="160"/>
      <c r="U145" s="160"/>
      <c r="V145" s="160">
        <v>25320</v>
      </c>
      <c r="W145" s="160">
        <f t="shared" si="4"/>
        <v>-25320</v>
      </c>
      <c r="X145" s="160">
        <f t="shared" si="5"/>
        <v>-269.36170212765956</v>
      </c>
    </row>
    <row r="146" spans="2:24">
      <c r="B146" s="158"/>
      <c r="C146" s="121" t="s">
        <v>129</v>
      </c>
      <c r="D146" s="121" t="s">
        <v>524</v>
      </c>
      <c r="E146" s="160">
        <v>32000</v>
      </c>
      <c r="F146" s="160">
        <v>32000</v>
      </c>
      <c r="G146" s="160">
        <v>32000</v>
      </c>
      <c r="H146" s="160">
        <v>32000</v>
      </c>
      <c r="I146" s="160">
        <v>32000</v>
      </c>
      <c r="J146" s="160">
        <v>32000</v>
      </c>
      <c r="K146" s="160">
        <v>32000</v>
      </c>
      <c r="L146" s="160">
        <v>32000</v>
      </c>
      <c r="M146" s="160">
        <v>32000</v>
      </c>
      <c r="N146" s="160">
        <v>32000</v>
      </c>
      <c r="O146" s="160"/>
      <c r="P146" s="160"/>
      <c r="Q146" s="160"/>
      <c r="R146" s="160"/>
      <c r="S146" s="160"/>
      <c r="T146" s="160"/>
      <c r="U146" s="160"/>
      <c r="V146" s="160"/>
      <c r="W146" s="160">
        <f t="shared" si="4"/>
        <v>0</v>
      </c>
      <c r="X146" s="160">
        <f t="shared" si="5"/>
        <v>0</v>
      </c>
    </row>
    <row r="147" spans="2:24">
      <c r="B147" s="158"/>
      <c r="C147" s="121"/>
      <c r="D147" s="121" t="s">
        <v>525</v>
      </c>
      <c r="E147" s="160"/>
      <c r="F147" s="160"/>
      <c r="G147" s="160"/>
      <c r="H147" s="160"/>
      <c r="I147" s="160"/>
      <c r="J147" s="160"/>
      <c r="K147" s="160"/>
      <c r="L147" s="160">
        <v>9040</v>
      </c>
      <c r="M147" s="160">
        <v>14000</v>
      </c>
      <c r="N147" s="160">
        <v>14464</v>
      </c>
      <c r="O147" s="160">
        <v>14000</v>
      </c>
      <c r="P147" s="160">
        <v>14000</v>
      </c>
      <c r="Q147" s="160">
        <v>14000</v>
      </c>
      <c r="R147" s="160">
        <v>14000</v>
      </c>
      <c r="S147" s="160">
        <v>14000</v>
      </c>
      <c r="T147" s="160">
        <v>13533</v>
      </c>
      <c r="U147" s="160">
        <v>14000</v>
      </c>
      <c r="V147" s="160">
        <v>14000</v>
      </c>
      <c r="W147" s="160">
        <f t="shared" si="4"/>
        <v>0</v>
      </c>
      <c r="X147" s="160">
        <f t="shared" si="5"/>
        <v>0</v>
      </c>
    </row>
    <row r="148" spans="2:24">
      <c r="B148" s="158"/>
      <c r="C148" s="121"/>
      <c r="D148" s="121" t="s">
        <v>526</v>
      </c>
      <c r="E148" s="160"/>
      <c r="F148" s="160"/>
      <c r="G148" s="160"/>
      <c r="H148" s="160"/>
      <c r="I148" s="160"/>
      <c r="J148" s="160"/>
      <c r="K148" s="160"/>
      <c r="L148" s="160"/>
      <c r="M148" s="160"/>
      <c r="N148" s="160"/>
      <c r="O148" s="160">
        <v>32000</v>
      </c>
      <c r="P148" s="160">
        <v>32000</v>
      </c>
      <c r="Q148" s="160">
        <v>32000</v>
      </c>
      <c r="R148" s="160">
        <v>32000</v>
      </c>
      <c r="S148" s="160">
        <v>32000</v>
      </c>
      <c r="T148" s="160">
        <v>32000</v>
      </c>
      <c r="U148" s="160">
        <v>32000</v>
      </c>
      <c r="V148" s="160">
        <v>32000</v>
      </c>
      <c r="W148" s="160">
        <f t="shared" si="4"/>
        <v>0</v>
      </c>
      <c r="X148" s="160">
        <f t="shared" si="5"/>
        <v>0</v>
      </c>
    </row>
    <row r="149" spans="2:24">
      <c r="B149" s="158"/>
      <c r="C149" s="121" t="s">
        <v>56</v>
      </c>
      <c r="D149" s="121" t="s">
        <v>56</v>
      </c>
      <c r="E149" s="160">
        <v>23602</v>
      </c>
      <c r="F149" s="160">
        <v>24672</v>
      </c>
      <c r="G149" s="160">
        <v>25850</v>
      </c>
      <c r="H149" s="160">
        <v>25656</v>
      </c>
      <c r="I149" s="160">
        <v>27584</v>
      </c>
      <c r="J149" s="160">
        <v>27635</v>
      </c>
      <c r="K149" s="160">
        <v>29152</v>
      </c>
      <c r="L149" s="160">
        <v>31963</v>
      </c>
      <c r="M149" s="160">
        <v>34272</v>
      </c>
      <c r="N149" s="160">
        <v>35244</v>
      </c>
      <c r="O149" s="160">
        <v>35732</v>
      </c>
      <c r="P149" s="160">
        <v>46200</v>
      </c>
      <c r="Q149" s="160">
        <v>37436</v>
      </c>
      <c r="R149" s="160">
        <v>34044</v>
      </c>
      <c r="S149" s="160">
        <v>36098</v>
      </c>
      <c r="T149" s="160">
        <v>36879</v>
      </c>
      <c r="U149" s="160">
        <v>36238</v>
      </c>
      <c r="V149" s="160">
        <v>37210</v>
      </c>
      <c r="W149" s="160">
        <f t="shared" si="4"/>
        <v>-972</v>
      </c>
      <c r="X149" s="160">
        <f t="shared" si="5"/>
        <v>-10.340425531914894</v>
      </c>
    </row>
    <row r="150" spans="2:24">
      <c r="B150" s="158"/>
      <c r="C150" s="121"/>
      <c r="D150" s="121" t="s">
        <v>422</v>
      </c>
      <c r="E150" s="160"/>
      <c r="F150" s="160"/>
      <c r="G150" s="160"/>
      <c r="H150" s="160"/>
      <c r="I150" s="160"/>
      <c r="J150" s="160"/>
      <c r="K150" s="160"/>
      <c r="L150" s="160"/>
      <c r="M150" s="160"/>
      <c r="N150" s="160"/>
      <c r="O150" s="160"/>
      <c r="P150" s="160"/>
      <c r="Q150" s="160"/>
      <c r="R150" s="160"/>
      <c r="S150" s="160"/>
      <c r="T150" s="160">
        <v>900</v>
      </c>
      <c r="U150" s="160"/>
      <c r="V150" s="160"/>
      <c r="W150" s="160">
        <f t="shared" si="4"/>
        <v>0</v>
      </c>
      <c r="X150" s="160">
        <f t="shared" si="5"/>
        <v>0</v>
      </c>
    </row>
    <row r="151" spans="2:24">
      <c r="B151" s="158"/>
      <c r="C151" s="121" t="s">
        <v>58</v>
      </c>
      <c r="D151" s="121" t="s">
        <v>58</v>
      </c>
      <c r="E151" s="160">
        <v>40714</v>
      </c>
      <c r="F151" s="160">
        <v>32778</v>
      </c>
      <c r="G151" s="160">
        <v>22250</v>
      </c>
      <c r="H151" s="160">
        <v>18315</v>
      </c>
      <c r="I151" s="160">
        <v>22731</v>
      </c>
      <c r="J151" s="160">
        <v>20620</v>
      </c>
      <c r="K151" s="160">
        <v>19208</v>
      </c>
      <c r="L151" s="160">
        <v>18757</v>
      </c>
      <c r="M151" s="160">
        <v>19188</v>
      </c>
      <c r="N151" s="160">
        <v>19803</v>
      </c>
      <c r="O151" s="160">
        <v>18980</v>
      </c>
      <c r="P151" s="160">
        <v>22799</v>
      </c>
      <c r="Q151" s="160">
        <v>32834</v>
      </c>
      <c r="R151" s="160">
        <v>31935</v>
      </c>
      <c r="S151" s="160">
        <v>30201</v>
      </c>
      <c r="T151" s="160">
        <v>29236</v>
      </c>
      <c r="U151" s="160">
        <v>28238</v>
      </c>
      <c r="V151" s="160">
        <v>29097</v>
      </c>
      <c r="W151" s="160">
        <f t="shared" si="4"/>
        <v>-859</v>
      </c>
      <c r="X151" s="160">
        <f t="shared" si="5"/>
        <v>-9.1382978723404253</v>
      </c>
    </row>
    <row r="152" spans="2:24">
      <c r="B152" s="158"/>
      <c r="C152" s="121" t="s">
        <v>107</v>
      </c>
      <c r="D152" s="121" t="s">
        <v>107</v>
      </c>
      <c r="E152" s="160"/>
      <c r="F152" s="160"/>
      <c r="G152" s="160"/>
      <c r="H152" s="160"/>
      <c r="I152" s="160">
        <v>165865</v>
      </c>
      <c r="J152" s="160"/>
      <c r="K152" s="160"/>
      <c r="L152" s="160"/>
      <c r="M152" s="160"/>
      <c r="N152" s="160"/>
      <c r="O152" s="160"/>
      <c r="P152" s="160">
        <v>70569</v>
      </c>
      <c r="Q152" s="160">
        <v>53429</v>
      </c>
      <c r="R152" s="160"/>
      <c r="S152" s="160"/>
      <c r="T152" s="160"/>
      <c r="U152" s="160"/>
      <c r="V152" s="160"/>
      <c r="W152" s="160">
        <f t="shared" si="4"/>
        <v>0</v>
      </c>
      <c r="X152" s="160">
        <f t="shared" si="5"/>
        <v>0</v>
      </c>
    </row>
    <row r="153" spans="2:24">
      <c r="B153" s="158"/>
      <c r="C153" s="121" t="s">
        <v>527</v>
      </c>
      <c r="D153" s="121" t="s">
        <v>422</v>
      </c>
      <c r="E153" s="160"/>
      <c r="F153" s="160"/>
      <c r="G153" s="160"/>
      <c r="H153" s="160"/>
      <c r="I153" s="160"/>
      <c r="J153" s="160"/>
      <c r="K153" s="160"/>
      <c r="L153" s="160"/>
      <c r="M153" s="160"/>
      <c r="N153" s="160"/>
      <c r="O153" s="160"/>
      <c r="P153" s="160"/>
      <c r="Q153" s="160"/>
      <c r="R153" s="160"/>
      <c r="S153" s="160"/>
      <c r="T153" s="160"/>
      <c r="U153" s="160"/>
      <c r="V153" s="160">
        <v>50000</v>
      </c>
      <c r="W153" s="160">
        <f t="shared" si="4"/>
        <v>-50000</v>
      </c>
      <c r="X153" s="160">
        <f t="shared" si="5"/>
        <v>-531.91489361702122</v>
      </c>
    </row>
    <row r="154" spans="2:24">
      <c r="B154" s="158"/>
      <c r="C154" s="121"/>
      <c r="D154" s="121" t="s">
        <v>528</v>
      </c>
      <c r="E154" s="160"/>
      <c r="F154" s="160">
        <v>59203</v>
      </c>
      <c r="G154" s="160"/>
      <c r="H154" s="160"/>
      <c r="I154" s="160"/>
      <c r="J154" s="160"/>
      <c r="K154" s="160"/>
      <c r="L154" s="160"/>
      <c r="M154" s="160"/>
      <c r="N154" s="160"/>
      <c r="O154" s="160"/>
      <c r="P154" s="160"/>
      <c r="Q154" s="160"/>
      <c r="R154" s="160"/>
      <c r="S154" s="160"/>
      <c r="T154" s="160"/>
      <c r="U154" s="160"/>
      <c r="V154" s="160"/>
      <c r="W154" s="160">
        <f t="shared" si="4"/>
        <v>0</v>
      </c>
      <c r="X154" s="160">
        <f t="shared" si="5"/>
        <v>0</v>
      </c>
    </row>
    <row r="155" spans="2:24">
      <c r="B155" s="158"/>
      <c r="C155" s="121"/>
      <c r="D155" s="121" t="s">
        <v>529</v>
      </c>
      <c r="E155" s="160"/>
      <c r="F155" s="160"/>
      <c r="G155" s="160"/>
      <c r="H155" s="160"/>
      <c r="I155" s="160">
        <v>40000</v>
      </c>
      <c r="J155" s="160"/>
      <c r="K155" s="160"/>
      <c r="L155" s="160"/>
      <c r="M155" s="160"/>
      <c r="N155" s="160"/>
      <c r="O155" s="160"/>
      <c r="P155" s="160"/>
      <c r="Q155" s="160"/>
      <c r="R155" s="160"/>
      <c r="S155" s="160"/>
      <c r="T155" s="160"/>
      <c r="U155" s="160"/>
      <c r="V155" s="160"/>
      <c r="W155" s="160">
        <f t="shared" si="4"/>
        <v>0</v>
      </c>
      <c r="X155" s="160">
        <f t="shared" si="5"/>
        <v>0</v>
      </c>
    </row>
    <row r="156" spans="2:24">
      <c r="B156" s="158"/>
      <c r="C156" s="121"/>
      <c r="D156" s="121" t="s">
        <v>530</v>
      </c>
      <c r="E156" s="160"/>
      <c r="F156" s="160"/>
      <c r="G156" s="160"/>
      <c r="H156" s="160"/>
      <c r="I156" s="160"/>
      <c r="J156" s="160"/>
      <c r="K156" s="160"/>
      <c r="L156" s="160"/>
      <c r="M156" s="160"/>
      <c r="N156" s="160"/>
      <c r="O156" s="160"/>
      <c r="P156" s="160">
        <v>10000</v>
      </c>
      <c r="Q156" s="160"/>
      <c r="R156" s="160"/>
      <c r="S156" s="160"/>
      <c r="T156" s="160"/>
      <c r="U156" s="160"/>
      <c r="V156" s="160"/>
      <c r="W156" s="160">
        <f t="shared" si="4"/>
        <v>0</v>
      </c>
      <c r="X156" s="160">
        <f t="shared" si="5"/>
        <v>0</v>
      </c>
    </row>
    <row r="157" spans="2:24">
      <c r="B157" s="158"/>
      <c r="C157" s="121"/>
      <c r="D157" s="121" t="s">
        <v>531</v>
      </c>
      <c r="E157" s="160"/>
      <c r="F157" s="160"/>
      <c r="G157" s="160"/>
      <c r="H157" s="160"/>
      <c r="I157" s="160"/>
      <c r="J157" s="160"/>
      <c r="K157" s="160"/>
      <c r="L157" s="160"/>
      <c r="M157" s="160"/>
      <c r="N157" s="160"/>
      <c r="O157" s="160"/>
      <c r="P157" s="160">
        <v>10000</v>
      </c>
      <c r="Q157" s="160"/>
      <c r="R157" s="160"/>
      <c r="S157" s="160"/>
      <c r="T157" s="160"/>
      <c r="U157" s="160"/>
      <c r="V157" s="160"/>
      <c r="W157" s="160">
        <f t="shared" si="4"/>
        <v>0</v>
      </c>
      <c r="X157" s="160">
        <f t="shared" si="5"/>
        <v>0</v>
      </c>
    </row>
    <row r="158" spans="2:24">
      <c r="B158" s="158"/>
      <c r="C158" s="121"/>
      <c r="D158" s="121" t="s">
        <v>532</v>
      </c>
      <c r="E158" s="160"/>
      <c r="F158" s="160"/>
      <c r="G158" s="160"/>
      <c r="H158" s="160"/>
      <c r="I158" s="160"/>
      <c r="J158" s="160"/>
      <c r="K158" s="160"/>
      <c r="L158" s="160"/>
      <c r="M158" s="160"/>
      <c r="N158" s="160"/>
      <c r="O158" s="160"/>
      <c r="P158" s="160">
        <v>106000</v>
      </c>
      <c r="Q158" s="160"/>
      <c r="R158" s="160"/>
      <c r="S158" s="160"/>
      <c r="T158" s="160"/>
      <c r="U158" s="160"/>
      <c r="V158" s="160"/>
      <c r="W158" s="160">
        <f t="shared" si="4"/>
        <v>0</v>
      </c>
      <c r="X158" s="160">
        <f t="shared" si="5"/>
        <v>0</v>
      </c>
    </row>
    <row r="159" spans="2:24">
      <c r="B159" s="158"/>
      <c r="C159" s="121" t="s">
        <v>123</v>
      </c>
      <c r="D159" s="121" t="s">
        <v>533</v>
      </c>
      <c r="E159" s="160"/>
      <c r="F159" s="160"/>
      <c r="G159" s="160"/>
      <c r="H159" s="160"/>
      <c r="I159" s="160">
        <v>57927.7</v>
      </c>
      <c r="J159" s="160"/>
      <c r="K159" s="160"/>
      <c r="L159" s="160"/>
      <c r="M159" s="160"/>
      <c r="N159" s="160"/>
      <c r="O159" s="160"/>
      <c r="P159" s="160"/>
      <c r="Q159" s="160"/>
      <c r="R159" s="160"/>
      <c r="S159" s="160"/>
      <c r="T159" s="160"/>
      <c r="U159" s="160"/>
      <c r="V159" s="160"/>
      <c r="W159" s="160">
        <f t="shared" si="4"/>
        <v>0</v>
      </c>
      <c r="X159" s="160">
        <f t="shared" si="5"/>
        <v>0</v>
      </c>
    </row>
    <row r="160" spans="2:24">
      <c r="B160" s="158"/>
      <c r="C160" s="121"/>
      <c r="D160" s="121" t="s">
        <v>534</v>
      </c>
      <c r="E160" s="160"/>
      <c r="F160" s="160"/>
      <c r="G160" s="160"/>
      <c r="H160" s="160"/>
      <c r="I160" s="160"/>
      <c r="J160" s="160">
        <v>16870.559999999998</v>
      </c>
      <c r="K160" s="160">
        <v>19816.96</v>
      </c>
      <c r="L160" s="160">
        <v>15263.39</v>
      </c>
      <c r="M160" s="160">
        <v>4645.71</v>
      </c>
      <c r="N160" s="160">
        <v>13422.86</v>
      </c>
      <c r="O160" s="160"/>
      <c r="P160" s="160"/>
      <c r="Q160" s="160"/>
      <c r="R160" s="160"/>
      <c r="S160" s="160"/>
      <c r="T160" s="160"/>
      <c r="U160" s="160"/>
      <c r="V160" s="160"/>
      <c r="W160" s="160">
        <f t="shared" si="4"/>
        <v>0</v>
      </c>
      <c r="X160" s="160">
        <f t="shared" si="5"/>
        <v>0</v>
      </c>
    </row>
    <row r="161" spans="2:24">
      <c r="B161" s="158"/>
      <c r="C161" s="121"/>
      <c r="D161" s="121" t="s">
        <v>123</v>
      </c>
      <c r="E161" s="160"/>
      <c r="F161" s="160"/>
      <c r="G161" s="160"/>
      <c r="H161" s="160"/>
      <c r="I161" s="160"/>
      <c r="J161" s="160"/>
      <c r="K161" s="160"/>
      <c r="L161" s="160">
        <v>2500</v>
      </c>
      <c r="M161" s="160">
        <v>14275</v>
      </c>
      <c r="N161" s="160"/>
      <c r="O161" s="160"/>
      <c r="P161" s="160"/>
      <c r="Q161" s="160"/>
      <c r="R161" s="160"/>
      <c r="S161" s="160"/>
      <c r="T161" s="160"/>
      <c r="U161" s="160"/>
      <c r="V161" s="160"/>
      <c r="W161" s="160">
        <f t="shared" si="4"/>
        <v>0</v>
      </c>
      <c r="X161" s="160">
        <f t="shared" si="5"/>
        <v>0</v>
      </c>
    </row>
    <row r="162" spans="2:24">
      <c r="B162" s="158"/>
      <c r="C162" s="121"/>
      <c r="D162" s="121" t="s">
        <v>535</v>
      </c>
      <c r="E162" s="160"/>
      <c r="F162" s="160"/>
      <c r="G162" s="160"/>
      <c r="H162" s="160"/>
      <c r="I162" s="160"/>
      <c r="J162" s="160"/>
      <c r="K162" s="160"/>
      <c r="L162" s="160">
        <v>14732.08</v>
      </c>
      <c r="M162" s="160"/>
      <c r="N162" s="160"/>
      <c r="O162" s="160"/>
      <c r="P162" s="160"/>
      <c r="Q162" s="160"/>
      <c r="R162" s="160"/>
      <c r="S162" s="160"/>
      <c r="T162" s="160"/>
      <c r="U162" s="160"/>
      <c r="V162" s="160"/>
      <c r="W162" s="160">
        <f t="shared" si="4"/>
        <v>0</v>
      </c>
      <c r="X162" s="160">
        <f t="shared" si="5"/>
        <v>0</v>
      </c>
    </row>
    <row r="163" spans="2:24">
      <c r="B163" s="158"/>
      <c r="C163" s="121"/>
      <c r="D163" s="121" t="s">
        <v>536</v>
      </c>
      <c r="E163" s="160"/>
      <c r="F163" s="160"/>
      <c r="G163" s="160"/>
      <c r="H163" s="160"/>
      <c r="I163" s="160"/>
      <c r="J163" s="160"/>
      <c r="K163" s="160"/>
      <c r="L163" s="160"/>
      <c r="M163" s="160"/>
      <c r="N163" s="160"/>
      <c r="O163" s="160"/>
      <c r="P163" s="160"/>
      <c r="Q163" s="160"/>
      <c r="R163" s="160">
        <v>34000</v>
      </c>
      <c r="S163" s="160"/>
      <c r="T163" s="160"/>
      <c r="U163" s="160"/>
      <c r="V163" s="160"/>
      <c r="W163" s="160">
        <f t="shared" si="4"/>
        <v>0</v>
      </c>
      <c r="X163" s="160">
        <f t="shared" si="5"/>
        <v>0</v>
      </c>
    </row>
    <row r="164" spans="2:24">
      <c r="B164" s="158"/>
      <c r="C164" s="121" t="s">
        <v>134</v>
      </c>
      <c r="D164" s="121" t="s">
        <v>538</v>
      </c>
      <c r="E164" s="160"/>
      <c r="F164" s="160"/>
      <c r="G164" s="160"/>
      <c r="H164" s="160"/>
      <c r="I164" s="160"/>
      <c r="J164" s="160"/>
      <c r="K164" s="160"/>
      <c r="L164" s="160"/>
      <c r="M164" s="160"/>
      <c r="N164" s="160"/>
      <c r="O164" s="160"/>
      <c r="P164" s="160"/>
      <c r="Q164" s="160">
        <v>28372</v>
      </c>
      <c r="R164" s="160">
        <v>28200</v>
      </c>
      <c r="S164" s="160">
        <v>27105.9</v>
      </c>
      <c r="T164" s="160">
        <v>27030</v>
      </c>
      <c r="U164" s="160">
        <v>26910</v>
      </c>
      <c r="V164" s="160">
        <v>27600</v>
      </c>
      <c r="W164" s="160">
        <f t="shared" si="4"/>
        <v>-690</v>
      </c>
      <c r="X164" s="160">
        <f t="shared" si="5"/>
        <v>-7.3404255319148932</v>
      </c>
    </row>
    <row r="165" spans="2:24">
      <c r="B165" s="158"/>
      <c r="C165" s="121" t="s">
        <v>100</v>
      </c>
      <c r="D165" s="121" t="s">
        <v>422</v>
      </c>
      <c r="E165" s="160"/>
      <c r="F165" s="160">
        <v>20000</v>
      </c>
      <c r="G165" s="160"/>
      <c r="H165" s="160"/>
      <c r="I165" s="160"/>
      <c r="J165" s="160"/>
      <c r="K165" s="160"/>
      <c r="L165" s="160"/>
      <c r="M165" s="160"/>
      <c r="N165" s="160"/>
      <c r="O165" s="160"/>
      <c r="P165" s="160"/>
      <c r="Q165" s="160"/>
      <c r="R165" s="160"/>
      <c r="S165" s="160"/>
      <c r="T165" s="160"/>
      <c r="U165" s="160"/>
      <c r="V165" s="160"/>
      <c r="W165" s="160">
        <f t="shared" si="4"/>
        <v>0</v>
      </c>
      <c r="X165" s="160">
        <f t="shared" si="5"/>
        <v>0</v>
      </c>
    </row>
    <row r="166" spans="2:24">
      <c r="B166" s="158"/>
      <c r="C166" s="121"/>
      <c r="D166" s="121" t="s">
        <v>537</v>
      </c>
      <c r="E166" s="160"/>
      <c r="F166" s="160">
        <v>32190</v>
      </c>
      <c r="G166" s="160"/>
      <c r="H166" s="160"/>
      <c r="I166" s="160">
        <v>71340</v>
      </c>
      <c r="J166" s="160"/>
      <c r="K166" s="160">
        <v>16095</v>
      </c>
      <c r="L166" s="160"/>
      <c r="M166" s="160"/>
      <c r="N166" s="160"/>
      <c r="O166" s="160"/>
      <c r="P166" s="160"/>
      <c r="Q166" s="160"/>
      <c r="R166" s="160"/>
      <c r="S166" s="160"/>
      <c r="T166" s="160"/>
      <c r="U166" s="160"/>
      <c r="V166" s="160"/>
      <c r="W166" s="160">
        <f t="shared" si="4"/>
        <v>0</v>
      </c>
      <c r="X166" s="160">
        <f t="shared" si="5"/>
        <v>0</v>
      </c>
    </row>
    <row r="167" spans="2:24">
      <c r="B167" s="158"/>
      <c r="C167" s="121" t="s">
        <v>55</v>
      </c>
      <c r="D167" s="121" t="s">
        <v>55</v>
      </c>
      <c r="E167" s="160">
        <v>9433</v>
      </c>
      <c r="F167" s="160">
        <v>7599</v>
      </c>
      <c r="G167" s="160">
        <v>5145</v>
      </c>
      <c r="H167" s="160">
        <v>4252</v>
      </c>
      <c r="I167" s="160">
        <v>5271</v>
      </c>
      <c r="J167" s="160">
        <v>4708</v>
      </c>
      <c r="K167" s="160">
        <v>4421</v>
      </c>
      <c r="L167" s="160">
        <v>4345</v>
      </c>
      <c r="M167" s="160">
        <v>4446</v>
      </c>
      <c r="N167" s="160">
        <v>4591</v>
      </c>
      <c r="O167" s="160">
        <v>4396</v>
      </c>
      <c r="P167" s="160">
        <v>5284</v>
      </c>
      <c r="Q167" s="160">
        <v>7602</v>
      </c>
      <c r="R167" s="160">
        <v>7397</v>
      </c>
      <c r="S167" s="160">
        <v>6991</v>
      </c>
      <c r="T167" s="160">
        <v>6769</v>
      </c>
      <c r="U167" s="160">
        <v>6545</v>
      </c>
      <c r="V167" s="160">
        <v>6739</v>
      </c>
      <c r="W167" s="160">
        <f t="shared" si="4"/>
        <v>-194</v>
      </c>
      <c r="X167" s="160">
        <f t="shared" si="5"/>
        <v>-2.0638297872340425</v>
      </c>
    </row>
    <row r="168" spans="2:24">
      <c r="B168" s="158"/>
      <c r="C168" s="121" t="s">
        <v>539</v>
      </c>
      <c r="D168" s="121" t="s">
        <v>540</v>
      </c>
      <c r="E168" s="160">
        <v>30000</v>
      </c>
      <c r="F168" s="160">
        <v>30000</v>
      </c>
      <c r="G168" s="160">
        <v>30000</v>
      </c>
      <c r="H168" s="160"/>
      <c r="I168" s="160"/>
      <c r="J168" s="160"/>
      <c r="K168" s="160"/>
      <c r="L168" s="160"/>
      <c r="M168" s="160"/>
      <c r="N168" s="160"/>
      <c r="O168" s="160"/>
      <c r="P168" s="160"/>
      <c r="Q168" s="160"/>
      <c r="R168" s="160"/>
      <c r="S168" s="160"/>
      <c r="T168" s="160"/>
      <c r="U168" s="160"/>
      <c r="V168" s="160"/>
      <c r="W168" s="160">
        <f t="shared" si="4"/>
        <v>0</v>
      </c>
      <c r="X168" s="160">
        <f t="shared" si="5"/>
        <v>0</v>
      </c>
    </row>
    <row r="169" spans="2:24">
      <c r="B169" s="158"/>
      <c r="C169" s="121"/>
      <c r="D169" s="121" t="s">
        <v>539</v>
      </c>
      <c r="E169" s="160">
        <v>5000</v>
      </c>
      <c r="F169" s="160"/>
      <c r="G169" s="160"/>
      <c r="H169" s="160"/>
      <c r="I169" s="160"/>
      <c r="J169" s="160"/>
      <c r="K169" s="160"/>
      <c r="L169" s="160"/>
      <c r="M169" s="160"/>
      <c r="N169" s="160"/>
      <c r="O169" s="160"/>
      <c r="P169" s="160"/>
      <c r="Q169" s="160"/>
      <c r="R169" s="160"/>
      <c r="S169" s="160"/>
      <c r="T169" s="160"/>
      <c r="U169" s="160"/>
      <c r="V169" s="160"/>
      <c r="W169" s="160">
        <f t="shared" si="4"/>
        <v>0</v>
      </c>
      <c r="X169" s="160">
        <f t="shared" si="5"/>
        <v>0</v>
      </c>
    </row>
    <row r="170" spans="2:24">
      <c r="B170" s="158"/>
      <c r="C170" s="121" t="s">
        <v>135</v>
      </c>
      <c r="D170" s="121" t="s">
        <v>422</v>
      </c>
      <c r="E170" s="160"/>
      <c r="F170" s="160"/>
      <c r="G170" s="160"/>
      <c r="H170" s="160"/>
      <c r="I170" s="160"/>
      <c r="J170" s="160"/>
      <c r="K170" s="160"/>
      <c r="L170" s="160"/>
      <c r="M170" s="160"/>
      <c r="N170" s="160"/>
      <c r="O170" s="160"/>
      <c r="P170" s="160"/>
      <c r="Q170" s="160"/>
      <c r="R170" s="160"/>
      <c r="S170" s="160">
        <v>25000</v>
      </c>
      <c r="T170" s="160"/>
      <c r="U170" s="160"/>
      <c r="V170" s="160"/>
      <c r="W170" s="160">
        <f t="shared" si="4"/>
        <v>0</v>
      </c>
      <c r="X170" s="160">
        <f t="shared" si="5"/>
        <v>0</v>
      </c>
    </row>
    <row r="171" spans="2:24">
      <c r="B171" s="158"/>
      <c r="C171" s="121" t="s">
        <v>541</v>
      </c>
      <c r="D171" s="121" t="s">
        <v>422</v>
      </c>
      <c r="E171" s="160"/>
      <c r="F171" s="160"/>
      <c r="G171" s="160"/>
      <c r="H171" s="160"/>
      <c r="I171" s="160"/>
      <c r="J171" s="160"/>
      <c r="K171" s="160"/>
      <c r="L171" s="160"/>
      <c r="M171" s="160"/>
      <c r="N171" s="160"/>
      <c r="O171" s="160"/>
      <c r="P171" s="160"/>
      <c r="Q171" s="160">
        <v>20000</v>
      </c>
      <c r="R171" s="160"/>
      <c r="S171" s="160"/>
      <c r="T171" s="160"/>
      <c r="U171" s="160"/>
      <c r="V171" s="160"/>
      <c r="W171" s="160">
        <f t="shared" si="4"/>
        <v>0</v>
      </c>
      <c r="X171" s="160">
        <f t="shared" si="5"/>
        <v>0</v>
      </c>
    </row>
    <row r="172" spans="2:24">
      <c r="B172" s="158"/>
      <c r="C172" s="121" t="s">
        <v>543</v>
      </c>
      <c r="D172" s="121" t="s">
        <v>422</v>
      </c>
      <c r="E172" s="160"/>
      <c r="F172" s="160"/>
      <c r="G172" s="160"/>
      <c r="H172" s="160"/>
      <c r="I172" s="160"/>
      <c r="J172" s="160"/>
      <c r="K172" s="160"/>
      <c r="L172" s="160"/>
      <c r="M172" s="160"/>
      <c r="N172" s="160"/>
      <c r="O172" s="160"/>
      <c r="P172" s="160"/>
      <c r="Q172" s="160"/>
      <c r="R172" s="160"/>
      <c r="S172" s="160">
        <v>5000</v>
      </c>
      <c r="T172" s="160"/>
      <c r="U172" s="160"/>
      <c r="V172" s="160">
        <v>5000</v>
      </c>
      <c r="W172" s="160">
        <f t="shared" si="4"/>
        <v>-5000</v>
      </c>
      <c r="X172" s="160">
        <f t="shared" si="5"/>
        <v>-53.191489361702125</v>
      </c>
    </row>
    <row r="173" spans="2:24">
      <c r="B173" s="158"/>
      <c r="C173" s="121"/>
      <c r="D173" s="121" t="s">
        <v>473</v>
      </c>
      <c r="E173" s="160"/>
      <c r="F173" s="160"/>
      <c r="G173" s="160"/>
      <c r="H173" s="160"/>
      <c r="I173" s="160"/>
      <c r="J173" s="160"/>
      <c r="K173" s="160"/>
      <c r="L173" s="160"/>
      <c r="M173" s="160"/>
      <c r="N173" s="160">
        <v>5000</v>
      </c>
      <c r="O173" s="160"/>
      <c r="P173" s="160"/>
      <c r="Q173" s="160"/>
      <c r="R173" s="160"/>
      <c r="S173" s="160"/>
      <c r="T173" s="160"/>
      <c r="U173" s="160"/>
      <c r="V173" s="160"/>
      <c r="W173" s="160">
        <f t="shared" si="4"/>
        <v>0</v>
      </c>
      <c r="X173" s="160">
        <f t="shared" si="5"/>
        <v>0</v>
      </c>
    </row>
    <row r="174" spans="2:24">
      <c r="B174" s="158"/>
      <c r="C174" s="121" t="s">
        <v>126</v>
      </c>
      <c r="D174" s="121" t="s">
        <v>542</v>
      </c>
      <c r="E174" s="160"/>
      <c r="F174" s="160"/>
      <c r="G174" s="160">
        <v>14000</v>
      </c>
      <c r="H174" s="160"/>
      <c r="I174" s="160"/>
      <c r="J174" s="160"/>
      <c r="K174" s="160"/>
      <c r="L174" s="160"/>
      <c r="M174" s="160"/>
      <c r="N174" s="160"/>
      <c r="O174" s="160"/>
      <c r="P174" s="160"/>
      <c r="Q174" s="160"/>
      <c r="R174" s="160"/>
      <c r="S174" s="160"/>
      <c r="T174" s="160"/>
      <c r="U174" s="160"/>
      <c r="V174" s="160"/>
      <c r="W174" s="160">
        <f t="shared" si="4"/>
        <v>0</v>
      </c>
      <c r="X174" s="160">
        <f t="shared" si="5"/>
        <v>0</v>
      </c>
    </row>
    <row r="175" spans="2:24">
      <c r="B175" s="158"/>
      <c r="C175" s="121" t="s">
        <v>544</v>
      </c>
      <c r="D175" s="121" t="s">
        <v>422</v>
      </c>
      <c r="E175" s="160"/>
      <c r="F175" s="160"/>
      <c r="G175" s="160"/>
      <c r="H175" s="160"/>
      <c r="I175" s="160"/>
      <c r="J175" s="160"/>
      <c r="K175" s="160"/>
      <c r="L175" s="160"/>
      <c r="M175" s="160"/>
      <c r="N175" s="160"/>
      <c r="O175" s="160"/>
      <c r="P175" s="160">
        <v>898</v>
      </c>
      <c r="Q175" s="160"/>
      <c r="R175" s="160">
        <v>1080</v>
      </c>
      <c r="S175" s="160"/>
      <c r="T175" s="160"/>
      <c r="U175" s="160"/>
      <c r="V175" s="160"/>
      <c r="W175" s="160">
        <f t="shared" si="4"/>
        <v>0</v>
      </c>
      <c r="X175" s="160">
        <f t="shared" si="5"/>
        <v>0</v>
      </c>
    </row>
    <row r="176" spans="2:24">
      <c r="B176" s="158"/>
      <c r="C176" s="121"/>
      <c r="D176" s="121" t="s">
        <v>544</v>
      </c>
      <c r="E176" s="160"/>
      <c r="F176" s="160">
        <v>2040</v>
      </c>
      <c r="G176" s="160"/>
      <c r="H176" s="160"/>
      <c r="I176" s="160"/>
      <c r="J176" s="160"/>
      <c r="K176" s="160">
        <v>1140</v>
      </c>
      <c r="L176" s="160"/>
      <c r="M176" s="160"/>
      <c r="N176" s="160"/>
      <c r="O176" s="160"/>
      <c r="P176" s="160">
        <v>360</v>
      </c>
      <c r="Q176" s="160"/>
      <c r="R176" s="160"/>
      <c r="S176" s="160"/>
      <c r="T176" s="160"/>
      <c r="U176" s="160"/>
      <c r="V176" s="160"/>
      <c r="W176" s="160">
        <f t="shared" si="4"/>
        <v>0</v>
      </c>
      <c r="X176" s="160">
        <f t="shared" si="5"/>
        <v>0</v>
      </c>
    </row>
    <row r="177" spans="2:24">
      <c r="B177" s="158"/>
      <c r="C177" s="121"/>
      <c r="D177" s="121" t="s">
        <v>545</v>
      </c>
      <c r="E177" s="160">
        <v>2150</v>
      </c>
      <c r="F177" s="160"/>
      <c r="G177" s="160"/>
      <c r="H177" s="160"/>
      <c r="I177" s="160"/>
      <c r="J177" s="160"/>
      <c r="K177" s="160"/>
      <c r="L177" s="160"/>
      <c r="M177" s="160"/>
      <c r="N177" s="160"/>
      <c r="O177" s="160"/>
      <c r="P177" s="160"/>
      <c r="Q177" s="160"/>
      <c r="R177" s="160"/>
      <c r="S177" s="160"/>
      <c r="T177" s="160"/>
      <c r="U177" s="160"/>
      <c r="V177" s="160"/>
      <c r="W177" s="160">
        <f t="shared" si="4"/>
        <v>0</v>
      </c>
      <c r="X177" s="160">
        <f t="shared" si="5"/>
        <v>0</v>
      </c>
    </row>
    <row r="178" spans="2:24">
      <c r="B178" s="158"/>
      <c r="C178" s="121" t="s">
        <v>546</v>
      </c>
      <c r="D178" s="121" t="s">
        <v>422</v>
      </c>
      <c r="E178" s="160"/>
      <c r="F178" s="160"/>
      <c r="G178" s="160"/>
      <c r="H178" s="160"/>
      <c r="I178" s="160"/>
      <c r="J178" s="160"/>
      <c r="K178" s="160"/>
      <c r="L178" s="160"/>
      <c r="M178" s="160"/>
      <c r="N178" s="160"/>
      <c r="O178" s="160"/>
      <c r="P178" s="160"/>
      <c r="Q178" s="160"/>
      <c r="R178" s="160"/>
      <c r="S178" s="160"/>
      <c r="T178" s="160">
        <v>4007</v>
      </c>
      <c r="U178" s="160"/>
      <c r="V178" s="160"/>
      <c r="W178" s="160">
        <f t="shared" si="4"/>
        <v>0</v>
      </c>
      <c r="X178" s="160">
        <f t="shared" si="5"/>
        <v>0</v>
      </c>
    </row>
    <row r="179" spans="2:24">
      <c r="B179" s="158"/>
      <c r="C179" s="121" t="s">
        <v>547</v>
      </c>
      <c r="D179" s="121" t="s">
        <v>488</v>
      </c>
      <c r="E179" s="160"/>
      <c r="F179" s="160"/>
      <c r="G179" s="160">
        <v>3000</v>
      </c>
      <c r="H179" s="160"/>
      <c r="I179" s="160"/>
      <c r="J179" s="160"/>
      <c r="K179" s="160"/>
      <c r="L179" s="160"/>
      <c r="M179" s="160"/>
      <c r="N179" s="160"/>
      <c r="O179" s="160"/>
      <c r="P179" s="160"/>
      <c r="Q179" s="160"/>
      <c r="R179" s="160"/>
      <c r="S179" s="160"/>
      <c r="T179" s="160"/>
      <c r="U179" s="160"/>
      <c r="V179" s="160"/>
      <c r="W179" s="160">
        <f t="shared" si="4"/>
        <v>0</v>
      </c>
      <c r="X179" s="160">
        <f t="shared" si="5"/>
        <v>0</v>
      </c>
    </row>
    <row r="180" spans="2:24">
      <c r="B180" s="158"/>
      <c r="C180" s="121" t="s">
        <v>118</v>
      </c>
      <c r="D180" s="121" t="s">
        <v>422</v>
      </c>
      <c r="E180" s="160">
        <v>-319523</v>
      </c>
      <c r="F180" s="160">
        <v>-525000</v>
      </c>
      <c r="G180" s="160">
        <v>13927</v>
      </c>
      <c r="H180" s="160"/>
      <c r="I180" s="160"/>
      <c r="J180" s="160"/>
      <c r="K180" s="160"/>
      <c r="L180" s="160"/>
      <c r="M180" s="160">
        <v>37150</v>
      </c>
      <c r="N180" s="160"/>
      <c r="O180" s="160">
        <v>7372</v>
      </c>
      <c r="P180" s="160">
        <v>900</v>
      </c>
      <c r="Q180" s="160"/>
      <c r="R180" s="160">
        <v>639</v>
      </c>
      <c r="S180" s="160">
        <v>2450</v>
      </c>
      <c r="T180" s="160">
        <v>2450</v>
      </c>
      <c r="U180" s="160">
        <v>9133.35</v>
      </c>
      <c r="V180" s="160">
        <v>5369</v>
      </c>
      <c r="W180" s="160">
        <f t="shared" si="4"/>
        <v>3764.3500000000004</v>
      </c>
      <c r="X180" s="160">
        <f t="shared" si="5"/>
        <v>40.046276595744686</v>
      </c>
    </row>
    <row r="181" spans="2:24">
      <c r="B181" s="158"/>
      <c r="C181" s="121"/>
      <c r="D181" s="121" t="s">
        <v>459</v>
      </c>
      <c r="E181" s="160"/>
      <c r="F181" s="160">
        <v>114.5</v>
      </c>
      <c r="G181" s="160"/>
      <c r="H181" s="160">
        <v>5008.67</v>
      </c>
      <c r="I181" s="160"/>
      <c r="J181" s="160">
        <v>20513.21</v>
      </c>
      <c r="K181" s="160">
        <v>12214.72</v>
      </c>
      <c r="L181" s="160">
        <v>7840.09</v>
      </c>
      <c r="M181" s="160"/>
      <c r="N181" s="160">
        <v>9312.9299999999985</v>
      </c>
      <c r="O181" s="160"/>
      <c r="P181" s="160">
        <v>10876.91</v>
      </c>
      <c r="Q181" s="160"/>
      <c r="R181" s="160"/>
      <c r="S181" s="160"/>
      <c r="T181" s="160"/>
      <c r="U181" s="160"/>
      <c r="V181" s="160">
        <v>1946.0900000000001</v>
      </c>
      <c r="W181" s="160">
        <f t="shared" si="4"/>
        <v>-1946.0900000000001</v>
      </c>
      <c r="X181" s="160">
        <f t="shared" si="5"/>
        <v>-20.703085106382979</v>
      </c>
    </row>
    <row r="182" spans="2:24">
      <c r="B182" s="158"/>
      <c r="C182" s="121"/>
      <c r="D182" s="121" t="s">
        <v>438</v>
      </c>
      <c r="E182" s="160"/>
      <c r="F182" s="160">
        <v>1000</v>
      </c>
      <c r="G182" s="160"/>
      <c r="H182" s="160">
        <v>6069.2800000000007</v>
      </c>
      <c r="I182" s="160"/>
      <c r="J182" s="160">
        <v>2991.88</v>
      </c>
      <c r="K182" s="160"/>
      <c r="L182" s="160"/>
      <c r="M182" s="160"/>
      <c r="N182" s="160">
        <v>4717.6100000000006</v>
      </c>
      <c r="O182" s="160"/>
      <c r="P182" s="160"/>
      <c r="Q182" s="160"/>
      <c r="R182" s="160">
        <v>1348.2799999999997</v>
      </c>
      <c r="S182" s="160"/>
      <c r="T182" s="160">
        <v>120.58000000000004</v>
      </c>
      <c r="U182" s="160"/>
      <c r="V182" s="160"/>
      <c r="W182" s="160">
        <f t="shared" si="4"/>
        <v>0</v>
      </c>
      <c r="X182" s="160">
        <f t="shared" si="5"/>
        <v>0</v>
      </c>
    </row>
    <row r="183" spans="2:24">
      <c r="B183" s="158"/>
      <c r="C183" s="121"/>
      <c r="D183" s="121" t="s">
        <v>548</v>
      </c>
      <c r="E183" s="160"/>
      <c r="F183" s="160">
        <v>11272</v>
      </c>
      <c r="G183" s="160"/>
      <c r="H183" s="160"/>
      <c r="I183" s="160"/>
      <c r="J183" s="160"/>
      <c r="K183" s="160"/>
      <c r="L183" s="160"/>
      <c r="M183" s="160"/>
      <c r="N183" s="160"/>
      <c r="O183" s="160"/>
      <c r="P183" s="160"/>
      <c r="Q183" s="160"/>
      <c r="R183" s="160"/>
      <c r="S183" s="160"/>
      <c r="T183" s="160"/>
      <c r="U183" s="160"/>
      <c r="V183" s="160"/>
      <c r="W183" s="160">
        <f t="shared" si="4"/>
        <v>0</v>
      </c>
      <c r="X183" s="160">
        <f t="shared" si="5"/>
        <v>0</v>
      </c>
    </row>
    <row r="184" spans="2:24">
      <c r="B184" s="158"/>
      <c r="C184" s="121"/>
      <c r="D184" s="121" t="s">
        <v>118</v>
      </c>
      <c r="E184" s="160">
        <v>2000</v>
      </c>
      <c r="F184" s="160">
        <v>213514</v>
      </c>
      <c r="G184" s="160">
        <v>378</v>
      </c>
      <c r="H184" s="160">
        <v>1500</v>
      </c>
      <c r="I184" s="160"/>
      <c r="J184" s="160"/>
      <c r="K184" s="160"/>
      <c r="L184" s="160">
        <v>7597</v>
      </c>
      <c r="M184" s="160">
        <v>6731</v>
      </c>
      <c r="N184" s="160"/>
      <c r="O184" s="160"/>
      <c r="P184" s="160">
        <v>5297</v>
      </c>
      <c r="Q184" s="160"/>
      <c r="R184" s="160"/>
      <c r="S184" s="160"/>
      <c r="T184" s="160"/>
      <c r="U184" s="160"/>
      <c r="V184" s="160"/>
      <c r="W184" s="160">
        <f t="shared" si="4"/>
        <v>0</v>
      </c>
      <c r="X184" s="160">
        <f t="shared" si="5"/>
        <v>0</v>
      </c>
    </row>
    <row r="185" spans="2:24">
      <c r="B185" s="158"/>
      <c r="C185" s="121"/>
      <c r="D185" s="121" t="s">
        <v>510</v>
      </c>
      <c r="E185" s="160"/>
      <c r="F185" s="160"/>
      <c r="G185" s="160"/>
      <c r="H185" s="160"/>
      <c r="I185" s="160"/>
      <c r="J185" s="160">
        <v>2271.71</v>
      </c>
      <c r="K185" s="160">
        <v>2747.45</v>
      </c>
      <c r="L185" s="160"/>
      <c r="M185" s="160"/>
      <c r="N185" s="160"/>
      <c r="O185" s="160"/>
      <c r="P185" s="160"/>
      <c r="Q185" s="160"/>
      <c r="R185" s="160"/>
      <c r="S185" s="160"/>
      <c r="T185" s="160"/>
      <c r="U185" s="160"/>
      <c r="V185" s="160"/>
      <c r="W185" s="160">
        <f t="shared" si="4"/>
        <v>0</v>
      </c>
      <c r="X185" s="160">
        <f t="shared" si="5"/>
        <v>0</v>
      </c>
    </row>
    <row r="186" spans="2:24">
      <c r="B186" s="158"/>
      <c r="C186" s="121"/>
      <c r="D186" s="121" t="s">
        <v>549</v>
      </c>
      <c r="E186" s="160"/>
      <c r="F186" s="160"/>
      <c r="G186" s="160"/>
      <c r="H186" s="160"/>
      <c r="I186" s="160"/>
      <c r="J186" s="160"/>
      <c r="K186" s="160"/>
      <c r="L186" s="160"/>
      <c r="M186" s="160"/>
      <c r="N186" s="160"/>
      <c r="O186" s="160"/>
      <c r="P186" s="160">
        <v>5876</v>
      </c>
      <c r="Q186" s="160"/>
      <c r="R186" s="160"/>
      <c r="S186" s="160"/>
      <c r="T186" s="160">
        <v>1479</v>
      </c>
      <c r="U186" s="160"/>
      <c r="V186" s="160"/>
      <c r="W186" s="160">
        <f t="shared" si="4"/>
        <v>0</v>
      </c>
      <c r="X186" s="160">
        <f t="shared" si="5"/>
        <v>0</v>
      </c>
    </row>
    <row r="187" spans="2:24">
      <c r="B187" s="158"/>
      <c r="C187" s="121"/>
      <c r="D187" s="121" t="s">
        <v>550</v>
      </c>
      <c r="E187" s="160"/>
      <c r="F187" s="160">
        <v>7814.19</v>
      </c>
      <c r="G187" s="160"/>
      <c r="H187" s="160"/>
      <c r="I187" s="160"/>
      <c r="J187" s="160"/>
      <c r="K187" s="160"/>
      <c r="L187" s="160"/>
      <c r="M187" s="160"/>
      <c r="N187" s="160"/>
      <c r="O187" s="160"/>
      <c r="P187" s="160"/>
      <c r="Q187" s="160"/>
      <c r="R187" s="160"/>
      <c r="S187" s="160"/>
      <c r="T187" s="160"/>
      <c r="U187" s="160"/>
      <c r="V187" s="160"/>
      <c r="W187" s="160">
        <f t="shared" si="4"/>
        <v>0</v>
      </c>
      <c r="X187" s="160">
        <f t="shared" si="5"/>
        <v>0</v>
      </c>
    </row>
    <row r="188" spans="2:24">
      <c r="B188" s="158"/>
      <c r="C188" s="121"/>
      <c r="D188" s="121" t="s">
        <v>551</v>
      </c>
      <c r="E188" s="160"/>
      <c r="F188" s="160"/>
      <c r="G188" s="160">
        <v>41428.58</v>
      </c>
      <c r="H188" s="160"/>
      <c r="I188" s="160"/>
      <c r="J188" s="160"/>
      <c r="K188" s="160"/>
      <c r="L188" s="160"/>
      <c r="M188" s="160"/>
      <c r="N188" s="160"/>
      <c r="O188" s="160"/>
      <c r="P188" s="160"/>
      <c r="Q188" s="160"/>
      <c r="R188" s="160"/>
      <c r="S188" s="160"/>
      <c r="T188" s="160"/>
      <c r="U188" s="160"/>
      <c r="V188" s="160"/>
      <c r="W188" s="160">
        <f t="shared" si="4"/>
        <v>0</v>
      </c>
      <c r="X188" s="160">
        <f t="shared" si="5"/>
        <v>0</v>
      </c>
    </row>
    <row r="189" spans="2:24">
      <c r="B189" s="158"/>
      <c r="C189" s="121"/>
      <c r="D189" s="121" t="s">
        <v>552</v>
      </c>
      <c r="E189" s="160"/>
      <c r="F189" s="160"/>
      <c r="G189" s="160">
        <v>6852</v>
      </c>
      <c r="H189" s="160"/>
      <c r="I189" s="160"/>
      <c r="J189" s="160"/>
      <c r="K189" s="160"/>
      <c r="L189" s="160"/>
      <c r="M189" s="160"/>
      <c r="N189" s="160"/>
      <c r="O189" s="160"/>
      <c r="P189" s="160"/>
      <c r="Q189" s="160"/>
      <c r="R189" s="160"/>
      <c r="S189" s="160"/>
      <c r="T189" s="160"/>
      <c r="U189" s="160"/>
      <c r="V189" s="160"/>
      <c r="W189" s="160">
        <f t="shared" si="4"/>
        <v>0</v>
      </c>
      <c r="X189" s="160">
        <f t="shared" si="5"/>
        <v>0</v>
      </c>
    </row>
    <row r="190" spans="2:24">
      <c r="B190" s="158"/>
      <c r="C190" s="121"/>
      <c r="D190" s="121" t="s">
        <v>553</v>
      </c>
      <c r="E190" s="160"/>
      <c r="F190" s="160"/>
      <c r="G190" s="160"/>
      <c r="H190" s="160">
        <v>8356.51</v>
      </c>
      <c r="I190" s="160"/>
      <c r="J190" s="160"/>
      <c r="K190" s="160"/>
      <c r="L190" s="160"/>
      <c r="M190" s="160"/>
      <c r="N190" s="160"/>
      <c r="O190" s="160"/>
      <c r="P190" s="160"/>
      <c r="Q190" s="160"/>
      <c r="R190" s="160"/>
      <c r="S190" s="160"/>
      <c r="T190" s="160"/>
      <c r="U190" s="160"/>
      <c r="V190" s="160"/>
      <c r="W190" s="160">
        <f t="shared" si="4"/>
        <v>0</v>
      </c>
      <c r="X190" s="160">
        <f t="shared" si="5"/>
        <v>0</v>
      </c>
    </row>
    <row r="191" spans="2:24">
      <c r="B191" s="158"/>
      <c r="C191" s="121"/>
      <c r="D191" s="121" t="s">
        <v>486</v>
      </c>
      <c r="E191" s="160"/>
      <c r="F191" s="160"/>
      <c r="G191" s="160"/>
      <c r="H191" s="160"/>
      <c r="I191" s="160">
        <v>2114</v>
      </c>
      <c r="J191" s="160"/>
      <c r="K191" s="160"/>
      <c r="L191" s="160"/>
      <c r="M191" s="160"/>
      <c r="N191" s="160"/>
      <c r="O191" s="160"/>
      <c r="P191" s="160"/>
      <c r="Q191" s="160"/>
      <c r="R191" s="160"/>
      <c r="S191" s="160"/>
      <c r="T191" s="160"/>
      <c r="U191" s="160"/>
      <c r="V191" s="160"/>
      <c r="W191" s="160">
        <f t="shared" si="4"/>
        <v>0</v>
      </c>
      <c r="X191" s="160">
        <f t="shared" si="5"/>
        <v>0</v>
      </c>
    </row>
    <row r="192" spans="2:24">
      <c r="B192" s="158"/>
      <c r="C192" s="121"/>
      <c r="D192" s="121" t="s">
        <v>469</v>
      </c>
      <c r="E192" s="160"/>
      <c r="F192" s="160"/>
      <c r="G192" s="160"/>
      <c r="H192" s="160"/>
      <c r="I192" s="160"/>
      <c r="J192" s="160"/>
      <c r="K192" s="160"/>
      <c r="L192" s="160"/>
      <c r="M192" s="160"/>
      <c r="N192" s="160">
        <v>3163.88</v>
      </c>
      <c r="O192" s="160">
        <v>10894.840000000002</v>
      </c>
      <c r="P192" s="160">
        <v>9055.0199999999986</v>
      </c>
      <c r="Q192" s="160">
        <v>2100.1099999999997</v>
      </c>
      <c r="R192" s="160">
        <v>2395.42</v>
      </c>
      <c r="S192" s="160">
        <v>8606.3000000000011</v>
      </c>
      <c r="T192" s="160">
        <v>12020.900000000001</v>
      </c>
      <c r="U192" s="160">
        <v>13698.36</v>
      </c>
      <c r="V192" s="160">
        <v>30358.28</v>
      </c>
      <c r="W192" s="160">
        <f t="shared" si="4"/>
        <v>-16659.919999999998</v>
      </c>
      <c r="X192" s="160">
        <f t="shared" si="5"/>
        <v>-177.23319148936167</v>
      </c>
    </row>
    <row r="193" spans="2:24">
      <c r="B193" s="158"/>
      <c r="C193" s="121"/>
      <c r="D193" s="121" t="s">
        <v>554</v>
      </c>
      <c r="E193" s="160"/>
      <c r="F193" s="160"/>
      <c r="G193" s="160"/>
      <c r="H193" s="160"/>
      <c r="I193" s="160"/>
      <c r="J193" s="160"/>
      <c r="K193" s="160"/>
      <c r="L193" s="160"/>
      <c r="M193" s="160"/>
      <c r="N193" s="160"/>
      <c r="O193" s="160"/>
      <c r="P193" s="160"/>
      <c r="Q193" s="160">
        <v>22400</v>
      </c>
      <c r="R193" s="160"/>
      <c r="S193" s="160"/>
      <c r="T193" s="160"/>
      <c r="U193" s="160"/>
      <c r="V193" s="160"/>
      <c r="W193" s="160">
        <f t="shared" si="4"/>
        <v>0</v>
      </c>
      <c r="X193" s="160">
        <f t="shared" si="5"/>
        <v>0</v>
      </c>
    </row>
    <row r="194" spans="2:24">
      <c r="B194" s="158" t="s">
        <v>555</v>
      </c>
      <c r="C194" s="158"/>
      <c r="D194" s="158"/>
      <c r="E194" s="160">
        <v>716056.5</v>
      </c>
      <c r="F194" s="160">
        <v>829735.19</v>
      </c>
      <c r="G194" s="160">
        <v>1324492.1399999999</v>
      </c>
      <c r="H194" s="160">
        <v>1023341.4600000001</v>
      </c>
      <c r="I194" s="160">
        <v>1427735.2</v>
      </c>
      <c r="J194" s="160">
        <v>1304707.8599999999</v>
      </c>
      <c r="K194" s="160">
        <v>1279651.1299999999</v>
      </c>
      <c r="L194" s="160">
        <v>1295705.06</v>
      </c>
      <c r="M194" s="160">
        <v>1464436.9</v>
      </c>
      <c r="N194" s="160">
        <v>1443733.0199999998</v>
      </c>
      <c r="O194" s="160">
        <v>1511114.8900000001</v>
      </c>
      <c r="P194" s="160">
        <v>1969130.8299999998</v>
      </c>
      <c r="Q194" s="160">
        <v>1598327.24</v>
      </c>
      <c r="R194" s="160">
        <v>1419654.64</v>
      </c>
      <c r="S194" s="160">
        <v>1526261.0999999999</v>
      </c>
      <c r="T194" s="160">
        <v>1488324.5999999999</v>
      </c>
      <c r="U194" s="160">
        <v>1448213.4100000001</v>
      </c>
      <c r="V194" s="160">
        <v>1876959.09</v>
      </c>
      <c r="W194" s="162">
        <f t="shared" si="4"/>
        <v>-428745.67999999993</v>
      </c>
      <c r="X194" s="162">
        <f t="shared" si="5"/>
        <v>-4561.1242553191487</v>
      </c>
    </row>
    <row r="195" spans="2:24">
      <c r="B195" s="158" t="s">
        <v>556</v>
      </c>
      <c r="C195" s="121" t="s">
        <v>92</v>
      </c>
      <c r="D195" s="121" t="s">
        <v>473</v>
      </c>
      <c r="E195" s="160"/>
      <c r="F195" s="160"/>
      <c r="G195" s="160"/>
      <c r="H195" s="160">
        <v>1205</v>
      </c>
      <c r="I195" s="160">
        <v>603</v>
      </c>
      <c r="J195" s="160"/>
      <c r="K195" s="160">
        <v>2</v>
      </c>
      <c r="L195" s="160"/>
      <c r="M195" s="160">
        <v>5880</v>
      </c>
      <c r="N195" s="160">
        <v>31039</v>
      </c>
      <c r="O195" s="160">
        <v>6623</v>
      </c>
      <c r="P195" s="160">
        <v>101690.54000000001</v>
      </c>
      <c r="Q195" s="160">
        <v>58759</v>
      </c>
      <c r="R195" s="160">
        <v>68655</v>
      </c>
      <c r="S195" s="160">
        <v>130378.1</v>
      </c>
      <c r="T195" s="160">
        <v>87283</v>
      </c>
      <c r="U195" s="160">
        <v>81227</v>
      </c>
      <c r="V195" s="160">
        <v>76365</v>
      </c>
      <c r="W195" s="160">
        <f t="shared" si="4"/>
        <v>4862</v>
      </c>
      <c r="X195" s="160">
        <f t="shared" si="5"/>
        <v>51.723404255319146</v>
      </c>
    </row>
    <row r="196" spans="2:24">
      <c r="B196" s="158"/>
      <c r="C196" s="121" t="s">
        <v>150</v>
      </c>
      <c r="D196" s="121" t="s">
        <v>422</v>
      </c>
      <c r="E196" s="160">
        <v>45</v>
      </c>
      <c r="F196" s="160">
        <v>30.490000000000002</v>
      </c>
      <c r="G196" s="160">
        <v>28</v>
      </c>
      <c r="H196" s="160">
        <v>1003</v>
      </c>
      <c r="I196" s="160">
        <v>72</v>
      </c>
      <c r="J196" s="160">
        <v>44</v>
      </c>
      <c r="K196" s="160"/>
      <c r="L196" s="160"/>
      <c r="M196" s="160"/>
      <c r="N196" s="160"/>
      <c r="O196" s="160"/>
      <c r="P196" s="160"/>
      <c r="Q196" s="160">
        <v>590</v>
      </c>
      <c r="R196" s="160"/>
      <c r="S196" s="160"/>
      <c r="T196" s="160"/>
      <c r="U196" s="160"/>
      <c r="V196" s="160"/>
      <c r="W196" s="160">
        <f t="shared" si="4"/>
        <v>0</v>
      </c>
      <c r="X196" s="160">
        <f t="shared" si="5"/>
        <v>0</v>
      </c>
    </row>
    <row r="197" spans="2:24">
      <c r="B197" s="158"/>
      <c r="C197" s="121"/>
      <c r="D197" s="121" t="s">
        <v>459</v>
      </c>
      <c r="E197" s="160">
        <v>23.67</v>
      </c>
      <c r="F197" s="160">
        <v>931.53</v>
      </c>
      <c r="G197" s="160">
        <v>23.67</v>
      </c>
      <c r="H197" s="160">
        <v>23.67</v>
      </c>
      <c r="I197" s="160">
        <v>23.67</v>
      </c>
      <c r="J197" s="160">
        <v>23.67</v>
      </c>
      <c r="K197" s="160">
        <v>2025.63</v>
      </c>
      <c r="L197" s="160">
        <v>59.510000000000005</v>
      </c>
      <c r="M197" s="160">
        <v>57.49</v>
      </c>
      <c r="N197" s="160">
        <v>285.36</v>
      </c>
      <c r="O197" s="160">
        <v>57.49</v>
      </c>
      <c r="P197" s="160">
        <v>57.49</v>
      </c>
      <c r="Q197" s="160">
        <v>57.49</v>
      </c>
      <c r="R197" s="160">
        <v>57.49</v>
      </c>
      <c r="S197" s="160">
        <v>57.49</v>
      </c>
      <c r="T197" s="160">
        <v>57.49</v>
      </c>
      <c r="U197" s="160">
        <v>47.16</v>
      </c>
      <c r="V197" s="160"/>
      <c r="W197" s="160">
        <f t="shared" si="4"/>
        <v>47.16</v>
      </c>
      <c r="X197" s="160">
        <f t="shared" si="5"/>
        <v>0.50170212765957445</v>
      </c>
    </row>
    <row r="198" spans="2:24">
      <c r="B198" s="158"/>
      <c r="C198" s="121"/>
      <c r="D198" s="121" t="s">
        <v>438</v>
      </c>
      <c r="E198" s="160"/>
      <c r="F198" s="160"/>
      <c r="G198" s="160">
        <v>-4999</v>
      </c>
      <c r="H198" s="160"/>
      <c r="I198" s="160">
        <v>1512.36</v>
      </c>
      <c r="J198" s="160"/>
      <c r="K198" s="160"/>
      <c r="L198" s="160"/>
      <c r="M198" s="160"/>
      <c r="N198" s="160"/>
      <c r="O198" s="160">
        <v>594.51</v>
      </c>
      <c r="P198" s="160">
        <v>495.51</v>
      </c>
      <c r="Q198" s="160"/>
      <c r="R198" s="160">
        <v>8.18</v>
      </c>
      <c r="S198" s="160">
        <v>146.74</v>
      </c>
      <c r="T198" s="160">
        <v>11.79</v>
      </c>
      <c r="U198" s="160">
        <v>741.64</v>
      </c>
      <c r="V198" s="160">
        <v>87.73</v>
      </c>
      <c r="W198" s="160">
        <f t="shared" si="4"/>
        <v>653.91</v>
      </c>
      <c r="X198" s="160">
        <f t="shared" si="5"/>
        <v>6.9564893617021273</v>
      </c>
    </row>
    <row r="199" spans="2:24">
      <c r="B199" s="158"/>
      <c r="C199" s="121"/>
      <c r="D199" s="121" t="s">
        <v>473</v>
      </c>
      <c r="E199" s="160"/>
      <c r="F199" s="160">
        <v>18000</v>
      </c>
      <c r="G199" s="160"/>
      <c r="H199" s="160"/>
      <c r="I199" s="160"/>
      <c r="J199" s="160">
        <v>3855</v>
      </c>
      <c r="K199" s="160"/>
      <c r="L199" s="160">
        <v>5134.62</v>
      </c>
      <c r="M199" s="160">
        <v>3210</v>
      </c>
      <c r="N199" s="160"/>
      <c r="O199" s="160">
        <v>3406.57</v>
      </c>
      <c r="P199" s="160"/>
      <c r="Q199" s="160">
        <v>672.79</v>
      </c>
      <c r="R199" s="160"/>
      <c r="S199" s="160"/>
      <c r="T199" s="160"/>
      <c r="U199" s="160"/>
      <c r="V199" s="160"/>
      <c r="W199" s="160">
        <f t="shared" ref="W199:W203" si="6">U199-V199</f>
        <v>0</v>
      </c>
      <c r="X199" s="160">
        <f t="shared" si="5"/>
        <v>0</v>
      </c>
    </row>
    <row r="200" spans="2:24">
      <c r="B200" s="158"/>
      <c r="C200" s="121" t="s">
        <v>557</v>
      </c>
      <c r="D200" s="121" t="s">
        <v>422</v>
      </c>
      <c r="E200" s="160"/>
      <c r="F200" s="160"/>
      <c r="G200" s="160"/>
      <c r="H200" s="160"/>
      <c r="I200" s="160"/>
      <c r="J200" s="160"/>
      <c r="K200" s="160"/>
      <c r="L200" s="160"/>
      <c r="M200" s="160"/>
      <c r="N200" s="160"/>
      <c r="O200" s="160"/>
      <c r="P200" s="160"/>
      <c r="Q200" s="160"/>
      <c r="R200" s="160"/>
      <c r="S200" s="160"/>
      <c r="T200" s="160"/>
      <c r="U200" s="160">
        <v>11745</v>
      </c>
      <c r="V200" s="160"/>
      <c r="W200" s="160">
        <f t="shared" si="6"/>
        <v>11745</v>
      </c>
      <c r="X200" s="160">
        <f t="shared" ref="X200:X203" si="7">W200/94</f>
        <v>124.94680851063829</v>
      </c>
    </row>
    <row r="201" spans="2:24">
      <c r="B201" s="158"/>
      <c r="C201" s="121" t="s">
        <v>61</v>
      </c>
      <c r="D201" s="121" t="s">
        <v>422</v>
      </c>
      <c r="E201" s="160"/>
      <c r="F201" s="160"/>
      <c r="G201" s="160"/>
      <c r="H201" s="160"/>
      <c r="I201" s="160">
        <v>300</v>
      </c>
      <c r="J201" s="160"/>
      <c r="K201" s="160"/>
      <c r="L201" s="160"/>
      <c r="M201" s="160"/>
      <c r="N201" s="160"/>
      <c r="O201" s="160"/>
      <c r="P201" s="160"/>
      <c r="Q201" s="160"/>
      <c r="R201" s="160"/>
      <c r="S201" s="160"/>
      <c r="T201" s="160"/>
      <c r="U201" s="160">
        <v>729</v>
      </c>
      <c r="V201" s="160"/>
      <c r="W201" s="160">
        <f t="shared" si="6"/>
        <v>729</v>
      </c>
      <c r="X201" s="160">
        <f t="shared" si="7"/>
        <v>7.7553191489361701</v>
      </c>
    </row>
    <row r="202" spans="2:24">
      <c r="B202" s="158" t="s">
        <v>558</v>
      </c>
      <c r="C202" s="158"/>
      <c r="D202" s="158"/>
      <c r="E202" s="160">
        <v>68.67</v>
      </c>
      <c r="F202" s="160">
        <v>18962.02</v>
      </c>
      <c r="G202" s="160">
        <v>-4947.33</v>
      </c>
      <c r="H202" s="160">
        <v>2231.67</v>
      </c>
      <c r="I202" s="160">
        <v>2511.0299999999997</v>
      </c>
      <c r="J202" s="160">
        <v>3922.67</v>
      </c>
      <c r="K202" s="160">
        <v>2027.63</v>
      </c>
      <c r="L202" s="160">
        <v>5194.13</v>
      </c>
      <c r="M202" s="160">
        <v>9147.49</v>
      </c>
      <c r="N202" s="160">
        <v>31324.36</v>
      </c>
      <c r="O202" s="160">
        <v>10681.57</v>
      </c>
      <c r="P202" s="160">
        <v>102243.54000000001</v>
      </c>
      <c r="Q202" s="160">
        <v>60079.28</v>
      </c>
      <c r="R202" s="160">
        <v>68720.67</v>
      </c>
      <c r="S202" s="160">
        <v>130582.33</v>
      </c>
      <c r="T202" s="160">
        <v>87352.28</v>
      </c>
      <c r="U202" s="160">
        <v>94489.8</v>
      </c>
      <c r="V202" s="160">
        <v>76452.73</v>
      </c>
      <c r="W202" s="162">
        <f t="shared" si="6"/>
        <v>18037.070000000007</v>
      </c>
      <c r="X202" s="162">
        <f t="shared" si="7"/>
        <v>191.88372340425539</v>
      </c>
    </row>
    <row r="203" spans="2:24">
      <c r="B203" s="158" t="s">
        <v>416</v>
      </c>
      <c r="C203" s="158"/>
      <c r="D203" s="158"/>
      <c r="E203" s="160">
        <v>9876552.5999999996</v>
      </c>
      <c r="F203" s="160">
        <v>10747658.059999999</v>
      </c>
      <c r="G203" s="160">
        <v>11776908.880000001</v>
      </c>
      <c r="H203" s="160">
        <v>10868401.569999998</v>
      </c>
      <c r="I203" s="160">
        <v>11180767.439999999</v>
      </c>
      <c r="J203" s="160">
        <v>11715766.770000001</v>
      </c>
      <c r="K203" s="160">
        <v>11826942.000000002</v>
      </c>
      <c r="L203" s="160">
        <v>13232953.790000001</v>
      </c>
      <c r="M203" s="160">
        <v>13277883.770000001</v>
      </c>
      <c r="N203" s="160">
        <v>13959498.48</v>
      </c>
      <c r="O203" s="160">
        <v>14247608.67</v>
      </c>
      <c r="P203" s="160">
        <v>14068035.709999999</v>
      </c>
      <c r="Q203" s="160">
        <v>13935657.510000002</v>
      </c>
      <c r="R203" s="160">
        <v>14196742.919999998</v>
      </c>
      <c r="S203" s="160">
        <v>14321040.210000003</v>
      </c>
      <c r="T203" s="160">
        <v>13940476.270000001</v>
      </c>
      <c r="U203" s="160">
        <v>13191429.569999998</v>
      </c>
      <c r="V203" s="160">
        <v>14567947.199999999</v>
      </c>
      <c r="W203" s="164">
        <f t="shared" si="6"/>
        <v>-1376517.6300000008</v>
      </c>
      <c r="X203" s="164">
        <f t="shared" si="7"/>
        <v>-14643.804574468093</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4B0C-AEAB-4154-B9C1-0494C345B866}">
  <dimension ref="B5:B7"/>
  <sheetViews>
    <sheetView showGridLines="0" workbookViewId="0">
      <selection activeCell="G3" sqref="G3"/>
    </sheetView>
  </sheetViews>
  <sheetFormatPr defaultRowHeight="14"/>
  <sheetData>
    <row r="5" spans="2:2" ht="23">
      <c r="B5" s="507" t="s">
        <v>964</v>
      </c>
    </row>
    <row r="7" spans="2:2" ht="18">
      <c r="B7" s="508" t="s">
        <v>965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05C8A-FD0E-4634-A8F4-C0C6051A1200}">
  <sheetPr>
    <tabColor theme="9"/>
  </sheetPr>
  <dimension ref="A1:G130"/>
  <sheetViews>
    <sheetView showGridLines="0" zoomScale="97" zoomScaleNormal="100" workbookViewId="0">
      <pane xSplit="1" ySplit="4" topLeftCell="C5" activePane="bottomRight" state="frozen"/>
      <selection pane="topRight" activeCell="F63" sqref="F63"/>
      <selection pane="bottomLeft" activeCell="F63" sqref="F63"/>
      <selection pane="bottomRight" activeCell="C13" sqref="C13"/>
    </sheetView>
  </sheetViews>
  <sheetFormatPr defaultColWidth="8.4140625" defaultRowHeight="14.5"/>
  <cols>
    <col min="1" max="1" width="39.6640625" style="515" customWidth="1"/>
    <col min="2" max="2" width="11.1640625" style="121" hidden="1" customWidth="1"/>
    <col min="3" max="3" width="11.1640625" style="121" bestFit="1" customWidth="1"/>
    <col min="4" max="4" width="20.6640625" style="565" customWidth="1"/>
    <col min="5" max="5" width="25.9140625" style="565" bestFit="1" customWidth="1"/>
    <col min="6" max="73" width="8.6640625" style="121" customWidth="1"/>
    <col min="74" max="16384" width="8.4140625" style="121"/>
  </cols>
  <sheetData>
    <row r="1" spans="1:5" s="515" customFormat="1" ht="26">
      <c r="A1" s="512" t="s">
        <v>968</v>
      </c>
      <c r="B1" s="513"/>
      <c r="C1" s="513"/>
      <c r="D1" s="514"/>
      <c r="E1" s="514"/>
    </row>
    <row r="2" spans="1:5" s="515" customFormat="1" ht="13">
      <c r="A2" s="516" t="s">
        <v>969</v>
      </c>
      <c r="B2" s="513"/>
      <c r="C2" s="513"/>
      <c r="D2" s="514"/>
      <c r="E2" s="514"/>
    </row>
    <row r="3" spans="1:5" s="516" customFormat="1" ht="13">
      <c r="B3" s="517" t="s">
        <v>970</v>
      </c>
      <c r="C3" s="517" t="s">
        <v>971</v>
      </c>
      <c r="D3" s="514"/>
      <c r="E3" s="514"/>
    </row>
    <row r="4" spans="1:5" s="520" customFormat="1" ht="13">
      <c r="A4" s="518" t="s">
        <v>0</v>
      </c>
      <c r="B4" s="519">
        <v>46082</v>
      </c>
      <c r="C4" s="519">
        <v>46143</v>
      </c>
      <c r="D4" s="519" t="s">
        <v>972</v>
      </c>
      <c r="E4" s="519" t="s">
        <v>973</v>
      </c>
    </row>
    <row r="5" spans="1:5" s="515" customFormat="1" ht="13">
      <c r="A5" s="516" t="s">
        <v>1</v>
      </c>
      <c r="B5" s="521"/>
      <c r="C5" s="521"/>
      <c r="D5" s="522"/>
      <c r="E5" s="522"/>
    </row>
    <row r="6" spans="1:5" s="515" customFormat="1" ht="13">
      <c r="A6" s="515" t="s">
        <v>974</v>
      </c>
      <c r="B6" s="523">
        <v>221215</v>
      </c>
      <c r="C6" s="523">
        <v>210021</v>
      </c>
      <c r="D6" s="524"/>
      <c r="E6" s="524"/>
    </row>
    <row r="7" spans="1:5" s="515" customFormat="1" ht="13">
      <c r="A7" s="515" t="s">
        <v>975</v>
      </c>
      <c r="B7" s="523">
        <v>0</v>
      </c>
      <c r="C7" s="523">
        <f>10250-7000</f>
        <v>3250</v>
      </c>
      <c r="D7" s="524"/>
      <c r="E7" s="524"/>
    </row>
    <row r="8" spans="1:5" s="515" customFormat="1" ht="13">
      <c r="B8" s="523"/>
      <c r="C8" s="523"/>
      <c r="D8" s="524"/>
      <c r="E8" s="524"/>
    </row>
    <row r="9" spans="1:5" s="515" customFormat="1" ht="13">
      <c r="A9" s="525" t="s">
        <v>3</v>
      </c>
      <c r="B9" s="526">
        <f t="shared" ref="B9" si="0">SUM(B$6:B$7)</f>
        <v>221215</v>
      </c>
      <c r="C9" s="526">
        <v>215820.8971</v>
      </c>
      <c r="D9" s="524"/>
      <c r="E9" s="524"/>
    </row>
    <row r="10" spans="1:5" s="515" customFormat="1" ht="13">
      <c r="B10" s="523"/>
      <c r="C10" s="523"/>
      <c r="D10" s="524" t="s">
        <v>976</v>
      </c>
      <c r="E10" s="524"/>
    </row>
    <row r="11" spans="1:5" s="515" customFormat="1" ht="13">
      <c r="A11" s="516" t="s">
        <v>977</v>
      </c>
      <c r="B11" s="527"/>
      <c r="C11" s="527"/>
      <c r="D11" s="524"/>
      <c r="E11" s="524"/>
    </row>
    <row r="12" spans="1:5" s="515" customFormat="1" ht="13">
      <c r="A12" s="528"/>
      <c r="B12" s="529"/>
      <c r="C12" s="529"/>
      <c r="D12" s="524"/>
      <c r="E12" s="524"/>
    </row>
    <row r="13" spans="1:5" s="515" customFormat="1" ht="13">
      <c r="A13" s="515" t="s">
        <v>978</v>
      </c>
      <c r="B13" s="529">
        <v>120509</v>
      </c>
      <c r="C13" s="529">
        <v>94311</v>
      </c>
      <c r="D13" s="524"/>
      <c r="E13" s="524"/>
    </row>
    <row r="14" spans="1:5" s="515" customFormat="1" ht="13">
      <c r="A14" s="515" t="s">
        <v>979</v>
      </c>
      <c r="B14" s="529">
        <v>11400</v>
      </c>
      <c r="C14" s="529">
        <v>10622.1744186047</v>
      </c>
      <c r="D14" s="524"/>
      <c r="E14" s="524"/>
    </row>
    <row r="15" spans="1:5" s="532" customFormat="1" ht="13">
      <c r="A15" s="530" t="s">
        <v>5</v>
      </c>
      <c r="B15" s="531">
        <f t="shared" ref="B15:C15" si="1">SUM(B13:B14)</f>
        <v>131909</v>
      </c>
      <c r="C15" s="531">
        <f t="shared" si="1"/>
        <v>104933.1744186047</v>
      </c>
      <c r="D15" s="524"/>
      <c r="E15" s="524"/>
    </row>
    <row r="16" spans="1:5" s="532" customFormat="1" ht="13">
      <c r="A16" s="532" t="s">
        <v>65</v>
      </c>
      <c r="B16" s="523">
        <v>2676</v>
      </c>
      <c r="C16" s="523">
        <v>2800</v>
      </c>
      <c r="D16" s="524"/>
      <c r="E16" s="524"/>
    </row>
    <row r="17" spans="1:5" s="532" customFormat="1" ht="13">
      <c r="A17" s="532" t="s">
        <v>66</v>
      </c>
      <c r="B17" s="523">
        <v>0</v>
      </c>
      <c r="C17" s="523">
        <v>0</v>
      </c>
      <c r="D17" s="524"/>
      <c r="E17" s="524"/>
    </row>
    <row r="18" spans="1:5" s="532" customFormat="1" ht="13">
      <c r="A18" s="532" t="s">
        <v>67</v>
      </c>
      <c r="B18" s="523">
        <v>743</v>
      </c>
      <c r="C18" s="523">
        <v>743</v>
      </c>
      <c r="D18" s="524"/>
      <c r="E18" s="524"/>
    </row>
    <row r="19" spans="1:5" s="532" customFormat="1" ht="13">
      <c r="A19" s="532" t="s">
        <v>68</v>
      </c>
      <c r="B19" s="523">
        <v>4302</v>
      </c>
      <c r="C19" s="523">
        <f>B19</f>
        <v>4302</v>
      </c>
      <c r="D19" s="524"/>
      <c r="E19" s="524"/>
    </row>
    <row r="20" spans="1:5" s="532" customFormat="1" ht="13">
      <c r="A20" s="532" t="s">
        <v>69</v>
      </c>
      <c r="B20" s="523">
        <v>1907</v>
      </c>
      <c r="C20" s="523">
        <f>B20</f>
        <v>1907</v>
      </c>
      <c r="D20" s="524"/>
      <c r="E20" s="524"/>
    </row>
    <row r="21" spans="1:5" s="532" customFormat="1" ht="13">
      <c r="A21" s="532" t="s">
        <v>980</v>
      </c>
      <c r="B21" s="523">
        <v>0</v>
      </c>
      <c r="C21" s="523">
        <v>0</v>
      </c>
      <c r="D21" s="524"/>
      <c r="E21" s="524"/>
    </row>
    <row r="22" spans="1:5" s="532" customFormat="1" ht="13">
      <c r="A22" s="532" t="s">
        <v>71</v>
      </c>
      <c r="B22" s="523">
        <v>285</v>
      </c>
      <c r="C22" s="523">
        <f>B22</f>
        <v>285</v>
      </c>
      <c r="D22" s="524"/>
      <c r="E22" s="524"/>
    </row>
    <row r="23" spans="1:5" s="532" customFormat="1" ht="13">
      <c r="A23" s="532" t="s">
        <v>72</v>
      </c>
      <c r="B23" s="523">
        <v>4348</v>
      </c>
      <c r="C23" s="523">
        <f>B23</f>
        <v>4348</v>
      </c>
      <c r="D23" s="524"/>
      <c r="E23" s="524"/>
    </row>
    <row r="24" spans="1:5" s="532" customFormat="1" ht="13">
      <c r="A24" s="532" t="s">
        <v>73</v>
      </c>
      <c r="B24" s="523">
        <v>1272</v>
      </c>
      <c r="C24" s="523">
        <f>B24</f>
        <v>1272</v>
      </c>
      <c r="D24" s="524"/>
      <c r="E24" s="524"/>
    </row>
    <row r="25" spans="1:5" s="532" customFormat="1" ht="13">
      <c r="A25" s="530" t="s">
        <v>6</v>
      </c>
      <c r="B25" s="533">
        <f>SUM(B16:B24)</f>
        <v>15533</v>
      </c>
      <c r="C25" s="534">
        <f>SUM(C16:C24)</f>
        <v>15657</v>
      </c>
      <c r="D25" s="524"/>
      <c r="E25" s="524"/>
    </row>
    <row r="26" spans="1:5" s="532" customFormat="1" ht="13">
      <c r="A26" s="532" t="s">
        <v>75</v>
      </c>
      <c r="B26" s="535">
        <v>295</v>
      </c>
      <c r="C26" s="535">
        <v>300</v>
      </c>
      <c r="D26" s="524"/>
      <c r="E26" s="524"/>
    </row>
    <row r="27" spans="1:5" s="532" customFormat="1" ht="13">
      <c r="A27" s="532" t="s">
        <v>76</v>
      </c>
      <c r="B27" s="535">
        <v>459</v>
      </c>
      <c r="C27" s="535">
        <f>B27</f>
        <v>459</v>
      </c>
      <c r="D27" s="524"/>
      <c r="E27" s="524"/>
    </row>
    <row r="28" spans="1:5" s="532" customFormat="1" ht="13">
      <c r="A28" s="532" t="s">
        <v>77</v>
      </c>
      <c r="B28" s="535">
        <v>24152</v>
      </c>
      <c r="C28" s="535">
        <f>1379+1220+8175</f>
        <v>10774</v>
      </c>
      <c r="D28" s="524"/>
      <c r="E28" s="524"/>
    </row>
    <row r="29" spans="1:5" s="532" customFormat="1" ht="13">
      <c r="A29" s="532" t="s">
        <v>78</v>
      </c>
      <c r="B29" s="535">
        <v>838</v>
      </c>
      <c r="C29" s="535">
        <v>586</v>
      </c>
      <c r="D29" s="524"/>
      <c r="E29" s="524"/>
    </row>
    <row r="30" spans="1:5" s="532" customFormat="1" ht="13">
      <c r="A30" s="532" t="s">
        <v>79</v>
      </c>
      <c r="B30" s="535">
        <v>985</v>
      </c>
      <c r="C30" s="535">
        <f>B30</f>
        <v>985</v>
      </c>
      <c r="D30" s="524"/>
      <c r="E30" s="524"/>
    </row>
    <row r="31" spans="1:5" s="532" customFormat="1" ht="13">
      <c r="A31" s="532" t="s">
        <v>74</v>
      </c>
      <c r="B31" s="535">
        <v>34</v>
      </c>
      <c r="C31" s="535">
        <f>B31</f>
        <v>34</v>
      </c>
      <c r="D31" s="524"/>
      <c r="E31" s="524"/>
    </row>
    <row r="32" spans="1:5" s="532" customFormat="1" ht="13">
      <c r="A32" s="532" t="s">
        <v>80</v>
      </c>
      <c r="B32" s="535">
        <v>189</v>
      </c>
      <c r="C32" s="535">
        <f>B32</f>
        <v>189</v>
      </c>
      <c r="D32" s="524"/>
      <c r="E32" s="524"/>
    </row>
    <row r="33" spans="1:5" s="515" customFormat="1" ht="13">
      <c r="A33" s="516" t="s">
        <v>7</v>
      </c>
      <c r="B33" s="536">
        <f t="shared" ref="B33:C33" si="2">SUM(B26:B32)</f>
        <v>26952</v>
      </c>
      <c r="C33" s="536">
        <f t="shared" si="2"/>
        <v>13327</v>
      </c>
      <c r="D33" s="524">
        <v>2000</v>
      </c>
      <c r="E33" s="524"/>
    </row>
    <row r="34" spans="1:5" s="515" customFormat="1" ht="13">
      <c r="A34" s="516" t="s">
        <v>8</v>
      </c>
      <c r="B34" s="536">
        <v>5351</v>
      </c>
      <c r="C34" s="536">
        <v>4083.9999999999991</v>
      </c>
      <c r="D34" s="537">
        <v>4254</v>
      </c>
      <c r="E34" s="537"/>
    </row>
    <row r="35" spans="1:5" s="515" customFormat="1" ht="13">
      <c r="A35" s="515" t="s">
        <v>88</v>
      </c>
      <c r="B35" s="529">
        <v>1304</v>
      </c>
      <c r="C35" s="529">
        <v>3584</v>
      </c>
      <c r="D35" s="537"/>
      <c r="E35" s="537" t="s">
        <v>981</v>
      </c>
    </row>
    <row r="36" spans="1:5" s="515" customFormat="1" ht="13">
      <c r="A36" s="515" t="s">
        <v>89</v>
      </c>
      <c r="B36" s="529"/>
      <c r="C36" s="529">
        <f>B36</f>
        <v>0</v>
      </c>
      <c r="D36" s="537"/>
      <c r="E36" s="537"/>
    </row>
    <row r="37" spans="1:5" s="515" customFormat="1" ht="13">
      <c r="A37" s="515" t="s">
        <v>90</v>
      </c>
      <c r="B37" s="529"/>
      <c r="C37" s="529">
        <f>B37</f>
        <v>0</v>
      </c>
      <c r="D37" s="537"/>
      <c r="E37" s="537"/>
    </row>
    <row r="38" spans="1:5" s="515" customFormat="1" ht="13">
      <c r="A38" s="515" t="s">
        <v>91</v>
      </c>
      <c r="B38" s="529">
        <v>3892</v>
      </c>
      <c r="C38" s="529">
        <v>850</v>
      </c>
      <c r="D38" s="537"/>
      <c r="E38" s="537"/>
    </row>
    <row r="39" spans="1:5" s="515" customFormat="1" ht="13">
      <c r="A39" s="515" t="s">
        <v>92</v>
      </c>
      <c r="B39" s="529">
        <v>1417</v>
      </c>
      <c r="C39" s="529">
        <f>B39</f>
        <v>1417</v>
      </c>
      <c r="D39" s="537"/>
      <c r="E39" s="537" t="s">
        <v>982</v>
      </c>
    </row>
    <row r="40" spans="1:5" s="515" customFormat="1" ht="13">
      <c r="A40" s="515" t="s">
        <v>93</v>
      </c>
      <c r="B40" s="529" t="s">
        <v>569</v>
      </c>
      <c r="C40" s="529" t="str">
        <f>B40</f>
        <v/>
      </c>
      <c r="D40" s="537"/>
      <c r="E40" s="537"/>
    </row>
    <row r="41" spans="1:5" s="515" customFormat="1" ht="13">
      <c r="A41" s="515" t="s">
        <v>94</v>
      </c>
      <c r="B41" s="529" t="s">
        <v>569</v>
      </c>
      <c r="C41" s="529" t="str">
        <f>B41</f>
        <v/>
      </c>
      <c r="D41" s="537"/>
      <c r="E41" s="537"/>
    </row>
    <row r="42" spans="1:5" s="515" customFormat="1" ht="13">
      <c r="A42" s="515" t="s">
        <v>95</v>
      </c>
      <c r="B42" s="529">
        <v>3070</v>
      </c>
      <c r="C42" s="529">
        <v>3393</v>
      </c>
      <c r="D42" s="537"/>
      <c r="E42" s="537"/>
    </row>
    <row r="43" spans="1:5" s="532" customFormat="1" ht="13">
      <c r="A43" s="530" t="s">
        <v>9</v>
      </c>
      <c r="B43" s="536">
        <f>SUM(B35:B42)</f>
        <v>9683</v>
      </c>
      <c r="C43" s="536">
        <f>SUM(C35:C42)</f>
        <v>9244</v>
      </c>
      <c r="D43" s="537">
        <v>17600</v>
      </c>
      <c r="E43" s="537"/>
    </row>
    <row r="44" spans="1:5" s="532" customFormat="1" ht="13">
      <c r="B44" s="529"/>
      <c r="C44" s="529"/>
      <c r="D44" s="537"/>
      <c r="E44" s="537"/>
    </row>
    <row r="45" spans="1:5" s="515" customFormat="1" ht="13">
      <c r="A45" s="525" t="s">
        <v>983</v>
      </c>
      <c r="B45" s="538">
        <f>B43+B34+B33+B25+B15</f>
        <v>189428</v>
      </c>
      <c r="C45" s="538">
        <f>C43+C34+C33+C25+C15</f>
        <v>147245.1744186047</v>
      </c>
      <c r="D45" s="539">
        <v>137690</v>
      </c>
      <c r="E45" s="539">
        <f>C45-D45</f>
        <v>9555.1744186046999</v>
      </c>
    </row>
    <row r="46" spans="1:5" s="515" customFormat="1" ht="13">
      <c r="A46" s="516"/>
      <c r="B46" s="540"/>
      <c r="C46" s="540"/>
      <c r="D46" s="539"/>
      <c r="E46" s="539"/>
    </row>
    <row r="47" spans="1:5" s="515" customFormat="1" ht="13">
      <c r="A47" s="541" t="s">
        <v>902</v>
      </c>
      <c r="B47" s="542">
        <f>B9-B45</f>
        <v>31787</v>
      </c>
      <c r="C47" s="542">
        <f>C9-C45</f>
        <v>68575.722681395302</v>
      </c>
      <c r="D47" s="543">
        <v>64300</v>
      </c>
      <c r="E47" s="543"/>
    </row>
    <row r="48" spans="1:5" s="515" customFormat="1" ht="13">
      <c r="A48" s="544" t="s">
        <v>984</v>
      </c>
      <c r="B48" s="545">
        <f t="shared" ref="B48:C48" si="3">IFERROR(B47/B$9,0)</f>
        <v>0.14369278755961395</v>
      </c>
      <c r="C48" s="545">
        <f t="shared" si="3"/>
        <v>0.31774366432005391</v>
      </c>
      <c r="D48" s="546">
        <v>0.31</v>
      </c>
      <c r="E48" s="546"/>
    </row>
    <row r="49" spans="1:7" s="547" customFormat="1" ht="13">
      <c r="B49" s="548"/>
      <c r="C49" s="548"/>
      <c r="D49" s="549"/>
      <c r="E49" s="549"/>
    </row>
    <row r="50" spans="1:7" s="515" customFormat="1" ht="13">
      <c r="A50" s="515" t="s">
        <v>985</v>
      </c>
      <c r="B50" s="523">
        <v>0</v>
      </c>
      <c r="C50" s="523">
        <v>0</v>
      </c>
      <c r="D50" s="550"/>
      <c r="E50" s="550"/>
    </row>
    <row r="51" spans="1:7" s="515" customFormat="1" ht="13">
      <c r="B51" s="523"/>
      <c r="C51" s="523"/>
      <c r="D51" s="550"/>
      <c r="E51" s="550"/>
    </row>
    <row r="52" spans="1:7" s="515" customFormat="1" ht="13">
      <c r="A52" s="515" t="s">
        <v>986</v>
      </c>
      <c r="B52" s="527"/>
      <c r="C52" s="527"/>
      <c r="D52" s="551"/>
      <c r="E52" s="551"/>
    </row>
    <row r="53" spans="1:7" s="515" customFormat="1" ht="13">
      <c r="A53" s="515" t="s">
        <v>96</v>
      </c>
      <c r="B53" s="527">
        <v>0</v>
      </c>
      <c r="C53" s="527">
        <v>1000</v>
      </c>
      <c r="D53" s="551">
        <v>1093</v>
      </c>
      <c r="E53" s="551"/>
    </row>
    <row r="54" spans="1:7" s="515" customFormat="1" ht="13">
      <c r="A54" s="515" t="s">
        <v>405</v>
      </c>
      <c r="B54" s="527">
        <v>0</v>
      </c>
      <c r="C54" s="527">
        <v>955</v>
      </c>
      <c r="D54" s="551"/>
      <c r="E54" s="551"/>
    </row>
    <row r="55" spans="1:7" s="515" customFormat="1" ht="13">
      <c r="A55" s="515" t="s">
        <v>99</v>
      </c>
      <c r="B55" s="527">
        <f>62+90</f>
        <v>152</v>
      </c>
      <c r="C55" s="527"/>
      <c r="D55" s="551"/>
      <c r="E55" s="551"/>
    </row>
    <row r="56" spans="1:7" s="515" customFormat="1" ht="13">
      <c r="A56" s="516" t="s">
        <v>104</v>
      </c>
      <c r="B56" s="527">
        <f>SUM(B53:B55)</f>
        <v>152</v>
      </c>
      <c r="C56" s="527">
        <f>SUM(C53:C55)</f>
        <v>1955</v>
      </c>
      <c r="D56" s="551"/>
      <c r="E56" s="551"/>
      <c r="G56" s="515" t="s">
        <v>987</v>
      </c>
    </row>
    <row r="57" spans="1:7" s="515" customFormat="1" ht="13">
      <c r="A57" s="515" t="s">
        <v>106</v>
      </c>
      <c r="B57" s="527">
        <v>1476</v>
      </c>
      <c r="C57" s="527">
        <v>1620</v>
      </c>
      <c r="D57" s="551" t="s">
        <v>988</v>
      </c>
      <c r="E57" s="551"/>
    </row>
    <row r="58" spans="1:7" s="515" customFormat="1" ht="13">
      <c r="A58" s="515" t="s">
        <v>989</v>
      </c>
      <c r="B58" s="527">
        <v>1211</v>
      </c>
      <c r="C58" s="527">
        <v>2240</v>
      </c>
      <c r="D58" s="551" t="s">
        <v>990</v>
      </c>
      <c r="E58" s="551"/>
    </row>
    <row r="59" spans="1:7" s="515" customFormat="1" ht="13">
      <c r="A59" s="516" t="s">
        <v>14</v>
      </c>
      <c r="B59" s="552">
        <f>B58+B56+B57</f>
        <v>2839</v>
      </c>
      <c r="C59" s="552">
        <f>C58+C56+C57</f>
        <v>5815</v>
      </c>
      <c r="D59" s="551">
        <v>1400</v>
      </c>
      <c r="E59" s="551"/>
    </row>
    <row r="60" spans="1:7" s="532" customFormat="1" ht="13">
      <c r="B60" s="529"/>
      <c r="C60" s="529"/>
      <c r="D60" s="537"/>
      <c r="E60" s="537"/>
    </row>
    <row r="61" spans="1:7" s="532" customFormat="1" ht="13">
      <c r="A61" s="525" t="s">
        <v>991</v>
      </c>
      <c r="B61" s="526">
        <f>SUM(B59:B59)</f>
        <v>2839</v>
      </c>
      <c r="C61" s="526">
        <f>SUM(C59:C59)</f>
        <v>5815</v>
      </c>
      <c r="D61" s="543"/>
      <c r="E61" s="543"/>
    </row>
    <row r="62" spans="1:7" s="532" customFormat="1" ht="13">
      <c r="A62" s="516"/>
      <c r="B62" s="529"/>
      <c r="C62" s="529"/>
      <c r="D62" s="537"/>
      <c r="E62" s="537"/>
    </row>
    <row r="63" spans="1:7" s="515" customFormat="1" ht="13">
      <c r="A63" s="516" t="s">
        <v>15</v>
      </c>
      <c r="B63" s="529"/>
      <c r="C63" s="529"/>
      <c r="D63" s="537"/>
      <c r="E63" s="537"/>
    </row>
    <row r="64" spans="1:7" s="515" customFormat="1" ht="13">
      <c r="A64" s="553" t="s">
        <v>992</v>
      </c>
      <c r="B64" s="537">
        <v>9729</v>
      </c>
      <c r="C64" s="537">
        <f>B64</f>
        <v>9729</v>
      </c>
      <c r="D64" s="554">
        <v>9326</v>
      </c>
      <c r="E64" s="537"/>
    </row>
    <row r="65" spans="1:6" s="515" customFormat="1" ht="13">
      <c r="A65" s="553" t="s">
        <v>993</v>
      </c>
      <c r="B65" s="537">
        <v>17422</v>
      </c>
      <c r="C65" s="537">
        <v>21710</v>
      </c>
      <c r="D65" s="554">
        <v>16293</v>
      </c>
      <c r="E65" s="537"/>
    </row>
    <row r="66" spans="1:6" s="515" customFormat="1" ht="13">
      <c r="A66" s="516" t="s">
        <v>16</v>
      </c>
      <c r="B66" s="536">
        <f>SUM(B64:B65)</f>
        <v>27151</v>
      </c>
      <c r="C66" s="536">
        <f>SUM(C64:C65)</f>
        <v>31439</v>
      </c>
      <c r="D66" s="537"/>
      <c r="E66" s="537"/>
    </row>
    <row r="67" spans="1:6" s="515" customFormat="1" ht="13">
      <c r="A67" s="515" t="s">
        <v>146</v>
      </c>
      <c r="B67" s="529">
        <v>2011</v>
      </c>
      <c r="C67" s="529">
        <v>1437</v>
      </c>
      <c r="D67" s="537"/>
      <c r="E67" s="537"/>
    </row>
    <row r="68" spans="1:6" s="515" customFormat="1" ht="13">
      <c r="A68" s="516" t="s">
        <v>17</v>
      </c>
      <c r="B68" s="536">
        <v>3976</v>
      </c>
      <c r="C68" s="536">
        <f>1000+1095+1074</f>
        <v>3169</v>
      </c>
      <c r="D68" s="537">
        <v>2300</v>
      </c>
      <c r="E68" s="537"/>
      <c r="F68" s="515" t="s">
        <v>994</v>
      </c>
    </row>
    <row r="69" spans="1:6" s="515" customFormat="1" ht="13">
      <c r="A69" s="515" t="s">
        <v>995</v>
      </c>
      <c r="B69" s="529">
        <v>3764</v>
      </c>
      <c r="C69" s="529">
        <v>3484</v>
      </c>
      <c r="D69" s="537"/>
      <c r="E69" s="537"/>
    </row>
    <row r="70" spans="1:6" s="515" customFormat="1" ht="13">
      <c r="A70" s="515" t="s">
        <v>139</v>
      </c>
      <c r="B70" s="529">
        <v>951</v>
      </c>
      <c r="C70" s="529">
        <v>2110</v>
      </c>
      <c r="D70" s="537"/>
      <c r="E70" s="537"/>
    </row>
    <row r="71" spans="1:6" s="515" customFormat="1" ht="13">
      <c r="A71" s="515" t="s">
        <v>140</v>
      </c>
      <c r="B71" s="529">
        <v>860</v>
      </c>
      <c r="C71" s="529">
        <v>500</v>
      </c>
      <c r="D71" s="537"/>
      <c r="E71" s="537"/>
    </row>
    <row r="72" spans="1:6" s="515" customFormat="1" ht="13">
      <c r="A72" s="515" t="s">
        <v>141</v>
      </c>
      <c r="B72" s="529">
        <v>958</v>
      </c>
      <c r="C72" s="529">
        <v>900</v>
      </c>
      <c r="D72" s="537"/>
      <c r="E72" s="537"/>
    </row>
    <row r="73" spans="1:6" s="515" customFormat="1" ht="13">
      <c r="A73" s="516" t="s">
        <v>18</v>
      </c>
      <c r="B73" s="536">
        <f t="shared" ref="B73:C73" si="4">SUM(B69:B72)</f>
        <v>6533</v>
      </c>
      <c r="C73" s="536">
        <f t="shared" si="4"/>
        <v>6994</v>
      </c>
      <c r="D73" s="537">
        <v>7541</v>
      </c>
      <c r="E73" s="537" t="s">
        <v>996</v>
      </c>
      <c r="F73" s="515" t="s">
        <v>997</v>
      </c>
    </row>
    <row r="74" spans="1:6" s="515" customFormat="1" ht="13">
      <c r="A74" s="515" t="s">
        <v>114</v>
      </c>
      <c r="B74" s="529">
        <v>97</v>
      </c>
      <c r="C74" s="529">
        <v>57</v>
      </c>
      <c r="D74" s="537"/>
      <c r="E74" s="537"/>
    </row>
    <row r="75" spans="1:6" s="515" customFormat="1" ht="13">
      <c r="A75" s="515" t="s">
        <v>214</v>
      </c>
      <c r="B75" s="529">
        <v>608</v>
      </c>
      <c r="C75" s="529">
        <v>500</v>
      </c>
      <c r="D75" s="537"/>
      <c r="E75" s="537"/>
    </row>
    <row r="76" spans="1:6" s="515" customFormat="1" ht="13">
      <c r="A76" s="515" t="s">
        <v>116</v>
      </c>
      <c r="B76" s="529">
        <v>0</v>
      </c>
      <c r="C76" s="529">
        <f>B76</f>
        <v>0</v>
      </c>
      <c r="D76" s="537"/>
      <c r="E76" s="537"/>
    </row>
    <row r="77" spans="1:6" s="515" customFormat="1" ht="13">
      <c r="A77" s="515" t="s">
        <v>117</v>
      </c>
      <c r="B77" s="529">
        <v>0</v>
      </c>
      <c r="C77" s="529">
        <f>B77</f>
        <v>0</v>
      </c>
      <c r="D77" s="537"/>
      <c r="E77" s="537"/>
    </row>
    <row r="78" spans="1:6" s="515" customFormat="1" ht="13">
      <c r="A78" s="515" t="s">
        <v>118</v>
      </c>
      <c r="B78" s="529">
        <v>2571</v>
      </c>
      <c r="C78" s="529">
        <v>0</v>
      </c>
      <c r="D78" s="537"/>
      <c r="E78" s="537"/>
    </row>
    <row r="79" spans="1:6" s="515" customFormat="1" ht="13">
      <c r="A79" s="515" t="s">
        <v>119</v>
      </c>
      <c r="B79" s="529">
        <v>10409</v>
      </c>
      <c r="C79" s="529">
        <v>9848</v>
      </c>
      <c r="D79" s="537" t="s">
        <v>998</v>
      </c>
      <c r="E79" s="537"/>
    </row>
    <row r="80" spans="1:6" s="515" customFormat="1" ht="13">
      <c r="A80" s="515" t="s">
        <v>120</v>
      </c>
      <c r="B80" s="529">
        <v>15</v>
      </c>
      <c r="C80" s="529">
        <v>17</v>
      </c>
      <c r="D80" s="537"/>
      <c r="E80" s="537"/>
    </row>
    <row r="81" spans="1:5" s="515" customFormat="1" ht="13">
      <c r="A81" s="515" t="s">
        <v>123</v>
      </c>
      <c r="B81" s="529">
        <v>0</v>
      </c>
      <c r="C81" s="529">
        <f>B81</f>
        <v>0</v>
      </c>
      <c r="D81" s="537"/>
      <c r="E81" s="537"/>
    </row>
    <row r="82" spans="1:5" s="515" customFormat="1" ht="13">
      <c r="A82" s="515" t="s">
        <v>128</v>
      </c>
      <c r="B82" s="529">
        <v>313</v>
      </c>
      <c r="C82" s="529">
        <f>B82</f>
        <v>313</v>
      </c>
      <c r="D82" s="537"/>
      <c r="E82" s="537"/>
    </row>
    <row r="83" spans="1:5" s="515" customFormat="1" ht="13">
      <c r="A83" s="515" t="s">
        <v>129</v>
      </c>
      <c r="B83" s="529">
        <v>500</v>
      </c>
      <c r="C83" s="529">
        <f>B83</f>
        <v>500</v>
      </c>
      <c r="D83" s="537"/>
      <c r="E83" s="537"/>
    </row>
    <row r="84" spans="1:5" s="515" customFormat="1" ht="13">
      <c r="A84" s="515" t="s">
        <v>124</v>
      </c>
      <c r="B84" s="529">
        <v>295</v>
      </c>
      <c r="C84" s="529">
        <f>B84</f>
        <v>295</v>
      </c>
      <c r="D84" s="537"/>
      <c r="E84" s="537"/>
    </row>
    <row r="85" spans="1:5" s="515" customFormat="1" ht="13">
      <c r="A85" s="515" t="s">
        <v>135</v>
      </c>
      <c r="B85" s="529">
        <v>272</v>
      </c>
      <c r="C85" s="529">
        <f>B85</f>
        <v>272</v>
      </c>
      <c r="D85" s="537"/>
      <c r="E85" s="537"/>
    </row>
    <row r="86" spans="1:5" s="515" customFormat="1" ht="13">
      <c r="A86" s="515" t="s">
        <v>137</v>
      </c>
      <c r="B86" s="529">
        <v>857</v>
      </c>
      <c r="C86" s="529">
        <v>848</v>
      </c>
      <c r="D86" s="537"/>
      <c r="E86" s="537"/>
    </row>
    <row r="87" spans="1:5" s="515" customFormat="1" ht="13">
      <c r="A87" s="515" t="s">
        <v>127</v>
      </c>
      <c r="B87" s="529">
        <v>54</v>
      </c>
      <c r="C87" s="529"/>
      <c r="D87" s="537"/>
      <c r="E87" s="537"/>
    </row>
    <row r="88" spans="1:5" s="515" customFormat="1" ht="13">
      <c r="A88" s="515" t="s">
        <v>614</v>
      </c>
      <c r="B88" s="536">
        <f>SUM(B74:B87)</f>
        <v>15991</v>
      </c>
      <c r="C88" s="536">
        <f>SUM(C74:C87)</f>
        <v>12650</v>
      </c>
      <c r="D88" s="537"/>
      <c r="E88" s="537"/>
    </row>
    <row r="89" spans="1:5" s="515" customFormat="1" ht="13">
      <c r="B89" s="523"/>
      <c r="C89" s="523"/>
      <c r="D89" s="550" t="s">
        <v>999</v>
      </c>
      <c r="E89" s="550" t="s">
        <v>1000</v>
      </c>
    </row>
    <row r="90" spans="1:5" s="515" customFormat="1" ht="13">
      <c r="A90" s="555" t="s">
        <v>1001</v>
      </c>
      <c r="B90" s="556">
        <f>B88+B73+B68+B67+B66+B61</f>
        <v>58501</v>
      </c>
      <c r="C90" s="556">
        <f>C88+C73+C68+C67+C66+C61</f>
        <v>61504</v>
      </c>
      <c r="D90" s="557"/>
      <c r="E90" s="557"/>
    </row>
    <row r="91" spans="1:5" s="515" customFormat="1" ht="13">
      <c r="B91" s="523"/>
      <c r="C91" s="523"/>
      <c r="D91" s="550"/>
      <c r="E91" s="550"/>
    </row>
    <row r="92" spans="1:5" s="515" customFormat="1" ht="13">
      <c r="A92" s="541" t="s">
        <v>21</v>
      </c>
      <c r="B92" s="542">
        <f>B47+B50-B90</f>
        <v>-26714</v>
      </c>
      <c r="C92" s="542">
        <f>C47+C50-C90</f>
        <v>7071.7226813953021</v>
      </c>
      <c r="D92" s="543"/>
      <c r="E92" s="543"/>
    </row>
    <row r="93" spans="1:5" s="559" customFormat="1" ht="13">
      <c r="A93" s="558" t="s">
        <v>1002</v>
      </c>
      <c r="B93" s="545">
        <f t="shared" ref="B93:C93" si="5">IFERROR(B92/B$9,0)</f>
        <v>-0.12076034626946636</v>
      </c>
      <c r="C93" s="545">
        <f t="shared" si="5"/>
        <v>3.2766626292534774E-2</v>
      </c>
      <c r="D93" s="546"/>
      <c r="E93" s="546"/>
    </row>
    <row r="94" spans="1:5" s="559" customFormat="1" ht="13">
      <c r="A94" s="560"/>
      <c r="B94" s="536"/>
      <c r="C94" s="536"/>
      <c r="D94" s="543"/>
      <c r="E94" s="543"/>
    </row>
    <row r="95" spans="1:5">
      <c r="A95" s="561" t="s">
        <v>1003</v>
      </c>
      <c r="B95" s="562">
        <f>B9-B92</f>
        <v>247929</v>
      </c>
      <c r="C95" s="562">
        <f>C9-C92</f>
        <v>208749.1744186047</v>
      </c>
      <c r="D95" s="563"/>
      <c r="E95" s="563"/>
    </row>
    <row r="96" spans="1:5">
      <c r="A96" s="564"/>
    </row>
    <row r="97" spans="1:2">
      <c r="A97" s="564"/>
      <c r="B97" s="566"/>
    </row>
    <row r="98" spans="1:2">
      <c r="A98" s="564"/>
    </row>
    <row r="99" spans="1:2">
      <c r="A99" s="564"/>
      <c r="B99" s="567"/>
    </row>
    <row r="100" spans="1:2">
      <c r="A100" s="564"/>
    </row>
    <row r="101" spans="1:2">
      <c r="A101" s="564"/>
    </row>
    <row r="102" spans="1:2">
      <c r="A102" s="564"/>
    </row>
    <row r="103" spans="1:2">
      <c r="A103" s="564"/>
    </row>
    <row r="104" spans="1:2">
      <c r="A104" s="564"/>
    </row>
    <row r="105" spans="1:2">
      <c r="A105" s="564"/>
    </row>
    <row r="106" spans="1:2">
      <c r="A106" s="564"/>
    </row>
    <row r="107" spans="1:2">
      <c r="A107" s="564"/>
    </row>
    <row r="108" spans="1:2">
      <c r="A108" s="564"/>
    </row>
    <row r="109" spans="1:2">
      <c r="A109" s="564"/>
    </row>
    <row r="110" spans="1:2">
      <c r="A110" s="564"/>
    </row>
    <row r="111" spans="1:2">
      <c r="A111" s="564"/>
    </row>
    <row r="112" spans="1:2">
      <c r="A112" s="564"/>
    </row>
    <row r="113" spans="1:1">
      <c r="A113" s="564"/>
    </row>
    <row r="114" spans="1:1">
      <c r="A114" s="568"/>
    </row>
    <row r="115" spans="1:1">
      <c r="A115" s="568"/>
    </row>
    <row r="116" spans="1:1">
      <c r="A116" s="564"/>
    </row>
    <row r="117" spans="1:1">
      <c r="A117" s="564"/>
    </row>
    <row r="118" spans="1:1">
      <c r="A118" s="564"/>
    </row>
    <row r="119" spans="1:1">
      <c r="A119" s="568"/>
    </row>
    <row r="120" spans="1:1">
      <c r="A120" s="564"/>
    </row>
    <row r="121" spans="1:1">
      <c r="A121" s="564"/>
    </row>
    <row r="122" spans="1:1">
      <c r="A122" s="564"/>
    </row>
    <row r="123" spans="1:1">
      <c r="A123" s="564"/>
    </row>
    <row r="124" spans="1:1">
      <c r="A124" s="564"/>
    </row>
    <row r="125" spans="1:1">
      <c r="A125" s="564"/>
    </row>
    <row r="126" spans="1:1">
      <c r="A126" s="564"/>
    </row>
    <row r="127" spans="1:1">
      <c r="A127" s="564"/>
    </row>
    <row r="128" spans="1:1">
      <c r="A128" s="568"/>
    </row>
    <row r="129" spans="1:1">
      <c r="A129" s="564"/>
    </row>
    <row r="130" spans="1:1">
      <c r="A130" s="569"/>
    </row>
  </sheetData>
  <conditionalFormatting sqref="B5:B20 D6:D32 E6:E86 B22:B42">
    <cfRule type="expression" dxfId="26" priority="2">
      <formula>B$3="Actuals"</formula>
    </cfRule>
  </conditionalFormatting>
  <conditionalFormatting sqref="C5:E5 C6:C20 B21:C21 C22:C32 C33:D42 B43:D86 B87:E94">
    <cfRule type="expression" dxfId="25" priority="1">
      <formula>B$3="Actuals"</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D3EC-F3A8-470B-A94F-222F3ECC26FC}">
  <sheetPr>
    <tabColor theme="9"/>
  </sheetPr>
  <dimension ref="A1:G132"/>
  <sheetViews>
    <sheetView showGridLines="0" zoomScale="97" zoomScaleNormal="100" workbookViewId="0">
      <pane xSplit="1" ySplit="4" topLeftCell="C5" activePane="bottomRight" state="frozen"/>
      <selection pane="topRight" activeCell="F63" sqref="F63"/>
      <selection pane="bottomLeft" activeCell="F63" sqref="F63"/>
      <selection pane="bottomRight" activeCell="F14" sqref="F14"/>
    </sheetView>
  </sheetViews>
  <sheetFormatPr defaultColWidth="8.4140625" defaultRowHeight="14.5"/>
  <cols>
    <col min="1" max="1" width="39.6640625" style="515" customWidth="1"/>
    <col min="2" max="2" width="11.1640625" style="121" hidden="1" customWidth="1"/>
    <col min="3" max="3" width="11.1640625" style="121" bestFit="1" customWidth="1"/>
    <col min="4" max="4" width="16" style="121" hidden="1" customWidth="1"/>
    <col min="5" max="5" width="15.83203125" style="121" hidden="1" customWidth="1"/>
    <col min="6" max="6" width="20.33203125" style="565" bestFit="1" customWidth="1"/>
    <col min="7" max="7" width="17.83203125" style="565" bestFit="1" customWidth="1"/>
    <col min="8" max="75" width="8.6640625" style="121" customWidth="1"/>
    <col min="76" max="16384" width="8.4140625" style="121"/>
  </cols>
  <sheetData>
    <row r="1" spans="1:7" s="515" customFormat="1" ht="26">
      <c r="A1" s="512" t="s">
        <v>968</v>
      </c>
      <c r="B1" s="513"/>
      <c r="C1" s="513"/>
      <c r="D1" s="513"/>
      <c r="E1" s="513"/>
      <c r="F1" s="514"/>
      <c r="G1" s="514"/>
    </row>
    <row r="2" spans="1:7" s="515" customFormat="1" ht="13">
      <c r="A2" s="516" t="s">
        <v>969</v>
      </c>
      <c r="B2" s="513"/>
      <c r="C2" s="513"/>
      <c r="D2" s="513"/>
      <c r="E2" s="513"/>
      <c r="F2" s="514"/>
      <c r="G2" s="514"/>
    </row>
    <row r="3" spans="1:7" s="516" customFormat="1" ht="13">
      <c r="B3" s="517" t="s">
        <v>970</v>
      </c>
      <c r="C3" s="517" t="s">
        <v>971</v>
      </c>
      <c r="D3" s="517" t="s">
        <v>970</v>
      </c>
      <c r="E3" s="517" t="s">
        <v>573</v>
      </c>
      <c r="F3" s="514"/>
      <c r="G3" s="514"/>
    </row>
    <row r="4" spans="1:7" s="520" customFormat="1" ht="13">
      <c r="A4" s="518" t="s">
        <v>0</v>
      </c>
      <c r="B4" s="519">
        <v>46113</v>
      </c>
      <c r="C4" s="519">
        <v>46174</v>
      </c>
      <c r="D4" s="519"/>
      <c r="E4" s="519"/>
      <c r="F4" s="519" t="s">
        <v>972</v>
      </c>
      <c r="G4" s="519" t="s">
        <v>973</v>
      </c>
    </row>
    <row r="5" spans="1:7" s="515" customFormat="1" ht="13">
      <c r="A5" s="516" t="s">
        <v>1</v>
      </c>
      <c r="B5" s="521"/>
      <c r="C5" s="521"/>
      <c r="D5" s="521"/>
      <c r="E5" s="521"/>
      <c r="F5" s="522"/>
      <c r="G5" s="522"/>
    </row>
    <row r="6" spans="1:7" s="515" customFormat="1" ht="13">
      <c r="A6" s="515" t="s">
        <v>974</v>
      </c>
      <c r="B6" s="523">
        <v>195207</v>
      </c>
      <c r="C6" s="523">
        <v>230589.09</v>
      </c>
      <c r="D6" s="523"/>
      <c r="E6" s="523"/>
      <c r="F6" s="524"/>
      <c r="G6" s="524"/>
    </row>
    <row r="7" spans="1:7" s="515" customFormat="1" ht="13">
      <c r="A7" s="515" t="s">
        <v>975</v>
      </c>
      <c r="B7" s="523">
        <v>0</v>
      </c>
      <c r="C7" s="523"/>
      <c r="D7" s="523"/>
      <c r="E7" s="523"/>
      <c r="F7" s="524"/>
      <c r="G7" s="524"/>
    </row>
    <row r="8" spans="1:7" s="515" customFormat="1" ht="13">
      <c r="B8" s="523"/>
      <c r="C8" s="523"/>
      <c r="D8" s="523"/>
      <c r="E8" s="523"/>
      <c r="F8" s="524"/>
      <c r="G8" s="524"/>
    </row>
    <row r="9" spans="1:7" s="515" customFormat="1" ht="13">
      <c r="A9" s="525" t="s">
        <v>3</v>
      </c>
      <c r="B9" s="526">
        <f t="shared" ref="B9" si="0">SUM(B$6:B$7)</f>
        <v>195207</v>
      </c>
      <c r="C9" s="526">
        <f>SUM(C6:C7)</f>
        <v>230589.09</v>
      </c>
      <c r="D9" s="536"/>
      <c r="E9" s="536"/>
      <c r="F9" s="524"/>
      <c r="G9" s="524"/>
    </row>
    <row r="10" spans="1:7" s="515" customFormat="1" ht="13">
      <c r="B10" s="523"/>
      <c r="C10" s="523"/>
      <c r="D10" s="523"/>
      <c r="E10" s="523"/>
      <c r="F10" s="524" t="s">
        <v>976</v>
      </c>
      <c r="G10" s="524"/>
    </row>
    <row r="11" spans="1:7" s="515" customFormat="1" ht="13">
      <c r="A11" s="516" t="s">
        <v>977</v>
      </c>
      <c r="B11" s="527"/>
      <c r="C11" s="527"/>
      <c r="D11" s="527"/>
      <c r="E11" s="527"/>
      <c r="F11" s="524"/>
      <c r="G11" s="524"/>
    </row>
    <row r="12" spans="1:7" s="515" customFormat="1" ht="13">
      <c r="A12" s="528"/>
      <c r="B12" s="529"/>
      <c r="C12" s="529"/>
      <c r="D12" s="529"/>
      <c r="E12" s="529"/>
      <c r="F12" s="524"/>
      <c r="G12" s="524"/>
    </row>
    <row r="13" spans="1:7" s="515" customFormat="1" ht="13">
      <c r="A13" s="515" t="s">
        <v>978</v>
      </c>
      <c r="B13" s="529">
        <v>100793</v>
      </c>
      <c r="C13" s="529">
        <v>98811</v>
      </c>
      <c r="D13" s="529"/>
      <c r="E13" s="529"/>
      <c r="F13" s="524"/>
      <c r="G13" s="524"/>
    </row>
    <row r="14" spans="1:7" s="515" customFormat="1" ht="13">
      <c r="A14" s="515" t="s">
        <v>979</v>
      </c>
      <c r="B14" s="529">
        <v>11371</v>
      </c>
      <c r="C14" s="529">
        <v>10622.1744186047</v>
      </c>
      <c r="D14" s="529"/>
      <c r="E14" s="529"/>
      <c r="F14" s="524"/>
      <c r="G14" s="524"/>
    </row>
    <row r="15" spans="1:7" s="532" customFormat="1" ht="13">
      <c r="A15" s="530" t="s">
        <v>5</v>
      </c>
      <c r="B15" s="531">
        <f t="shared" ref="B15:C15" si="1">SUM(B13:B14)</f>
        <v>112164</v>
      </c>
      <c r="C15" s="531">
        <f t="shared" si="1"/>
        <v>109433.1744186047</v>
      </c>
      <c r="D15" s="531"/>
      <c r="E15" s="531"/>
      <c r="F15" s="524"/>
      <c r="G15" s="524"/>
    </row>
    <row r="16" spans="1:7" s="532" customFormat="1" ht="13">
      <c r="A16" s="532" t="s">
        <v>65</v>
      </c>
      <c r="B16" s="523">
        <v>2980</v>
      </c>
      <c r="C16" s="523">
        <v>2980</v>
      </c>
      <c r="D16" s="523"/>
      <c r="E16" s="523"/>
      <c r="F16" s="524"/>
      <c r="G16" s="524"/>
    </row>
    <row r="17" spans="1:7" s="532" customFormat="1" ht="13">
      <c r="A17" s="532" t="s">
        <v>66</v>
      </c>
      <c r="B17" s="523">
        <v>0</v>
      </c>
      <c r="C17" s="523">
        <v>0</v>
      </c>
      <c r="D17" s="523"/>
      <c r="E17" s="523"/>
      <c r="F17" s="524"/>
      <c r="G17" s="524"/>
    </row>
    <row r="18" spans="1:7" s="532" customFormat="1" ht="13">
      <c r="A18" s="532" t="s">
        <v>67</v>
      </c>
      <c r="B18" s="523">
        <v>743</v>
      </c>
      <c r="C18" s="523">
        <v>786</v>
      </c>
      <c r="D18" s="523"/>
      <c r="E18" s="523"/>
      <c r="F18" s="524"/>
      <c r="G18" s="524"/>
    </row>
    <row r="19" spans="1:7" s="532" customFormat="1" ht="13">
      <c r="A19" s="532" t="s">
        <v>68</v>
      </c>
      <c r="B19" s="523">
        <v>4302</v>
      </c>
      <c r="C19" s="523">
        <v>4549.0689655172409</v>
      </c>
      <c r="D19" s="523"/>
      <c r="E19" s="523"/>
      <c r="F19" s="524"/>
      <c r="G19" s="524"/>
    </row>
    <row r="20" spans="1:7" s="532" customFormat="1" ht="13">
      <c r="A20" s="532" t="s">
        <v>69</v>
      </c>
      <c r="B20" s="523">
        <v>1964</v>
      </c>
      <c r="C20" s="523">
        <f>B20+88</f>
        <v>2052</v>
      </c>
      <c r="D20" s="523"/>
      <c r="E20" s="523"/>
      <c r="F20" s="524"/>
      <c r="G20" s="524"/>
    </row>
    <row r="21" spans="1:7" s="532" customFormat="1" ht="13">
      <c r="A21" s="532" t="s">
        <v>980</v>
      </c>
      <c r="B21" s="523">
        <v>0</v>
      </c>
      <c r="C21" s="523">
        <v>0</v>
      </c>
      <c r="D21" s="523"/>
      <c r="E21" s="523"/>
      <c r="F21" s="524"/>
      <c r="G21" s="524"/>
    </row>
    <row r="22" spans="1:7" s="532" customFormat="1" ht="13">
      <c r="A22" s="532" t="s">
        <v>71</v>
      </c>
      <c r="B22" s="523">
        <v>285</v>
      </c>
      <c r="C22" s="523">
        <f>B22</f>
        <v>285</v>
      </c>
      <c r="D22" s="523"/>
      <c r="E22" s="523"/>
      <c r="F22" s="524"/>
      <c r="G22" s="524"/>
    </row>
    <row r="23" spans="1:7" s="532" customFormat="1" ht="13">
      <c r="A23" s="532" t="s">
        <v>72</v>
      </c>
      <c r="B23" s="523">
        <v>4348</v>
      </c>
      <c r="C23" s="523">
        <v>4597.7011494252874</v>
      </c>
      <c r="D23" s="523"/>
      <c r="E23" s="523"/>
      <c r="F23" s="524"/>
      <c r="G23" s="524"/>
    </row>
    <row r="24" spans="1:7" s="532" customFormat="1" ht="13">
      <c r="A24" s="532" t="s">
        <v>73</v>
      </c>
      <c r="B24" s="523">
        <v>272</v>
      </c>
      <c r="C24" s="523">
        <v>301.72413793103448</v>
      </c>
      <c r="D24" s="523"/>
      <c r="E24" s="523"/>
      <c r="F24" s="524"/>
      <c r="G24" s="524"/>
    </row>
    <row r="25" spans="1:7" s="532" customFormat="1" ht="13">
      <c r="A25" s="530" t="s">
        <v>6</v>
      </c>
      <c r="B25" s="533">
        <f>SUM(B16:B24)</f>
        <v>14894</v>
      </c>
      <c r="C25" s="533">
        <f>SUM(C16:C24)</f>
        <v>15551.494252873563</v>
      </c>
      <c r="D25" s="533"/>
      <c r="E25" s="533"/>
      <c r="F25" s="524"/>
      <c r="G25" s="524"/>
    </row>
    <row r="26" spans="1:7" s="532" customFormat="1" ht="13">
      <c r="A26" s="532" t="s">
        <v>75</v>
      </c>
      <c r="B26" s="535">
        <v>285</v>
      </c>
      <c r="C26" s="535">
        <v>300</v>
      </c>
      <c r="D26" s="535"/>
      <c r="E26" s="535"/>
      <c r="F26" s="524"/>
      <c r="G26" s="524"/>
    </row>
    <row r="27" spans="1:7" s="532" customFormat="1" ht="13">
      <c r="A27" s="532" t="s">
        <v>76</v>
      </c>
      <c r="B27" s="535">
        <v>220</v>
      </c>
      <c r="C27" s="535">
        <v>590</v>
      </c>
      <c r="D27" s="535"/>
      <c r="E27" s="535"/>
      <c r="F27" s="524"/>
      <c r="G27" s="524"/>
    </row>
    <row r="28" spans="1:7" s="532" customFormat="1" ht="13">
      <c r="A28" s="532" t="s">
        <v>77</v>
      </c>
      <c r="B28" s="535">
        <v>16686</v>
      </c>
      <c r="C28" s="535">
        <f>8675+3400</f>
        <v>12075</v>
      </c>
      <c r="D28" s="535"/>
      <c r="E28" s="535" t="s">
        <v>1004</v>
      </c>
      <c r="F28" s="524"/>
      <c r="G28" s="524"/>
    </row>
    <row r="29" spans="1:7" s="532" customFormat="1" ht="13">
      <c r="A29" s="532" t="s">
        <v>78</v>
      </c>
      <c r="B29" s="535">
        <v>754</v>
      </c>
      <c r="C29" s="535">
        <v>586</v>
      </c>
      <c r="D29" s="535"/>
      <c r="E29" s="535"/>
      <c r="F29" s="524"/>
      <c r="G29" s="524"/>
    </row>
    <row r="30" spans="1:7" s="532" customFormat="1" ht="13">
      <c r="A30" s="532" t="s">
        <v>79</v>
      </c>
      <c r="B30" s="535">
        <v>479</v>
      </c>
      <c r="C30" s="535">
        <v>600</v>
      </c>
      <c r="D30" s="535"/>
      <c r="E30" s="535"/>
      <c r="F30" s="524"/>
      <c r="G30" s="524"/>
    </row>
    <row r="31" spans="1:7" s="532" customFormat="1" ht="13">
      <c r="A31" s="532" t="s">
        <v>74</v>
      </c>
      <c r="B31" s="535">
        <v>29</v>
      </c>
      <c r="C31" s="535">
        <f t="shared" ref="C31" si="2">B31</f>
        <v>29</v>
      </c>
      <c r="D31" s="535"/>
      <c r="E31" s="535"/>
      <c r="F31" s="524"/>
      <c r="G31" s="524"/>
    </row>
    <row r="32" spans="1:7" s="532" customFormat="1" ht="13">
      <c r="A32" s="532" t="s">
        <v>80</v>
      </c>
      <c r="B32" s="535">
        <v>213</v>
      </c>
      <c r="C32" s="535">
        <v>230</v>
      </c>
      <c r="D32" s="535"/>
      <c r="E32" s="535"/>
      <c r="F32" s="524"/>
      <c r="G32" s="524"/>
    </row>
    <row r="33" spans="1:7" s="515" customFormat="1" ht="13">
      <c r="A33" s="516" t="s">
        <v>7</v>
      </c>
      <c r="B33" s="536">
        <f t="shared" ref="B33:C33" si="3">SUM(B26:B32)</f>
        <v>18666</v>
      </c>
      <c r="C33" s="536">
        <f t="shared" si="3"/>
        <v>14410</v>
      </c>
      <c r="D33" s="536"/>
      <c r="E33" s="536"/>
      <c r="F33" s="524"/>
      <c r="G33" s="524"/>
    </row>
    <row r="34" spans="1:7" s="515" customFormat="1" ht="13">
      <c r="A34" s="516" t="s">
        <v>8</v>
      </c>
      <c r="B34" s="536">
        <v>4084</v>
      </c>
      <c r="C34" s="536">
        <v>4083.9999999999991</v>
      </c>
      <c r="D34" s="536">
        <v>5760</v>
      </c>
      <c r="E34" s="536"/>
      <c r="F34" s="537"/>
      <c r="G34" s="537"/>
    </row>
    <row r="35" spans="1:7" s="515" customFormat="1" ht="13">
      <c r="A35" s="515" t="s">
        <v>88</v>
      </c>
      <c r="B35" s="529">
        <v>163</v>
      </c>
      <c r="C35" s="529">
        <v>446</v>
      </c>
      <c r="D35" s="529"/>
      <c r="E35" s="529"/>
      <c r="F35" s="537"/>
      <c r="G35" s="537"/>
    </row>
    <row r="36" spans="1:7" s="515" customFormat="1" ht="13">
      <c r="A36" s="515" t="s">
        <v>89</v>
      </c>
      <c r="B36" s="529"/>
      <c r="C36" s="529">
        <f t="shared" ref="C36:C41" si="4">B36</f>
        <v>0</v>
      </c>
      <c r="D36" s="529"/>
      <c r="E36" s="529"/>
      <c r="F36" s="537"/>
      <c r="G36" s="537"/>
    </row>
    <row r="37" spans="1:7" s="515" customFormat="1" ht="13">
      <c r="A37" s="553" t="s">
        <v>90</v>
      </c>
      <c r="B37" s="529"/>
      <c r="C37" s="529">
        <f>283+2121</f>
        <v>2404</v>
      </c>
      <c r="D37" s="529"/>
      <c r="E37" s="529"/>
      <c r="F37" s="537"/>
      <c r="G37" s="537"/>
    </row>
    <row r="38" spans="1:7" s="515" customFormat="1" ht="13">
      <c r="A38" s="553" t="s">
        <v>91</v>
      </c>
      <c r="B38" s="529">
        <v>1727</v>
      </c>
      <c r="C38" s="529">
        <v>850</v>
      </c>
      <c r="D38" s="529"/>
      <c r="E38" s="529"/>
      <c r="F38" s="537"/>
      <c r="G38" s="537"/>
    </row>
    <row r="39" spans="1:7" s="515" customFormat="1" ht="13">
      <c r="A39" s="553" t="s">
        <v>92</v>
      </c>
      <c r="B39" s="529">
        <v>0</v>
      </c>
      <c r="C39" s="529">
        <f t="shared" si="4"/>
        <v>0</v>
      </c>
      <c r="D39" s="529"/>
      <c r="E39" s="529"/>
      <c r="F39" s="537"/>
      <c r="G39" s="537"/>
    </row>
    <row r="40" spans="1:7" s="515" customFormat="1" ht="13">
      <c r="A40" s="553" t="s">
        <v>93</v>
      </c>
      <c r="B40" s="529" t="s">
        <v>569</v>
      </c>
      <c r="C40" s="529" t="str">
        <f t="shared" si="4"/>
        <v/>
      </c>
      <c r="D40" s="529"/>
      <c r="E40" s="529"/>
      <c r="F40" s="537"/>
      <c r="G40" s="537"/>
    </row>
    <row r="41" spans="1:7" s="515" customFormat="1" ht="13">
      <c r="A41" s="553" t="s">
        <v>94</v>
      </c>
      <c r="B41" s="529" t="s">
        <v>569</v>
      </c>
      <c r="C41" s="529" t="str">
        <f t="shared" si="4"/>
        <v/>
      </c>
      <c r="D41" s="529"/>
      <c r="E41" s="529"/>
      <c r="F41" s="537"/>
      <c r="G41" s="537"/>
    </row>
    <row r="42" spans="1:7" s="515" customFormat="1" ht="13">
      <c r="A42" s="553" t="s">
        <v>95</v>
      </c>
      <c r="B42" s="529">
        <v>2951</v>
      </c>
      <c r="C42" s="529">
        <v>3393</v>
      </c>
      <c r="D42" s="529"/>
      <c r="E42" s="529"/>
      <c r="F42" s="537"/>
      <c r="G42" s="537"/>
    </row>
    <row r="43" spans="1:7" s="532" customFormat="1" ht="13">
      <c r="A43" s="530" t="s">
        <v>9</v>
      </c>
      <c r="B43" s="536">
        <f>SUM(B35:B42)</f>
        <v>4841</v>
      </c>
      <c r="C43" s="536">
        <f>SUM(C35:C42)</f>
        <v>7093</v>
      </c>
      <c r="D43" s="536"/>
      <c r="E43" s="536"/>
      <c r="F43" s="537"/>
      <c r="G43" s="537"/>
    </row>
    <row r="44" spans="1:7" s="532" customFormat="1" ht="13">
      <c r="B44" s="529"/>
      <c r="C44" s="529"/>
      <c r="D44" s="529"/>
      <c r="E44" s="529"/>
      <c r="F44" s="537"/>
      <c r="G44" s="537"/>
    </row>
    <row r="45" spans="1:7" s="515" customFormat="1" ht="13">
      <c r="A45" s="525" t="s">
        <v>983</v>
      </c>
      <c r="B45" s="538">
        <f>B43+B34+B33+B25+B15</f>
        <v>154649</v>
      </c>
      <c r="C45" s="538">
        <f>C43+C34+C33+C25+C15</f>
        <v>150571.66867147826</v>
      </c>
      <c r="D45" s="540"/>
      <c r="E45" s="540"/>
      <c r="F45" s="539"/>
      <c r="G45" s="539"/>
    </row>
    <row r="46" spans="1:7" s="515" customFormat="1" ht="13">
      <c r="A46" s="516"/>
      <c r="B46" s="540"/>
      <c r="C46" s="540"/>
      <c r="D46" s="540"/>
      <c r="E46" s="540"/>
      <c r="F46" s="539"/>
      <c r="G46" s="539"/>
    </row>
    <row r="47" spans="1:7" s="515" customFormat="1" ht="13">
      <c r="A47" s="541" t="s">
        <v>902</v>
      </c>
      <c r="B47" s="542">
        <f>B9-B45</f>
        <v>40558</v>
      </c>
      <c r="C47" s="542">
        <f>C9-C45</f>
        <v>80017.421328521741</v>
      </c>
      <c r="D47" s="536"/>
      <c r="E47" s="536"/>
      <c r="F47" s="543"/>
      <c r="G47" s="543"/>
    </row>
    <row r="48" spans="1:7" s="515" customFormat="1" ht="13">
      <c r="A48" s="544" t="s">
        <v>984</v>
      </c>
      <c r="B48" s="545">
        <f t="shared" ref="B48:C48" si="5">IFERROR(B47/B$9,0)</f>
        <v>0.20776918860491683</v>
      </c>
      <c r="C48" s="545">
        <f t="shared" si="5"/>
        <v>0.34701304094014918</v>
      </c>
      <c r="D48" s="570"/>
      <c r="E48" s="570"/>
      <c r="F48" s="546"/>
      <c r="G48" s="546"/>
    </row>
    <row r="49" spans="1:7" s="547" customFormat="1" ht="13">
      <c r="B49" s="548"/>
      <c r="C49" s="548"/>
      <c r="D49" s="548"/>
      <c r="E49" s="548"/>
      <c r="F49" s="549"/>
      <c r="G49" s="549"/>
    </row>
    <row r="50" spans="1:7" s="515" customFormat="1" ht="13">
      <c r="A50" s="515" t="s">
        <v>985</v>
      </c>
      <c r="B50" s="523">
        <v>0</v>
      </c>
      <c r="C50" s="523">
        <v>0</v>
      </c>
      <c r="D50" s="523"/>
      <c r="E50" s="523"/>
      <c r="F50" s="550"/>
      <c r="G50" s="550"/>
    </row>
    <row r="51" spans="1:7" s="515" customFormat="1" ht="13">
      <c r="B51" s="523"/>
      <c r="C51" s="523"/>
      <c r="D51" s="523"/>
      <c r="E51" s="523"/>
      <c r="F51" s="550"/>
      <c r="G51" s="550"/>
    </row>
    <row r="52" spans="1:7" s="515" customFormat="1" ht="13">
      <c r="A52" s="515" t="s">
        <v>986</v>
      </c>
      <c r="B52" s="527">
        <v>128</v>
      </c>
      <c r="C52" s="527"/>
      <c r="D52" s="527"/>
      <c r="E52" s="527"/>
      <c r="F52" s="551"/>
      <c r="G52" s="551"/>
    </row>
    <row r="53" spans="1:7" s="515" customFormat="1" ht="13">
      <c r="A53" s="515" t="s">
        <v>96</v>
      </c>
      <c r="B53" s="527">
        <v>0</v>
      </c>
      <c r="C53" s="527">
        <v>1000</v>
      </c>
      <c r="D53" s="527"/>
      <c r="E53" s="527"/>
      <c r="F53" s="551"/>
      <c r="G53" s="551"/>
    </row>
    <row r="54" spans="1:7" s="515" customFormat="1" ht="13">
      <c r="A54" s="515" t="s">
        <v>405</v>
      </c>
      <c r="B54" s="527">
        <v>0</v>
      </c>
      <c r="C54" s="527">
        <v>955</v>
      </c>
      <c r="D54" s="527"/>
      <c r="E54" s="527"/>
      <c r="F54" s="551"/>
      <c r="G54" s="551"/>
    </row>
    <row r="55" spans="1:7" s="515" customFormat="1" ht="13">
      <c r="A55" s="515" t="s">
        <v>99</v>
      </c>
      <c r="B55" s="527">
        <v>734</v>
      </c>
      <c r="C55" s="527">
        <v>320</v>
      </c>
      <c r="D55" s="527"/>
      <c r="E55" s="527"/>
      <c r="F55" s="551"/>
      <c r="G55" s="551"/>
    </row>
    <row r="56" spans="1:7" s="515" customFormat="1" ht="13">
      <c r="A56" s="516" t="s">
        <v>104</v>
      </c>
      <c r="B56" s="527">
        <f>SUM(B52:B55)</f>
        <v>862</v>
      </c>
      <c r="C56" s="527">
        <f>SUM(C53:C55)</f>
        <v>2275</v>
      </c>
      <c r="D56" s="527"/>
      <c r="E56" s="527"/>
      <c r="F56" s="551"/>
      <c r="G56" s="551"/>
    </row>
    <row r="57" spans="1:7" s="515" customFormat="1" ht="13">
      <c r="A57" s="515" t="s">
        <v>106</v>
      </c>
      <c r="B57" s="527">
        <v>1247</v>
      </c>
      <c r="C57" s="527">
        <v>1620</v>
      </c>
      <c r="D57" s="527"/>
      <c r="E57" s="527"/>
      <c r="F57" s="551"/>
      <c r="G57" s="551"/>
    </row>
    <row r="58" spans="1:7" s="515" customFormat="1" ht="13">
      <c r="A58" s="515" t="s">
        <v>989</v>
      </c>
      <c r="B58" s="527">
        <v>0</v>
      </c>
      <c r="C58" s="527">
        <v>2240</v>
      </c>
      <c r="D58" s="527"/>
      <c r="E58" s="527"/>
      <c r="F58" s="551"/>
      <c r="G58" s="551"/>
    </row>
    <row r="59" spans="1:7" s="515" customFormat="1" ht="13">
      <c r="A59" s="516" t="s">
        <v>14</v>
      </c>
      <c r="B59" s="552">
        <f>B58+B56+B57</f>
        <v>2109</v>
      </c>
      <c r="C59" s="552">
        <f>C58+C56+C57</f>
        <v>6135</v>
      </c>
      <c r="D59" s="552"/>
      <c r="E59" s="552"/>
      <c r="F59" s="551"/>
      <c r="G59" s="551"/>
    </row>
    <row r="60" spans="1:7" s="532" customFormat="1" ht="13">
      <c r="B60" s="529"/>
      <c r="C60" s="529"/>
      <c r="D60" s="529"/>
      <c r="E60" s="529"/>
      <c r="F60" s="537"/>
      <c r="G60" s="537"/>
    </row>
    <row r="61" spans="1:7" s="532" customFormat="1" ht="13">
      <c r="A61" s="525" t="s">
        <v>991</v>
      </c>
      <c r="B61" s="526">
        <f>SUM(B59:B59)</f>
        <v>2109</v>
      </c>
      <c r="C61" s="526">
        <f>SUM(C59:C59)</f>
        <v>6135</v>
      </c>
      <c r="D61" s="536"/>
      <c r="E61" s="536"/>
      <c r="F61" s="543"/>
      <c r="G61" s="543"/>
    </row>
    <row r="62" spans="1:7" s="532" customFormat="1" ht="13">
      <c r="A62" s="516"/>
      <c r="B62" s="529"/>
      <c r="C62" s="529"/>
      <c r="D62" s="529"/>
      <c r="E62" s="529"/>
      <c r="F62" s="537"/>
      <c r="G62" s="537"/>
    </row>
    <row r="63" spans="1:7" s="515" customFormat="1" ht="13">
      <c r="A63" s="516" t="s">
        <v>15</v>
      </c>
      <c r="B63" s="529"/>
      <c r="C63" s="529"/>
      <c r="D63" s="529"/>
      <c r="E63" s="529"/>
      <c r="F63" s="537"/>
      <c r="G63" s="537"/>
    </row>
    <row r="64" spans="1:7" s="515" customFormat="1" ht="13">
      <c r="A64" s="553" t="s">
        <v>992</v>
      </c>
      <c r="B64" s="537">
        <v>9641</v>
      </c>
      <c r="C64" s="537">
        <f>B64</f>
        <v>9641</v>
      </c>
      <c r="D64" s="537"/>
      <c r="E64" s="537"/>
      <c r="F64" s="571"/>
      <c r="G64" s="537"/>
    </row>
    <row r="65" spans="1:7" s="515" customFormat="1" ht="13">
      <c r="A65" s="553" t="s">
        <v>993</v>
      </c>
      <c r="B65" s="537">
        <v>23165</v>
      </c>
      <c r="C65" s="537">
        <v>21710</v>
      </c>
      <c r="D65" s="537">
        <v>4000</v>
      </c>
      <c r="E65" s="537"/>
      <c r="F65" s="571" t="s">
        <v>1005</v>
      </c>
      <c r="G65" s="537"/>
    </row>
    <row r="66" spans="1:7" s="515" customFormat="1" ht="13">
      <c r="A66" s="516" t="s">
        <v>16</v>
      </c>
      <c r="B66" s="536">
        <f>SUM(B64:B65)</f>
        <v>32806</v>
      </c>
      <c r="C66" s="536">
        <f>SUM(C64:C65)</f>
        <v>31351</v>
      </c>
      <c r="D66" s="536"/>
      <c r="E66" s="536"/>
      <c r="F66" s="537"/>
      <c r="G66" s="537"/>
    </row>
    <row r="67" spans="1:7" s="515" customFormat="1" ht="13">
      <c r="A67" s="515" t="s">
        <v>146</v>
      </c>
      <c r="B67" s="529">
        <v>1359</v>
      </c>
      <c r="C67" s="529">
        <v>1437</v>
      </c>
      <c r="D67" s="529"/>
      <c r="E67" s="529"/>
      <c r="F67" s="537"/>
      <c r="G67" s="537"/>
    </row>
    <row r="68" spans="1:7" s="515" customFormat="1" ht="13">
      <c r="A68" s="516" t="s">
        <v>17</v>
      </c>
      <c r="B68" s="536">
        <v>2326</v>
      </c>
      <c r="C68" s="536">
        <v>2012</v>
      </c>
      <c r="D68" s="536" t="s">
        <v>1006</v>
      </c>
      <c r="E68" s="536"/>
      <c r="F68" s="537"/>
      <c r="G68" s="537"/>
    </row>
    <row r="69" spans="1:7" s="515" customFormat="1" ht="13">
      <c r="A69" s="515" t="s">
        <v>995</v>
      </c>
      <c r="B69" s="529">
        <v>3675</v>
      </c>
      <c r="C69" s="529">
        <v>3484</v>
      </c>
      <c r="D69" s="529"/>
      <c r="E69" s="529"/>
      <c r="F69" s="537"/>
      <c r="G69" s="537"/>
    </row>
    <row r="70" spans="1:7" s="515" customFormat="1" ht="13">
      <c r="A70" s="515" t="s">
        <v>139</v>
      </c>
      <c r="B70" s="529">
        <v>632</v>
      </c>
      <c r="C70" s="529">
        <v>2110</v>
      </c>
      <c r="D70" s="529">
        <v>1450</v>
      </c>
      <c r="E70" s="529"/>
      <c r="F70" s="537"/>
      <c r="G70" s="537"/>
    </row>
    <row r="71" spans="1:7" s="515" customFormat="1" ht="13">
      <c r="A71" s="515" t="s">
        <v>140</v>
      </c>
      <c r="B71" s="529">
        <v>774</v>
      </c>
      <c r="C71" s="529">
        <v>500</v>
      </c>
      <c r="D71" s="529"/>
      <c r="E71" s="529"/>
      <c r="F71" s="537"/>
      <c r="G71" s="537"/>
    </row>
    <row r="72" spans="1:7" s="515" customFormat="1" ht="13">
      <c r="A72" s="515" t="s">
        <v>141</v>
      </c>
      <c r="B72" s="529">
        <v>836</v>
      </c>
      <c r="C72" s="529">
        <v>900</v>
      </c>
      <c r="D72" s="529"/>
      <c r="E72" s="529"/>
      <c r="F72" s="537"/>
      <c r="G72" s="537"/>
    </row>
    <row r="73" spans="1:7" s="515" customFormat="1" ht="13">
      <c r="A73" s="516" t="s">
        <v>18</v>
      </c>
      <c r="B73" s="536">
        <f t="shared" ref="B73:C73" si="6">SUM(B69:B72)</f>
        <v>5917</v>
      </c>
      <c r="C73" s="536">
        <f t="shared" si="6"/>
        <v>6994</v>
      </c>
      <c r="D73" s="536"/>
      <c r="E73" s="536"/>
      <c r="F73" s="537"/>
      <c r="G73" s="537"/>
    </row>
    <row r="74" spans="1:7" s="515" customFormat="1" ht="13">
      <c r="A74" s="515" t="s">
        <v>114</v>
      </c>
      <c r="B74" s="529">
        <v>89</v>
      </c>
      <c r="C74" s="529">
        <v>57</v>
      </c>
      <c r="D74" s="529"/>
      <c r="E74" s="529"/>
      <c r="F74" s="537"/>
      <c r="G74" s="537"/>
    </row>
    <row r="75" spans="1:7" s="515" customFormat="1" ht="13">
      <c r="A75" s="515" t="s">
        <v>214</v>
      </c>
      <c r="B75" s="529">
        <v>523</v>
      </c>
      <c r="C75" s="529">
        <v>500</v>
      </c>
      <c r="D75" s="529"/>
      <c r="E75" s="529"/>
      <c r="F75" s="537"/>
      <c r="G75" s="537"/>
    </row>
    <row r="76" spans="1:7" s="515" customFormat="1" ht="13">
      <c r="A76" s="515" t="s">
        <v>116</v>
      </c>
      <c r="B76" s="529">
        <v>0</v>
      </c>
      <c r="C76" s="529">
        <f t="shared" ref="C76:C85" si="7">B76</f>
        <v>0</v>
      </c>
      <c r="D76" s="529"/>
      <c r="E76" s="529"/>
      <c r="F76" s="537"/>
      <c r="G76" s="537"/>
    </row>
    <row r="77" spans="1:7" s="515" customFormat="1" ht="13">
      <c r="A77" s="515" t="s">
        <v>117</v>
      </c>
      <c r="B77" s="529">
        <v>25</v>
      </c>
      <c r="C77" s="529">
        <f t="shared" si="7"/>
        <v>25</v>
      </c>
      <c r="D77" s="529"/>
      <c r="E77" s="529"/>
      <c r="F77" s="537"/>
      <c r="G77" s="537"/>
    </row>
    <row r="78" spans="1:7" s="515" customFormat="1" ht="13">
      <c r="A78" s="515" t="s">
        <v>118</v>
      </c>
      <c r="B78" s="529">
        <v>447</v>
      </c>
      <c r="C78" s="529">
        <v>450</v>
      </c>
      <c r="D78" s="529"/>
      <c r="E78" s="529"/>
      <c r="F78" s="537"/>
      <c r="G78" s="537"/>
    </row>
    <row r="79" spans="1:7" s="515" customFormat="1" ht="13">
      <c r="A79" s="515" t="s">
        <v>119</v>
      </c>
      <c r="B79" s="529">
        <v>3781</v>
      </c>
      <c r="C79" s="529">
        <v>4848</v>
      </c>
      <c r="D79" s="529" t="s">
        <v>1007</v>
      </c>
      <c r="E79" s="529"/>
      <c r="F79" s="537"/>
      <c r="G79" s="537"/>
    </row>
    <row r="80" spans="1:7" s="515" customFormat="1" ht="13">
      <c r="A80" s="515" t="s">
        <v>120</v>
      </c>
      <c r="B80" s="529">
        <v>0</v>
      </c>
      <c r="C80" s="529">
        <v>17</v>
      </c>
      <c r="D80" s="529"/>
      <c r="E80" s="529"/>
      <c r="F80" s="537"/>
      <c r="G80" s="537"/>
    </row>
    <row r="81" spans="1:7" s="515" customFormat="1" ht="13">
      <c r="A81" s="515" t="s">
        <v>123</v>
      </c>
      <c r="B81" s="529">
        <v>0</v>
      </c>
      <c r="C81" s="529">
        <f t="shared" si="7"/>
        <v>0</v>
      </c>
      <c r="D81" s="529"/>
      <c r="E81" s="529"/>
      <c r="F81" s="537"/>
      <c r="G81" s="537"/>
    </row>
    <row r="82" spans="1:7" s="515" customFormat="1" ht="13">
      <c r="A82" s="515" t="s">
        <v>128</v>
      </c>
      <c r="B82" s="529">
        <v>236</v>
      </c>
      <c r="C82" s="529">
        <f t="shared" si="7"/>
        <v>236</v>
      </c>
      <c r="D82" s="529"/>
      <c r="E82" s="529"/>
      <c r="F82" s="537"/>
      <c r="G82" s="537"/>
    </row>
    <row r="83" spans="1:7" s="515" customFormat="1" ht="13">
      <c r="A83" s="515" t="s">
        <v>129</v>
      </c>
      <c r="B83" s="529">
        <v>495</v>
      </c>
      <c r="C83" s="529">
        <v>460</v>
      </c>
      <c r="D83" s="529"/>
      <c r="E83" s="529"/>
      <c r="F83" s="537"/>
      <c r="G83" s="537"/>
    </row>
    <row r="84" spans="1:7" s="515" customFormat="1" ht="13">
      <c r="A84" s="515" t="s">
        <v>124</v>
      </c>
      <c r="B84" s="529">
        <v>294</v>
      </c>
      <c r="C84" s="529">
        <f t="shared" si="7"/>
        <v>294</v>
      </c>
      <c r="D84" s="529"/>
      <c r="E84" s="529"/>
      <c r="F84" s="537"/>
      <c r="G84" s="537"/>
    </row>
    <row r="85" spans="1:7" s="515" customFormat="1" ht="13">
      <c r="A85" s="515" t="s">
        <v>135</v>
      </c>
      <c r="B85" s="529">
        <v>0</v>
      </c>
      <c r="C85" s="529">
        <f t="shared" si="7"/>
        <v>0</v>
      </c>
      <c r="D85" s="529"/>
      <c r="E85" s="529"/>
      <c r="F85" s="537"/>
      <c r="G85" s="537"/>
    </row>
    <row r="86" spans="1:7" s="515" customFormat="1" ht="13">
      <c r="A86" s="515" t="s">
        <v>137</v>
      </c>
      <c r="B86" s="529">
        <v>742</v>
      </c>
      <c r="C86" s="529">
        <v>848</v>
      </c>
      <c r="D86" s="529"/>
      <c r="E86" s="529"/>
      <c r="F86" s="537"/>
      <c r="G86" s="537"/>
    </row>
    <row r="87" spans="1:7" s="515" customFormat="1" ht="13">
      <c r="A87" s="515" t="s">
        <v>546</v>
      </c>
      <c r="B87" s="529">
        <v>44</v>
      </c>
      <c r="C87" s="529"/>
      <c r="D87" s="529"/>
      <c r="E87" s="529"/>
      <c r="F87" s="537"/>
      <c r="G87" s="537"/>
    </row>
    <row r="88" spans="1:7" s="515" customFormat="1" ht="13">
      <c r="A88" s="515" t="s">
        <v>358</v>
      </c>
      <c r="B88" s="529">
        <v>2500</v>
      </c>
      <c r="C88" s="529">
        <v>2500</v>
      </c>
      <c r="D88" s="529"/>
      <c r="E88" s="529"/>
      <c r="F88" s="537"/>
      <c r="G88" s="537"/>
    </row>
    <row r="89" spans="1:7" s="515" customFormat="1" ht="13">
      <c r="A89" s="515" t="s">
        <v>127</v>
      </c>
      <c r="B89" s="529">
        <v>0</v>
      </c>
      <c r="C89" s="529"/>
      <c r="D89" s="529"/>
      <c r="E89" s="529"/>
      <c r="F89" s="537"/>
      <c r="G89" s="537"/>
    </row>
    <row r="90" spans="1:7" s="515" customFormat="1" ht="13">
      <c r="A90" s="515" t="s">
        <v>614</v>
      </c>
      <c r="B90" s="536">
        <f>SUM(B74:B89)</f>
        <v>9176</v>
      </c>
      <c r="C90" s="536">
        <f>SUM(C74:C89)</f>
        <v>10235</v>
      </c>
      <c r="D90" s="536"/>
      <c r="E90" s="536"/>
      <c r="F90" s="537"/>
      <c r="G90" s="537"/>
    </row>
    <row r="91" spans="1:7" s="515" customFormat="1" ht="13">
      <c r="B91" s="523"/>
      <c r="C91" s="523"/>
      <c r="D91" s="523"/>
      <c r="E91" s="523"/>
      <c r="F91" s="550"/>
      <c r="G91" s="550"/>
    </row>
    <row r="92" spans="1:7" s="515" customFormat="1" ht="13">
      <c r="A92" s="555" t="s">
        <v>1001</v>
      </c>
      <c r="B92" s="556">
        <f>B90+B73+B68+B67+B66+B61</f>
        <v>53693</v>
      </c>
      <c r="C92" s="556">
        <f>C90+C73+C68+C67+C66+C61</f>
        <v>58164</v>
      </c>
      <c r="D92" s="531"/>
      <c r="E92" s="531"/>
      <c r="F92" s="557"/>
      <c r="G92" s="557"/>
    </row>
    <row r="93" spans="1:7" s="515" customFormat="1" ht="13">
      <c r="B93" s="523"/>
      <c r="C93" s="523"/>
      <c r="D93" s="523"/>
      <c r="E93" s="523"/>
      <c r="F93" s="550"/>
      <c r="G93" s="550"/>
    </row>
    <row r="94" spans="1:7" s="515" customFormat="1" ht="13">
      <c r="A94" s="541" t="s">
        <v>21</v>
      </c>
      <c r="B94" s="542">
        <f>B47+B50-B92</f>
        <v>-13135</v>
      </c>
      <c r="C94" s="542">
        <f>C47+C50-C92</f>
        <v>21853.421328521741</v>
      </c>
      <c r="D94" s="536"/>
      <c r="E94" s="536"/>
      <c r="F94" s="543"/>
      <c r="G94" s="543"/>
    </row>
    <row r="95" spans="1:7" s="559" customFormat="1" ht="13">
      <c r="A95" s="558" t="s">
        <v>1002</v>
      </c>
      <c r="B95" s="545">
        <f t="shared" ref="B95:C95" si="8">IFERROR(B94/B$9,0)</f>
        <v>-6.7287546040869436E-2</v>
      </c>
      <c r="C95" s="545">
        <f t="shared" si="8"/>
        <v>9.4772139169818234E-2</v>
      </c>
      <c r="D95" s="570"/>
      <c r="E95" s="570"/>
      <c r="F95" s="546"/>
      <c r="G95" s="546"/>
    </row>
    <row r="96" spans="1:7" s="559" customFormat="1" ht="13">
      <c r="A96" s="560"/>
      <c r="B96" s="536"/>
      <c r="C96" s="536"/>
      <c r="D96" s="536"/>
      <c r="E96" s="536"/>
      <c r="F96" s="543"/>
      <c r="G96" s="543"/>
    </row>
    <row r="97" spans="1:7">
      <c r="A97" s="561" t="s">
        <v>1003</v>
      </c>
      <c r="B97" s="562">
        <f>B9-B94</f>
        <v>208342</v>
      </c>
      <c r="C97" s="562">
        <f>C9-C94</f>
        <v>208735.66867147826</v>
      </c>
      <c r="D97" s="562"/>
      <c r="E97" s="562"/>
      <c r="F97" s="563"/>
      <c r="G97" s="563"/>
    </row>
    <row r="98" spans="1:7">
      <c r="A98" s="564"/>
    </row>
    <row r="99" spans="1:7">
      <c r="A99" s="564"/>
      <c r="B99" s="566"/>
    </row>
    <row r="100" spans="1:7">
      <c r="A100" s="564"/>
    </row>
    <row r="101" spans="1:7">
      <c r="A101" s="564"/>
      <c r="B101" s="567"/>
    </row>
    <row r="102" spans="1:7">
      <c r="A102" s="564"/>
    </row>
    <row r="103" spans="1:7">
      <c r="A103" s="564"/>
    </row>
    <row r="104" spans="1:7">
      <c r="A104" s="564"/>
    </row>
    <row r="105" spans="1:7">
      <c r="A105" s="564"/>
    </row>
    <row r="106" spans="1:7">
      <c r="A106" s="564"/>
    </row>
    <row r="107" spans="1:7">
      <c r="A107" s="564"/>
    </row>
    <row r="108" spans="1:7">
      <c r="A108" s="564"/>
    </row>
    <row r="109" spans="1:7">
      <c r="A109" s="564"/>
    </row>
    <row r="110" spans="1:7">
      <c r="A110" s="564"/>
    </row>
    <row r="111" spans="1:7">
      <c r="A111" s="564"/>
    </row>
    <row r="112" spans="1:7">
      <c r="A112" s="564"/>
    </row>
    <row r="113" spans="1:1">
      <c r="A113" s="564"/>
    </row>
    <row r="114" spans="1:1">
      <c r="A114" s="564"/>
    </row>
    <row r="115" spans="1:1">
      <c r="A115" s="564"/>
    </row>
    <row r="116" spans="1:1">
      <c r="A116" s="568"/>
    </row>
    <row r="117" spans="1:1">
      <c r="A117" s="568"/>
    </row>
    <row r="118" spans="1:1">
      <c r="A118" s="564"/>
    </row>
    <row r="119" spans="1:1">
      <c r="A119" s="564"/>
    </row>
    <row r="120" spans="1:1">
      <c r="A120" s="564"/>
    </row>
    <row r="121" spans="1:1">
      <c r="A121" s="568"/>
    </row>
    <row r="122" spans="1:1">
      <c r="A122" s="564"/>
    </row>
    <row r="123" spans="1:1">
      <c r="A123" s="564"/>
    </row>
    <row r="124" spans="1:1">
      <c r="A124" s="564"/>
    </row>
    <row r="125" spans="1:1">
      <c r="A125" s="564"/>
    </row>
    <row r="126" spans="1:1">
      <c r="A126" s="564"/>
    </row>
    <row r="127" spans="1:1">
      <c r="A127" s="564"/>
    </row>
    <row r="128" spans="1:1">
      <c r="A128" s="564"/>
    </row>
    <row r="129" spans="1:1">
      <c r="A129" s="564"/>
    </row>
    <row r="130" spans="1:1">
      <c r="A130" s="568"/>
    </row>
    <row r="131" spans="1:1">
      <c r="A131" s="564"/>
    </row>
    <row r="132" spans="1:1">
      <c r="A132" s="569"/>
    </row>
  </sheetData>
  <conditionalFormatting sqref="B89:G96">
    <cfRule type="expression" dxfId="24" priority="1">
      <formula>B$3="Actuals"</formula>
    </cfRule>
  </conditionalFormatting>
  <conditionalFormatting sqref="C5:G5 B5:B20 C6:E20 F6:F32 G6:G88 B21:E21 C22:E32 B22:B42 C33:F42 B43:F88">
    <cfRule type="expression" dxfId="23" priority="2">
      <formula>B$3="Actuals"</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DB38-9DE9-4B55-AF8F-E17DC400936D}">
  <sheetPr>
    <tabColor theme="9"/>
  </sheetPr>
  <dimension ref="A1:D134"/>
  <sheetViews>
    <sheetView showGridLines="0" zoomScale="97" zoomScaleNormal="100" workbookViewId="0">
      <pane xSplit="1" ySplit="4" topLeftCell="B5" activePane="bottomRight" state="frozen"/>
      <selection pane="topRight" activeCell="F63" sqref="F63"/>
      <selection pane="bottomLeft" activeCell="F63" sqref="F63"/>
      <selection pane="bottomRight" activeCell="E29" sqref="E29"/>
    </sheetView>
  </sheetViews>
  <sheetFormatPr defaultColWidth="8.4140625" defaultRowHeight="14.5"/>
  <cols>
    <col min="1" max="1" width="39.6640625" style="515" customWidth="1"/>
    <col min="2" max="2" width="11.1640625" style="121" bestFit="1" customWidth="1"/>
    <col min="3" max="3" width="31.75" style="565" bestFit="1" customWidth="1"/>
    <col min="4" max="4" width="17.83203125" style="565" bestFit="1" customWidth="1"/>
    <col min="5" max="72" width="8.6640625" style="121" customWidth="1"/>
    <col min="73" max="16384" width="8.4140625" style="121"/>
  </cols>
  <sheetData>
    <row r="1" spans="1:4" s="515" customFormat="1" ht="26">
      <c r="A1" s="512" t="s">
        <v>968</v>
      </c>
      <c r="B1" s="513"/>
      <c r="C1" s="514"/>
      <c r="D1" s="514"/>
    </row>
    <row r="2" spans="1:4" s="515" customFormat="1" ht="13">
      <c r="A2" s="516" t="s">
        <v>969</v>
      </c>
      <c r="B2" s="513"/>
      <c r="C2" s="514"/>
      <c r="D2" s="514"/>
    </row>
    <row r="3" spans="1:4" s="516" customFormat="1" ht="13">
      <c r="B3" s="517" t="s">
        <v>971</v>
      </c>
      <c r="C3" s="514"/>
      <c r="D3" s="514"/>
    </row>
    <row r="4" spans="1:4" s="520" customFormat="1" ht="13">
      <c r="A4" s="518" t="s">
        <v>0</v>
      </c>
      <c r="B4" s="519">
        <v>46204</v>
      </c>
      <c r="C4" s="519" t="s">
        <v>972</v>
      </c>
      <c r="D4" s="519" t="s">
        <v>973</v>
      </c>
    </row>
    <row r="5" spans="1:4" s="515" customFormat="1" ht="13">
      <c r="A5" s="516" t="s">
        <v>1</v>
      </c>
      <c r="B5" s="521"/>
      <c r="C5" s="522"/>
      <c r="D5" s="522"/>
    </row>
    <row r="6" spans="1:4" s="515" customFormat="1" ht="13">
      <c r="A6" s="515" t="s">
        <v>974</v>
      </c>
      <c r="B6" s="523">
        <v>234361.04309999998</v>
      </c>
      <c r="C6" s="524"/>
      <c r="D6" s="524"/>
    </row>
    <row r="7" spans="1:4" s="515" customFormat="1" ht="13">
      <c r="A7" s="515" t="s">
        <v>975</v>
      </c>
      <c r="B7" s="523"/>
      <c r="C7" s="524"/>
      <c r="D7" s="524"/>
    </row>
    <row r="8" spans="1:4" s="515" customFormat="1" ht="13">
      <c r="B8" s="523"/>
      <c r="C8" s="524"/>
      <c r="D8" s="524"/>
    </row>
    <row r="9" spans="1:4" s="515" customFormat="1" ht="13">
      <c r="A9" s="525" t="s">
        <v>3</v>
      </c>
      <c r="B9" s="526">
        <f>SUM(B6:B7)</f>
        <v>234361.04309999998</v>
      </c>
      <c r="C9" s="524"/>
      <c r="D9" s="524"/>
    </row>
    <row r="10" spans="1:4" s="515" customFormat="1" ht="13">
      <c r="B10" s="523"/>
      <c r="C10" s="524" t="s">
        <v>976</v>
      </c>
      <c r="D10" s="524"/>
    </row>
    <row r="11" spans="1:4" s="515" customFormat="1" ht="13">
      <c r="A11" s="516" t="s">
        <v>977</v>
      </c>
      <c r="B11" s="527"/>
      <c r="C11" s="524"/>
      <c r="D11" s="524"/>
    </row>
    <row r="12" spans="1:4" s="515" customFormat="1" ht="13">
      <c r="A12" s="528"/>
      <c r="B12" s="529"/>
      <c r="C12" s="524"/>
      <c r="D12" s="524"/>
    </row>
    <row r="13" spans="1:4" s="515" customFormat="1" ht="13">
      <c r="A13" s="515" t="s">
        <v>978</v>
      </c>
      <c r="B13" s="531">
        <v>112624.55913978495</v>
      </c>
      <c r="C13" s="524"/>
      <c r="D13" s="524"/>
    </row>
    <row r="14" spans="1:4" s="515" customFormat="1" ht="13">
      <c r="A14" s="515" t="s">
        <v>979</v>
      </c>
      <c r="B14" s="523">
        <v>0</v>
      </c>
      <c r="C14" s="524"/>
      <c r="D14" s="524"/>
    </row>
    <row r="15" spans="1:4" s="532" customFormat="1" ht="13">
      <c r="A15" s="530" t="s">
        <v>5</v>
      </c>
      <c r="B15" s="531">
        <f t="shared" ref="B15" si="0">SUM(B13:B14)</f>
        <v>112624.55913978495</v>
      </c>
      <c r="C15" s="524"/>
      <c r="D15" s="524"/>
    </row>
    <row r="16" spans="1:4" s="532" customFormat="1" ht="13">
      <c r="A16" s="532" t="s">
        <v>65</v>
      </c>
      <c r="B16" s="523">
        <v>3196.2298850574712</v>
      </c>
      <c r="C16" s="524"/>
      <c r="D16" s="524"/>
    </row>
    <row r="17" spans="1:4" s="532" customFormat="1" ht="13">
      <c r="A17" s="532" t="s">
        <v>66</v>
      </c>
      <c r="B17" s="523">
        <v>0</v>
      </c>
      <c r="C17" s="524"/>
      <c r="D17" s="524"/>
    </row>
    <row r="18" spans="1:4" s="532" customFormat="1" ht="13">
      <c r="A18" s="532" t="s">
        <v>67</v>
      </c>
      <c r="B18" s="523">
        <v>0</v>
      </c>
      <c r="C18" s="524"/>
      <c r="D18" s="524"/>
    </row>
    <row r="19" spans="1:4" s="532" customFormat="1" ht="13">
      <c r="A19" s="532" t="s">
        <v>68</v>
      </c>
      <c r="B19" s="523">
        <v>0</v>
      </c>
      <c r="C19" s="524"/>
      <c r="D19" s="524"/>
    </row>
    <row r="20" spans="1:4" s="532" customFormat="1" ht="13">
      <c r="A20" s="572" t="s">
        <v>706</v>
      </c>
      <c r="B20" s="523">
        <v>9195.4022988505749</v>
      </c>
      <c r="C20" s="524"/>
      <c r="D20" s="524"/>
    </row>
    <row r="21" spans="1:4" s="532" customFormat="1" ht="13">
      <c r="A21" s="572" t="s">
        <v>707</v>
      </c>
      <c r="B21" s="523">
        <v>800</v>
      </c>
      <c r="C21" s="524"/>
      <c r="D21" s="524"/>
    </row>
    <row r="22" spans="1:4" s="532" customFormat="1" ht="13">
      <c r="A22" s="532" t="s">
        <v>69</v>
      </c>
      <c r="B22" s="523">
        <v>1830.4608045977011</v>
      </c>
      <c r="C22" s="524"/>
      <c r="D22" s="524"/>
    </row>
    <row r="23" spans="1:4" s="532" customFormat="1" ht="13">
      <c r="A23" s="532" t="s">
        <v>980</v>
      </c>
      <c r="B23" s="523">
        <v>290</v>
      </c>
      <c r="C23" s="524" t="s">
        <v>1008</v>
      </c>
      <c r="D23" s="524"/>
    </row>
    <row r="24" spans="1:4" s="532" customFormat="1" ht="13">
      <c r="A24" s="532" t="s">
        <v>71</v>
      </c>
      <c r="B24" s="523">
        <v>302</v>
      </c>
      <c r="C24" s="524"/>
      <c r="D24" s="524"/>
    </row>
    <row r="25" spans="1:4" s="532" customFormat="1" ht="13">
      <c r="A25" s="532" t="s">
        <v>1009</v>
      </c>
      <c r="B25" s="573">
        <v>4597.7011494252874</v>
      </c>
      <c r="C25" s="524"/>
      <c r="D25" s="524"/>
    </row>
    <row r="26" spans="1:4" s="532" customFormat="1" ht="13">
      <c r="A26" s="532" t="s">
        <v>73</v>
      </c>
      <c r="B26" s="523">
        <v>2000</v>
      </c>
      <c r="C26" s="524"/>
      <c r="D26" s="524"/>
    </row>
    <row r="27" spans="1:4" s="532" customFormat="1" ht="13">
      <c r="A27" s="530" t="s">
        <v>6</v>
      </c>
      <c r="B27" s="533">
        <f>SUM(B16:B26)</f>
        <v>22211.794137931036</v>
      </c>
      <c r="C27" s="524"/>
      <c r="D27" s="524"/>
    </row>
    <row r="28" spans="1:4" s="532" customFormat="1" ht="13">
      <c r="A28" s="532" t="s">
        <v>75</v>
      </c>
      <c r="B28" s="535">
        <v>285</v>
      </c>
      <c r="C28" s="524"/>
      <c r="D28" s="524"/>
    </row>
    <row r="29" spans="1:4" s="532" customFormat="1" ht="13">
      <c r="A29" s="532" t="s">
        <v>76</v>
      </c>
      <c r="B29" s="535">
        <v>212</v>
      </c>
      <c r="C29" s="524"/>
      <c r="D29" s="524"/>
    </row>
    <row r="30" spans="1:4" s="532" customFormat="1" ht="13">
      <c r="A30" s="574" t="s">
        <v>77</v>
      </c>
      <c r="B30" s="535">
        <f>8570+1036+1000</f>
        <v>10606</v>
      </c>
      <c r="C30" s="524"/>
      <c r="D30" s="524"/>
    </row>
    <row r="31" spans="1:4" s="532" customFormat="1" ht="13">
      <c r="A31" s="532" t="s">
        <v>78</v>
      </c>
      <c r="B31" s="535">
        <v>392</v>
      </c>
      <c r="C31" s="524"/>
      <c r="D31" s="524"/>
    </row>
    <row r="32" spans="1:4" s="532" customFormat="1" ht="13">
      <c r="A32" s="532" t="s">
        <v>79</v>
      </c>
      <c r="B32" s="535">
        <f>541+582+17</f>
        <v>1140</v>
      </c>
      <c r="C32" s="524"/>
      <c r="D32" s="524"/>
    </row>
    <row r="33" spans="1:4" s="532" customFormat="1" ht="13">
      <c r="A33" s="532" t="s">
        <v>74</v>
      </c>
      <c r="B33" s="535">
        <v>28.735632183908045</v>
      </c>
      <c r="C33" s="524"/>
      <c r="D33" s="524"/>
    </row>
    <row r="34" spans="1:4" s="532" customFormat="1" ht="13">
      <c r="A34" s="532" t="s">
        <v>80</v>
      </c>
      <c r="B34" s="535">
        <v>229.88505747126436</v>
      </c>
      <c r="C34" s="524"/>
      <c r="D34" s="524"/>
    </row>
    <row r="35" spans="1:4" s="515" customFormat="1" ht="13">
      <c r="A35" s="516" t="s">
        <v>7</v>
      </c>
      <c r="B35" s="536">
        <f>SUM(B28:B34)</f>
        <v>12893.620689655174</v>
      </c>
      <c r="C35" s="524"/>
      <c r="D35" s="524"/>
    </row>
    <row r="36" spans="1:4" s="515" customFormat="1" ht="13">
      <c r="A36" s="575" t="s">
        <v>8</v>
      </c>
      <c r="B36" s="536">
        <v>4254</v>
      </c>
      <c r="C36" s="537"/>
      <c r="D36" s="537"/>
    </row>
    <row r="37" spans="1:4" s="515" customFormat="1" ht="13">
      <c r="A37" s="515" t="s">
        <v>88</v>
      </c>
      <c r="B37" s="529">
        <v>3584</v>
      </c>
      <c r="C37" s="537"/>
      <c r="D37" s="537"/>
    </row>
    <row r="38" spans="1:4" s="515" customFormat="1" ht="13">
      <c r="A38" s="515" t="s">
        <v>89</v>
      </c>
      <c r="B38" s="529">
        <v>0</v>
      </c>
      <c r="C38" s="529"/>
      <c r="D38" s="537"/>
    </row>
    <row r="39" spans="1:4" s="515" customFormat="1" ht="13">
      <c r="A39" s="553" t="s">
        <v>90</v>
      </c>
      <c r="B39" s="529">
        <v>0</v>
      </c>
      <c r="C39" s="537"/>
      <c r="D39" s="537"/>
    </row>
    <row r="40" spans="1:4" s="515" customFormat="1" ht="13">
      <c r="A40" s="553" t="s">
        <v>91</v>
      </c>
      <c r="B40" s="529">
        <v>849</v>
      </c>
      <c r="C40" s="537"/>
      <c r="D40" s="537"/>
    </row>
    <row r="41" spans="1:4" s="515" customFormat="1" ht="13">
      <c r="A41" s="576" t="s">
        <v>92</v>
      </c>
      <c r="B41" s="529"/>
      <c r="C41" s="537"/>
      <c r="D41" s="537"/>
    </row>
    <row r="42" spans="1:4" s="515" customFormat="1" ht="13">
      <c r="A42" s="553" t="s">
        <v>93</v>
      </c>
      <c r="B42" s="529">
        <v>0</v>
      </c>
      <c r="C42" s="537"/>
      <c r="D42" s="537"/>
    </row>
    <row r="43" spans="1:4" s="515" customFormat="1" ht="13">
      <c r="A43" s="553" t="s">
        <v>94</v>
      </c>
      <c r="B43" s="529">
        <v>0</v>
      </c>
      <c r="C43" s="537"/>
      <c r="D43" s="537"/>
    </row>
    <row r="44" spans="1:4" s="515" customFormat="1" ht="13">
      <c r="A44" s="553" t="s">
        <v>95</v>
      </c>
      <c r="B44" s="529">
        <v>3393</v>
      </c>
      <c r="C44" s="537"/>
      <c r="D44" s="537"/>
    </row>
    <row r="45" spans="1:4" s="532" customFormat="1" ht="13">
      <c r="A45" s="530" t="s">
        <v>9</v>
      </c>
      <c r="B45" s="536">
        <f>SUM(B37:B44)</f>
        <v>7826</v>
      </c>
      <c r="C45" s="537"/>
      <c r="D45" s="537"/>
    </row>
    <row r="46" spans="1:4" s="532" customFormat="1" ht="13">
      <c r="B46" s="529"/>
      <c r="C46" s="537"/>
      <c r="D46" s="537"/>
    </row>
    <row r="47" spans="1:4" s="515" customFormat="1" ht="13">
      <c r="A47" s="525" t="s">
        <v>983</v>
      </c>
      <c r="B47" s="538">
        <f>B45+B36+B35+B27+B15</f>
        <v>159809.97396737116</v>
      </c>
      <c r="C47" s="539"/>
      <c r="D47" s="539"/>
    </row>
    <row r="48" spans="1:4" s="515" customFormat="1" ht="13">
      <c r="A48" s="516"/>
      <c r="B48" s="540"/>
      <c r="C48" s="539"/>
      <c r="D48" s="539"/>
    </row>
    <row r="49" spans="1:4" s="515" customFormat="1" ht="13">
      <c r="A49" s="541" t="s">
        <v>902</v>
      </c>
      <c r="B49" s="542">
        <f>B9-B47</f>
        <v>74551.069132628822</v>
      </c>
      <c r="C49" s="543"/>
      <c r="D49" s="543"/>
    </row>
    <row r="50" spans="1:4" s="515" customFormat="1" ht="13">
      <c r="A50" s="544" t="s">
        <v>984</v>
      </c>
      <c r="B50" s="545">
        <f t="shared" ref="B50" si="1">IFERROR(B49/B$9,0)</f>
        <v>0.31810350451810576</v>
      </c>
      <c r="C50" s="546"/>
      <c r="D50" s="546"/>
    </row>
    <row r="51" spans="1:4" s="547" customFormat="1" ht="13">
      <c r="B51" s="548"/>
      <c r="C51" s="549"/>
      <c r="D51" s="549"/>
    </row>
    <row r="52" spans="1:4" s="515" customFormat="1" ht="13">
      <c r="A52" s="515" t="s">
        <v>985</v>
      </c>
      <c r="B52" s="523">
        <v>0</v>
      </c>
      <c r="C52" s="550"/>
      <c r="D52" s="550"/>
    </row>
    <row r="53" spans="1:4" s="515" customFormat="1" ht="13">
      <c r="B53" s="523"/>
      <c r="C53" s="550"/>
      <c r="D53" s="550"/>
    </row>
    <row r="54" spans="1:4" s="515" customFormat="1" ht="13">
      <c r="A54" s="515" t="s">
        <v>986</v>
      </c>
      <c r="B54" s="527"/>
      <c r="C54" s="551"/>
      <c r="D54" s="551"/>
    </row>
    <row r="55" spans="1:4" s="515" customFormat="1" ht="13">
      <c r="A55" s="515" t="s">
        <v>96</v>
      </c>
      <c r="B55" s="527">
        <v>1000</v>
      </c>
      <c r="C55" s="551"/>
      <c r="D55" s="551"/>
    </row>
    <row r="56" spans="1:4" s="515" customFormat="1" ht="13">
      <c r="A56" s="515" t="s">
        <v>405</v>
      </c>
      <c r="B56" s="527">
        <v>955</v>
      </c>
      <c r="C56" s="551"/>
      <c r="D56" s="551"/>
    </row>
    <row r="57" spans="1:4" s="515" customFormat="1" ht="13">
      <c r="A57" s="515" t="s">
        <v>99</v>
      </c>
      <c r="B57" s="527">
        <v>320</v>
      </c>
      <c r="C57" s="551"/>
      <c r="D57" s="551"/>
    </row>
    <row r="58" spans="1:4" s="515" customFormat="1" ht="13">
      <c r="A58" s="516" t="s">
        <v>104</v>
      </c>
      <c r="B58" s="527">
        <f>SUM(B55:B57)</f>
        <v>2275</v>
      </c>
      <c r="C58" s="551"/>
      <c r="D58" s="551"/>
    </row>
    <row r="59" spans="1:4" s="515" customFormat="1" ht="13">
      <c r="A59" s="515" t="s">
        <v>106</v>
      </c>
      <c r="B59" s="527">
        <v>1620</v>
      </c>
      <c r="C59" s="551"/>
      <c r="D59" s="551"/>
    </row>
    <row r="60" spans="1:4" s="515" customFormat="1" ht="13">
      <c r="A60" s="515" t="s">
        <v>989</v>
      </c>
      <c r="B60" s="527">
        <v>2240</v>
      </c>
      <c r="C60" s="551"/>
      <c r="D60" s="551"/>
    </row>
    <row r="61" spans="1:4" s="515" customFormat="1" ht="13">
      <c r="A61" s="516" t="s">
        <v>14</v>
      </c>
      <c r="B61" s="552">
        <f>B60+B58+B59</f>
        <v>6135</v>
      </c>
      <c r="C61" s="551"/>
      <c r="D61" s="551"/>
    </row>
    <row r="62" spans="1:4" s="532" customFormat="1" ht="13">
      <c r="B62" s="529"/>
      <c r="C62" s="537"/>
      <c r="D62" s="537"/>
    </row>
    <row r="63" spans="1:4" s="532" customFormat="1" ht="13">
      <c r="A63" s="525" t="s">
        <v>991</v>
      </c>
      <c r="B63" s="526">
        <f>SUM(B61:B61)</f>
        <v>6135</v>
      </c>
      <c r="C63" s="543"/>
      <c r="D63" s="543"/>
    </row>
    <row r="64" spans="1:4" s="532" customFormat="1" ht="13">
      <c r="A64" s="516"/>
      <c r="B64" s="529"/>
      <c r="C64" s="537"/>
      <c r="D64" s="537"/>
    </row>
    <row r="65" spans="1:4" s="515" customFormat="1" ht="13">
      <c r="A65" s="516" t="s">
        <v>15</v>
      </c>
      <c r="B65" s="577"/>
      <c r="C65" s="537"/>
      <c r="D65" s="537"/>
    </row>
    <row r="66" spans="1:4" s="515" customFormat="1" ht="13">
      <c r="A66" s="553" t="s">
        <v>992</v>
      </c>
      <c r="B66" s="577">
        <v>9945</v>
      </c>
      <c r="C66" s="571"/>
      <c r="D66" s="537"/>
    </row>
    <row r="67" spans="1:4" s="515" customFormat="1" ht="13">
      <c r="A67" s="553" t="s">
        <v>993</v>
      </c>
      <c r="B67" s="577">
        <v>17154.84</v>
      </c>
      <c r="C67" s="571"/>
      <c r="D67" s="537"/>
    </row>
    <row r="68" spans="1:4" s="515" customFormat="1" ht="13">
      <c r="A68" s="516" t="s">
        <v>16</v>
      </c>
      <c r="B68" s="578">
        <f>SUM(B66:B67)</f>
        <v>27099.84</v>
      </c>
      <c r="C68" s="537"/>
      <c r="D68" s="537"/>
    </row>
    <row r="69" spans="1:4" s="515" customFormat="1" ht="13">
      <c r="A69" s="515" t="s">
        <v>146</v>
      </c>
      <c r="B69" s="529">
        <v>1437</v>
      </c>
      <c r="C69" s="537"/>
      <c r="D69" s="537"/>
    </row>
    <row r="70" spans="1:4" s="515" customFormat="1" ht="13">
      <c r="A70" s="515" t="s">
        <v>17</v>
      </c>
      <c r="B70" s="529">
        <v>455</v>
      </c>
      <c r="C70" s="537"/>
      <c r="D70" s="537"/>
    </row>
    <row r="71" spans="1:4" s="515" customFormat="1" ht="13">
      <c r="A71" s="515" t="s">
        <v>995</v>
      </c>
      <c r="B71" s="529">
        <v>5513</v>
      </c>
      <c r="C71" s="537"/>
      <c r="D71" s="537"/>
    </row>
    <row r="72" spans="1:4" s="515" customFormat="1" ht="13">
      <c r="A72" s="515" t="s">
        <v>139</v>
      </c>
      <c r="B72" s="529">
        <v>660</v>
      </c>
      <c r="C72" s="537"/>
      <c r="D72" s="537"/>
    </row>
    <row r="73" spans="1:4" s="515" customFormat="1" ht="13">
      <c r="A73" s="515" t="s">
        <v>140</v>
      </c>
      <c r="B73" s="529">
        <v>500</v>
      </c>
      <c r="C73" s="537"/>
      <c r="D73" s="537"/>
    </row>
    <row r="74" spans="1:4" s="515" customFormat="1" ht="13">
      <c r="A74" s="515" t="s">
        <v>141</v>
      </c>
      <c r="B74" s="529">
        <v>900</v>
      </c>
      <c r="C74" s="537"/>
      <c r="D74" s="537"/>
    </row>
    <row r="75" spans="1:4" s="515" customFormat="1" ht="13">
      <c r="A75" s="516" t="s">
        <v>18</v>
      </c>
      <c r="B75" s="536">
        <f>SUM(B71:B74)</f>
        <v>7573</v>
      </c>
      <c r="C75" s="537"/>
      <c r="D75" s="537"/>
    </row>
    <row r="76" spans="1:4" s="515" customFormat="1" ht="13">
      <c r="A76" s="515" t="s">
        <v>114</v>
      </c>
      <c r="B76" s="529"/>
      <c r="C76" s="537"/>
      <c r="D76" s="537"/>
    </row>
    <row r="77" spans="1:4" s="515" customFormat="1" ht="13">
      <c r="A77" s="515" t="s">
        <v>214</v>
      </c>
      <c r="B77" s="529"/>
      <c r="C77" s="537"/>
      <c r="D77" s="537"/>
    </row>
    <row r="78" spans="1:4" s="515" customFormat="1" ht="13">
      <c r="A78" s="515" t="s">
        <v>116</v>
      </c>
      <c r="B78" s="529"/>
      <c r="C78" s="537"/>
      <c r="D78" s="537"/>
    </row>
    <row r="79" spans="1:4" s="515" customFormat="1" ht="13">
      <c r="A79" s="515" t="s">
        <v>117</v>
      </c>
      <c r="B79" s="529"/>
      <c r="C79" s="537"/>
      <c r="D79" s="537"/>
    </row>
    <row r="80" spans="1:4" s="515" customFormat="1" ht="13">
      <c r="A80" s="515" t="s">
        <v>118</v>
      </c>
      <c r="B80" s="529"/>
      <c r="C80" s="537"/>
      <c r="D80" s="537"/>
    </row>
    <row r="81" spans="1:4" s="515" customFormat="1" ht="13">
      <c r="A81" s="515" t="s">
        <v>119</v>
      </c>
      <c r="B81" s="529">
        <f>4848+800</f>
        <v>5648</v>
      </c>
      <c r="C81" s="537"/>
      <c r="D81" s="537"/>
    </row>
    <row r="82" spans="1:4" s="515" customFormat="1" ht="13">
      <c r="A82" s="515" t="s">
        <v>120</v>
      </c>
      <c r="B82" s="529"/>
      <c r="C82" s="537"/>
      <c r="D82" s="537"/>
    </row>
    <row r="83" spans="1:4" s="515" customFormat="1" ht="13">
      <c r="A83" s="515" t="s">
        <v>123</v>
      </c>
      <c r="B83" s="529"/>
      <c r="C83" s="537"/>
      <c r="D83" s="537"/>
    </row>
    <row r="84" spans="1:4" s="515" customFormat="1" ht="13">
      <c r="A84" s="515" t="s">
        <v>128</v>
      </c>
      <c r="B84" s="529"/>
      <c r="C84" s="537"/>
      <c r="D84" s="537"/>
    </row>
    <row r="85" spans="1:4" s="515" customFormat="1" ht="13">
      <c r="A85" s="515" t="s">
        <v>129</v>
      </c>
      <c r="B85" s="529">
        <v>747</v>
      </c>
      <c r="C85" s="537"/>
      <c r="D85" s="537"/>
    </row>
    <row r="86" spans="1:4" s="515" customFormat="1" ht="13">
      <c r="A86" s="515" t="s">
        <v>124</v>
      </c>
      <c r="B86" s="529"/>
      <c r="C86" s="537"/>
      <c r="D86" s="537"/>
    </row>
    <row r="87" spans="1:4" s="515" customFormat="1" ht="13">
      <c r="A87" s="515" t="s">
        <v>135</v>
      </c>
      <c r="B87" s="529"/>
      <c r="C87" s="537"/>
      <c r="D87" s="537"/>
    </row>
    <row r="88" spans="1:4" s="515" customFormat="1" ht="13">
      <c r="A88" s="515" t="s">
        <v>137</v>
      </c>
      <c r="B88" s="529">
        <v>575</v>
      </c>
      <c r="C88" s="537"/>
      <c r="D88" s="537"/>
    </row>
    <row r="89" spans="1:4" s="515" customFormat="1" ht="13">
      <c r="A89" s="515" t="s">
        <v>546</v>
      </c>
      <c r="C89" s="537"/>
      <c r="D89" s="537"/>
    </row>
    <row r="90" spans="1:4" s="515" customFormat="1" ht="13">
      <c r="A90" s="515" t="s">
        <v>358</v>
      </c>
      <c r="B90" s="529">
        <v>2000</v>
      </c>
      <c r="C90" s="537"/>
      <c r="D90" s="537"/>
    </row>
    <row r="91" spans="1:4" s="515" customFormat="1" ht="13">
      <c r="A91" s="515" t="s">
        <v>127</v>
      </c>
      <c r="B91" s="529"/>
      <c r="C91" s="537"/>
      <c r="D91" s="537"/>
    </row>
    <row r="92" spans="1:4" s="515" customFormat="1" ht="13">
      <c r="A92" s="515" t="s">
        <v>614</v>
      </c>
      <c r="B92" s="536">
        <f>SUM(B76:B91)</f>
        <v>8970</v>
      </c>
      <c r="C92" s="537"/>
      <c r="D92" s="537"/>
    </row>
    <row r="93" spans="1:4" s="515" customFormat="1" ht="13">
      <c r="B93" s="523"/>
      <c r="C93" s="550"/>
      <c r="D93" s="550"/>
    </row>
    <row r="94" spans="1:4" s="515" customFormat="1" ht="13">
      <c r="A94" s="555" t="s">
        <v>1001</v>
      </c>
      <c r="B94" s="556">
        <f>B92+B75+B70+B69+B68+B63</f>
        <v>51669.84</v>
      </c>
      <c r="C94" s="557"/>
      <c r="D94" s="557"/>
    </row>
    <row r="95" spans="1:4" s="515" customFormat="1" ht="13">
      <c r="B95" s="523"/>
      <c r="C95" s="550"/>
      <c r="D95" s="550"/>
    </row>
    <row r="96" spans="1:4" s="515" customFormat="1" ht="13">
      <c r="A96" s="541" t="s">
        <v>21</v>
      </c>
      <c r="B96" s="542">
        <f>B49+B52-B94</f>
        <v>22881.229132628825</v>
      </c>
      <c r="C96" s="543"/>
      <c r="D96" s="543"/>
    </row>
    <row r="97" spans="1:4" s="559" customFormat="1" ht="13">
      <c r="A97" s="558" t="s">
        <v>1002</v>
      </c>
      <c r="B97" s="545">
        <f t="shared" ref="B97" si="2">IFERROR(B96/B$9,0)</f>
        <v>9.7632391586794515E-2</v>
      </c>
      <c r="C97" s="546"/>
      <c r="D97" s="546"/>
    </row>
    <row r="98" spans="1:4" s="559" customFormat="1" ht="13">
      <c r="A98" s="560"/>
      <c r="B98" s="536"/>
      <c r="C98" s="543"/>
      <c r="D98" s="543"/>
    </row>
    <row r="99" spans="1:4">
      <c r="A99" s="561" t="s">
        <v>1003</v>
      </c>
      <c r="B99" s="562">
        <f>B9-B96</f>
        <v>211479.81396737116</v>
      </c>
      <c r="C99" s="563"/>
      <c r="D99" s="563"/>
    </row>
    <row r="100" spans="1:4">
      <c r="A100" s="564"/>
    </row>
    <row r="101" spans="1:4">
      <c r="A101" s="564"/>
    </row>
    <row r="102" spans="1:4">
      <c r="A102" s="564"/>
    </row>
    <row r="103" spans="1:4">
      <c r="A103" s="564"/>
    </row>
    <row r="104" spans="1:4">
      <c r="A104" s="564"/>
    </row>
    <row r="105" spans="1:4">
      <c r="A105" s="564"/>
    </row>
    <row r="106" spans="1:4">
      <c r="A106" s="564"/>
    </row>
    <row r="107" spans="1:4">
      <c r="A107" s="564"/>
    </row>
    <row r="108" spans="1:4">
      <c r="A108" s="564"/>
    </row>
    <row r="109" spans="1:4">
      <c r="A109" s="564"/>
    </row>
    <row r="110" spans="1:4">
      <c r="A110" s="564"/>
    </row>
    <row r="111" spans="1:4">
      <c r="A111" s="564"/>
    </row>
    <row r="112" spans="1:4">
      <c r="A112" s="564"/>
    </row>
    <row r="113" spans="1:1">
      <c r="A113" s="564"/>
    </row>
    <row r="114" spans="1:1">
      <c r="A114" s="564"/>
    </row>
    <row r="115" spans="1:1">
      <c r="A115" s="564"/>
    </row>
    <row r="116" spans="1:1">
      <c r="A116" s="564"/>
    </row>
    <row r="117" spans="1:1">
      <c r="A117" s="564"/>
    </row>
    <row r="118" spans="1:1">
      <c r="A118" s="568"/>
    </row>
    <row r="119" spans="1:1">
      <c r="A119" s="568"/>
    </row>
    <row r="120" spans="1:1">
      <c r="A120" s="564"/>
    </row>
    <row r="121" spans="1:1">
      <c r="A121" s="564"/>
    </row>
    <row r="122" spans="1:1">
      <c r="A122" s="564"/>
    </row>
    <row r="123" spans="1:1">
      <c r="A123" s="568"/>
    </row>
    <row r="124" spans="1:1">
      <c r="A124" s="564"/>
    </row>
    <row r="125" spans="1:1">
      <c r="A125" s="564"/>
    </row>
    <row r="126" spans="1:1">
      <c r="A126" s="564"/>
    </row>
    <row r="127" spans="1:1">
      <c r="A127" s="564"/>
    </row>
    <row r="128" spans="1:1">
      <c r="A128" s="564"/>
    </row>
    <row r="129" spans="1:1">
      <c r="A129" s="564"/>
    </row>
    <row r="130" spans="1:1">
      <c r="A130" s="564"/>
    </row>
    <row r="131" spans="1:1">
      <c r="A131" s="564"/>
    </row>
    <row r="132" spans="1:1">
      <c r="A132" s="568"/>
    </row>
    <row r="133" spans="1:1">
      <c r="A133" s="564"/>
    </row>
    <row r="134" spans="1:1">
      <c r="A134" s="569"/>
    </row>
  </sheetData>
  <conditionalFormatting sqref="B6:C88 C89 B90:C90 B91:D98">
    <cfRule type="expression" dxfId="22" priority="1">
      <formula>B$3="Actuals"</formula>
    </cfRule>
  </conditionalFormatting>
  <conditionalFormatting sqref="B5:D5 D6:D90">
    <cfRule type="expression" dxfId="21" priority="2">
      <formula>B$3="Actuals"</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40A6-9DDE-438D-AEED-DD72657CC42A}">
  <dimension ref="A1:Z111"/>
  <sheetViews>
    <sheetView showGridLines="0" zoomScale="90" zoomScaleNormal="80" workbookViewId="0">
      <pane xSplit="1" ySplit="4" topLeftCell="H5" activePane="bottomRight" state="frozen"/>
      <selection pane="topRight" activeCell="B25" sqref="B25"/>
      <selection pane="bottomLeft" activeCell="B25" sqref="B25"/>
      <selection pane="bottomRight" activeCell="H29" sqref="H29"/>
    </sheetView>
  </sheetViews>
  <sheetFormatPr defaultColWidth="8.6640625" defaultRowHeight="15.5" outlineLevelRow="1"/>
  <cols>
    <col min="1" max="1" width="29.75" style="353" customWidth="1"/>
    <col min="2" max="7" width="11.4140625" style="121" hidden="1" customWidth="1"/>
    <col min="8" max="10" width="11.4140625" style="121" customWidth="1"/>
    <col min="11" max="13" width="12.4140625" style="121" bestFit="1" customWidth="1"/>
    <col min="14" max="14" width="12.33203125" style="121" customWidth="1"/>
    <col min="15" max="15" width="11.75" style="353" bestFit="1" customWidth="1"/>
    <col min="16" max="16" width="13.5" style="353" bestFit="1" customWidth="1"/>
    <col min="17" max="17" width="12.33203125" style="121" customWidth="1"/>
    <col min="18" max="18" width="4.58203125" style="403" bestFit="1" customWidth="1"/>
    <col min="19" max="19" width="12.33203125" style="121" customWidth="1"/>
    <col min="20" max="20" width="4.58203125" style="403" bestFit="1" customWidth="1"/>
    <col min="21" max="22" width="12.33203125" style="121" customWidth="1"/>
    <col min="23" max="16384" width="8.6640625" style="353"/>
  </cols>
  <sheetData>
    <row r="1" spans="1:22" s="349" customFormat="1" ht="21">
      <c r="A1" s="347" t="s">
        <v>853</v>
      </c>
      <c r="B1" s="348"/>
      <c r="C1" s="348"/>
      <c r="D1" s="348"/>
      <c r="E1" s="348"/>
      <c r="F1" s="348"/>
      <c r="G1" s="348"/>
      <c r="H1" s="348"/>
      <c r="I1" s="348"/>
      <c r="J1" s="348"/>
      <c r="K1" s="348"/>
      <c r="L1" s="348"/>
      <c r="M1" s="348"/>
      <c r="N1" s="348"/>
      <c r="Q1" s="348"/>
      <c r="R1" s="350"/>
      <c r="S1" s="348"/>
      <c r="T1" s="350"/>
      <c r="U1" s="348"/>
      <c r="V1" s="348"/>
    </row>
    <row r="2" spans="1:22" ht="21">
      <c r="A2" s="351" t="s">
        <v>854</v>
      </c>
      <c r="B2" s="352"/>
      <c r="C2" s="352"/>
      <c r="D2" s="352"/>
      <c r="E2" s="352"/>
      <c r="F2" s="352"/>
      <c r="G2" s="352"/>
      <c r="H2" s="352"/>
      <c r="I2" s="352"/>
      <c r="J2" s="352"/>
      <c r="K2" s="352"/>
      <c r="L2" s="352"/>
      <c r="M2" s="352"/>
      <c r="N2" s="352"/>
      <c r="Q2" s="352"/>
      <c r="R2" s="354"/>
      <c r="S2" s="352"/>
      <c r="T2" s="354"/>
      <c r="U2" s="352"/>
      <c r="V2" s="352"/>
    </row>
    <row r="3" spans="1:22" s="358" customFormat="1" ht="13">
      <c r="A3" s="355" t="s">
        <v>855</v>
      </c>
      <c r="B3" s="356">
        <v>87</v>
      </c>
      <c r="C3" s="356">
        <v>87</v>
      </c>
      <c r="D3" s="356">
        <v>87</v>
      </c>
      <c r="E3" s="356">
        <v>87</v>
      </c>
      <c r="F3" s="356">
        <v>87</v>
      </c>
      <c r="G3" s="356">
        <v>87</v>
      </c>
      <c r="H3" s="356">
        <v>87</v>
      </c>
      <c r="I3" s="356">
        <v>87</v>
      </c>
      <c r="J3" s="356">
        <v>87</v>
      </c>
      <c r="K3" s="356">
        <v>87</v>
      </c>
      <c r="L3" s="356">
        <v>87</v>
      </c>
      <c r="M3" s="356">
        <v>87</v>
      </c>
      <c r="N3" s="357"/>
      <c r="Q3" s="357"/>
      <c r="R3" s="359"/>
      <c r="S3" s="357"/>
      <c r="T3" s="359"/>
      <c r="U3" s="357"/>
      <c r="V3" s="357"/>
    </row>
    <row r="4" spans="1:22" s="361" customFormat="1" ht="31">
      <c r="A4" s="360" t="s">
        <v>0</v>
      </c>
      <c r="B4" s="360">
        <v>46023</v>
      </c>
      <c r="C4" s="360">
        <v>46054</v>
      </c>
      <c r="D4" s="360">
        <v>46082</v>
      </c>
      <c r="E4" s="360">
        <v>46113</v>
      </c>
      <c r="F4" s="360">
        <v>46143</v>
      </c>
      <c r="G4" s="360">
        <v>46174</v>
      </c>
      <c r="H4" s="360">
        <v>46204</v>
      </c>
      <c r="I4" s="360">
        <v>46235</v>
      </c>
      <c r="J4" s="360">
        <v>46266</v>
      </c>
      <c r="K4" s="360">
        <v>46296</v>
      </c>
      <c r="L4" s="360">
        <v>46327</v>
      </c>
      <c r="M4" s="360">
        <v>46357</v>
      </c>
      <c r="N4" s="360" t="s">
        <v>19</v>
      </c>
      <c r="Q4" s="360" t="s">
        <v>856</v>
      </c>
      <c r="R4" s="360" t="s">
        <v>857</v>
      </c>
      <c r="S4" s="360" t="s">
        <v>858</v>
      </c>
      <c r="T4" s="360" t="s">
        <v>857</v>
      </c>
      <c r="U4" s="360" t="s">
        <v>859</v>
      </c>
      <c r="V4" s="360" t="s">
        <v>860</v>
      </c>
    </row>
    <row r="5" spans="1:22" s="361" customFormat="1" outlineLevel="1">
      <c r="A5" s="362" t="s">
        <v>861</v>
      </c>
      <c r="B5" s="363"/>
      <c r="C5" s="363"/>
      <c r="D5" s="363"/>
      <c r="E5" s="363"/>
      <c r="F5" s="364"/>
      <c r="G5" s="364"/>
      <c r="H5" s="363"/>
      <c r="I5" s="364"/>
      <c r="J5" s="363"/>
      <c r="K5" s="363"/>
      <c r="L5" s="364"/>
      <c r="M5" s="363"/>
      <c r="N5" s="363"/>
      <c r="Q5" s="363"/>
      <c r="R5" s="363"/>
      <c r="S5" s="363"/>
      <c r="T5" s="363"/>
      <c r="U5" s="363"/>
      <c r="V5" s="363"/>
    </row>
    <row r="6" spans="1:22" s="361" customFormat="1" outlineLevel="1">
      <c r="A6" s="362" t="s">
        <v>28</v>
      </c>
      <c r="B6" s="364">
        <v>225414.12</v>
      </c>
      <c r="C6" s="364">
        <v>238765.5</v>
      </c>
      <c r="D6" s="364">
        <v>239597.86</v>
      </c>
      <c r="E6" s="364">
        <v>203603.86</v>
      </c>
      <c r="F6" s="364">
        <v>212815.5</v>
      </c>
      <c r="G6" s="364">
        <v>215403.86</v>
      </c>
      <c r="H6" s="364">
        <v>215753.86</v>
      </c>
      <c r="I6" s="364">
        <v>246487.7</v>
      </c>
      <c r="J6" s="364">
        <v>250487.7</v>
      </c>
      <c r="K6" s="364">
        <v>252153.86</v>
      </c>
      <c r="L6" s="364">
        <v>253119.5</v>
      </c>
      <c r="M6" s="364">
        <v>256153.86</v>
      </c>
      <c r="N6" s="364">
        <f t="shared" ref="N6:N11" si="0">SUM(B6:M6)</f>
        <v>2809757.1799999992</v>
      </c>
      <c r="O6" s="365">
        <f>N6/140000</f>
        <v>20.069694142857138</v>
      </c>
      <c r="P6" s="365"/>
      <c r="Q6" s="364">
        <v>2116756.58</v>
      </c>
      <c r="R6" s="364"/>
      <c r="S6" s="364">
        <v>1186417.5207460001</v>
      </c>
      <c r="T6" s="364"/>
      <c r="U6" s="364"/>
      <c r="V6" s="364"/>
    </row>
    <row r="7" spans="1:22" outlineLevel="1">
      <c r="A7" s="366" t="s">
        <v>862</v>
      </c>
      <c r="B7" s="367">
        <v>107468.667780376</v>
      </c>
      <c r="C7" s="367">
        <v>107468.667780376</v>
      </c>
      <c r="D7" s="367">
        <v>97886.4715342852</v>
      </c>
      <c r="E7" s="367">
        <v>97886.4715342852</v>
      </c>
      <c r="F7" s="367">
        <v>102053.98270291201</v>
      </c>
      <c r="G7" s="367">
        <v>102053.98270291201</v>
      </c>
      <c r="H7" s="367">
        <v>102053.98270291201</v>
      </c>
      <c r="I7" s="367">
        <v>102053.98270291201</v>
      </c>
      <c r="J7" s="367">
        <v>102053.98270291201</v>
      </c>
      <c r="K7" s="367">
        <v>112770.439993666</v>
      </c>
      <c r="L7" s="367">
        <v>112770.439993666</v>
      </c>
      <c r="M7" s="367">
        <v>112770.439993666</v>
      </c>
      <c r="N7" s="367">
        <f t="shared" si="0"/>
        <v>1259291.5121248807</v>
      </c>
      <c r="Q7" s="367">
        <v>836770.97867469897</v>
      </c>
      <c r="R7" s="368">
        <v>0.39530807962562198</v>
      </c>
      <c r="S7" s="367">
        <v>524458.72532039694</v>
      </c>
      <c r="T7" s="369"/>
      <c r="U7" s="367"/>
      <c r="V7" s="367"/>
    </row>
    <row r="8" spans="1:22" outlineLevel="1">
      <c r="A8" s="366" t="s">
        <v>863</v>
      </c>
      <c r="B8" s="367">
        <v>15550.9320689655</v>
      </c>
      <c r="C8" s="367">
        <v>15550.9320689655</v>
      </c>
      <c r="D8" s="367">
        <v>15550.9320689655</v>
      </c>
      <c r="E8" s="367">
        <v>15550.9320689655</v>
      </c>
      <c r="F8" s="367">
        <v>15550.9320689655</v>
      </c>
      <c r="G8" s="367">
        <v>15550.9320689655</v>
      </c>
      <c r="H8" s="367">
        <v>16016.115977011499</v>
      </c>
      <c r="I8" s="367">
        <v>16016.115977011499</v>
      </c>
      <c r="J8" s="367">
        <v>16016.115977011499</v>
      </c>
      <c r="K8" s="367">
        <v>16016.115977011499</v>
      </c>
      <c r="L8" s="367">
        <v>16016.115977011499</v>
      </c>
      <c r="M8" s="367">
        <v>16016.115977011499</v>
      </c>
      <c r="N8" s="367">
        <f t="shared" si="0"/>
        <v>189402.28827586203</v>
      </c>
      <c r="Q8" s="367">
        <v>109080.052048193</v>
      </c>
      <c r="R8" s="368">
        <v>5.1531693855980699E-2</v>
      </c>
      <c r="S8" s="367">
        <v>101610.985662651</v>
      </c>
      <c r="T8" s="369"/>
      <c r="U8" s="367"/>
      <c r="V8" s="367"/>
    </row>
    <row r="9" spans="1:22" outlineLevel="1">
      <c r="A9" s="366" t="s">
        <v>864</v>
      </c>
      <c r="B9" s="367">
        <v>2306.9503452373601</v>
      </c>
      <c r="C9" s="367">
        <v>2306.9503452373601</v>
      </c>
      <c r="D9" s="367">
        <v>1416.30651340996</v>
      </c>
      <c r="E9" s="367">
        <v>1416.30651340996</v>
      </c>
      <c r="F9" s="367">
        <v>1416.30651340996</v>
      </c>
      <c r="G9" s="367">
        <v>1773.7777777777801</v>
      </c>
      <c r="H9" s="367">
        <v>1773.7777777777801</v>
      </c>
      <c r="I9" s="367">
        <v>1773.7777777777801</v>
      </c>
      <c r="J9" s="367">
        <v>1773.7777777777801</v>
      </c>
      <c r="K9" s="367">
        <v>1773.7777777777801</v>
      </c>
      <c r="L9" s="367">
        <v>1773.7777777777801</v>
      </c>
      <c r="M9" s="367">
        <v>1773.7777777777801</v>
      </c>
      <c r="N9" s="367">
        <f t="shared" si="0"/>
        <v>21279.264675149065</v>
      </c>
      <c r="Q9" s="367">
        <v>38074.979397590403</v>
      </c>
      <c r="R9" s="368">
        <v>1.7987415160221398E-2</v>
      </c>
      <c r="S9" s="367">
        <v>23641.274300944799</v>
      </c>
      <c r="T9" s="369"/>
      <c r="U9" s="367"/>
      <c r="V9" s="367"/>
    </row>
    <row r="10" spans="1:22" outlineLevel="1">
      <c r="A10" s="366" t="s">
        <v>8</v>
      </c>
      <c r="B10" s="367">
        <v>3034.4827586206902</v>
      </c>
      <c r="C10" s="367">
        <v>3034.4827586206902</v>
      </c>
      <c r="D10" s="367">
        <v>3034.4827586206902</v>
      </c>
      <c r="E10" s="367">
        <v>3034.4827586206902</v>
      </c>
      <c r="F10" s="367">
        <v>3944.8275862068999</v>
      </c>
      <c r="G10" s="367">
        <v>3944.8275862068999</v>
      </c>
      <c r="H10" s="367">
        <v>3944.8275862068999</v>
      </c>
      <c r="I10" s="367">
        <v>4691.9540229885097</v>
      </c>
      <c r="J10" s="367">
        <v>4691.9540229885097</v>
      </c>
      <c r="K10" s="367">
        <v>4691.9540229885097</v>
      </c>
      <c r="L10" s="367">
        <v>4691.9540229885097</v>
      </c>
      <c r="M10" s="367">
        <v>4691.9540229885097</v>
      </c>
      <c r="N10" s="367">
        <f t="shared" si="0"/>
        <v>47432.183908046012</v>
      </c>
      <c r="Q10" s="367">
        <v>29439.3373493976</v>
      </c>
      <c r="R10" s="368">
        <v>1.3907757570026101E-2</v>
      </c>
      <c r="S10" s="367">
        <v>30109.9397590361</v>
      </c>
      <c r="T10" s="369"/>
      <c r="U10" s="367"/>
      <c r="V10" s="367"/>
    </row>
    <row r="11" spans="1:22" outlineLevel="1">
      <c r="A11" s="366" t="s">
        <v>865</v>
      </c>
      <c r="B11" s="367">
        <v>7044.2228607918296</v>
      </c>
      <c r="C11" s="367">
        <v>7044.2228607918296</v>
      </c>
      <c r="D11" s="367">
        <v>7044.2228607918296</v>
      </c>
      <c r="E11" s="367">
        <v>7044.2228607918296</v>
      </c>
      <c r="F11" s="367">
        <v>7044.2228607918296</v>
      </c>
      <c r="G11" s="367">
        <v>7044.2228607918296</v>
      </c>
      <c r="H11" s="367">
        <v>7044.2228607918296</v>
      </c>
      <c r="I11" s="367">
        <v>7044.2228607918296</v>
      </c>
      <c r="J11" s="367">
        <v>7044.2228607918296</v>
      </c>
      <c r="K11" s="367">
        <v>7044.2228607918296</v>
      </c>
      <c r="L11" s="367">
        <v>7044.2228607918296</v>
      </c>
      <c r="M11" s="367">
        <v>7044.2228607918296</v>
      </c>
      <c r="N11" s="367">
        <f t="shared" si="0"/>
        <v>84530.674329501955</v>
      </c>
      <c r="Q11" s="367">
        <v>193079.67481927699</v>
      </c>
      <c r="R11" s="368">
        <v>9.1214869316375097E-2</v>
      </c>
      <c r="S11" s="367">
        <v>1749.22423506978</v>
      </c>
      <c r="T11" s="369"/>
      <c r="U11" s="367"/>
      <c r="V11" s="367"/>
    </row>
    <row r="12" spans="1:22" s="371" customFormat="1" outlineLevel="1">
      <c r="A12" s="362" t="s">
        <v>866</v>
      </c>
      <c r="B12" s="370">
        <f t="shared" ref="B12:N12" si="1">SUM(B7:B11)</f>
        <v>135405.25581399139</v>
      </c>
      <c r="C12" s="370">
        <f t="shared" si="1"/>
        <v>135405.25581399139</v>
      </c>
      <c r="D12" s="370">
        <f t="shared" si="1"/>
        <v>124932.41573607319</v>
      </c>
      <c r="E12" s="370">
        <f t="shared" si="1"/>
        <v>124932.41573607319</v>
      </c>
      <c r="F12" s="370">
        <f t="shared" si="1"/>
        <v>130010.2717322862</v>
      </c>
      <c r="G12" s="370">
        <f t="shared" si="1"/>
        <v>130367.74299665401</v>
      </c>
      <c r="H12" s="370">
        <f t="shared" si="1"/>
        <v>130832.92690470003</v>
      </c>
      <c r="I12" s="370">
        <f t="shared" si="1"/>
        <v>131580.05334148163</v>
      </c>
      <c r="J12" s="370">
        <f t="shared" si="1"/>
        <v>131580.05334148163</v>
      </c>
      <c r="K12" s="370">
        <f t="shared" si="1"/>
        <v>142296.51063223564</v>
      </c>
      <c r="L12" s="370">
        <f t="shared" si="1"/>
        <v>142296.51063223564</v>
      </c>
      <c r="M12" s="370">
        <f t="shared" si="1"/>
        <v>142296.51063223564</v>
      </c>
      <c r="N12" s="370">
        <f t="shared" si="1"/>
        <v>1601935.9233134398</v>
      </c>
      <c r="Q12" s="370">
        <v>1206445.0222891599</v>
      </c>
      <c r="R12" s="372"/>
      <c r="S12" s="370">
        <v>681570.14927809895</v>
      </c>
      <c r="T12" s="372"/>
      <c r="U12" s="370"/>
      <c r="V12" s="370"/>
    </row>
    <row r="13" spans="1:22" s="371" customFormat="1" outlineLevel="1">
      <c r="A13" s="362" t="s">
        <v>582</v>
      </c>
      <c r="B13" s="373">
        <f t="shared" ref="B13:N13" si="2">B6-B12</f>
        <v>90008.864186008606</v>
      </c>
      <c r="C13" s="373">
        <f t="shared" si="2"/>
        <v>103360.24418600861</v>
      </c>
      <c r="D13" s="373">
        <f t="shared" si="2"/>
        <v>114665.44426392679</v>
      </c>
      <c r="E13" s="373">
        <f t="shared" si="2"/>
        <v>78671.444263926795</v>
      </c>
      <c r="F13" s="373">
        <f t="shared" si="2"/>
        <v>82805.228267713799</v>
      </c>
      <c r="G13" s="373">
        <f t="shared" si="2"/>
        <v>85036.117003345978</v>
      </c>
      <c r="H13" s="373">
        <f t="shared" si="2"/>
        <v>84920.933095299959</v>
      </c>
      <c r="I13" s="373">
        <f t="shared" si="2"/>
        <v>114907.64665851838</v>
      </c>
      <c r="J13" s="373">
        <f t="shared" si="2"/>
        <v>118907.64665851838</v>
      </c>
      <c r="K13" s="373">
        <f t="shared" si="2"/>
        <v>109857.34936776434</v>
      </c>
      <c r="L13" s="373">
        <f t="shared" si="2"/>
        <v>110822.98936776436</v>
      </c>
      <c r="M13" s="373">
        <f t="shared" si="2"/>
        <v>113857.34936776434</v>
      </c>
      <c r="N13" s="373">
        <f t="shared" si="2"/>
        <v>1207821.2566865594</v>
      </c>
      <c r="Q13" s="373">
        <v>910311.55771084304</v>
      </c>
      <c r="R13" s="374"/>
      <c r="S13" s="373">
        <v>504847.37146790099</v>
      </c>
      <c r="T13" s="374"/>
      <c r="U13" s="373"/>
      <c r="V13" s="373"/>
    </row>
    <row r="14" spans="1:22" s="371" customFormat="1" outlineLevel="1">
      <c r="A14" s="362" t="s">
        <v>12</v>
      </c>
      <c r="B14" s="375">
        <f t="shared" ref="B14:N14" si="3">B13/B6</f>
        <v>0.39930446320757818</v>
      </c>
      <c r="C14" s="375">
        <f t="shared" si="3"/>
        <v>0.43289438459915108</v>
      </c>
      <c r="D14" s="375">
        <f t="shared" si="3"/>
        <v>0.47857457601635839</v>
      </c>
      <c r="E14" s="375">
        <f t="shared" si="3"/>
        <v>0.38639466002229428</v>
      </c>
      <c r="F14" s="375">
        <f t="shared" si="3"/>
        <v>0.38909397232679854</v>
      </c>
      <c r="G14" s="375">
        <f t="shared" si="3"/>
        <v>0.39477527005944085</v>
      </c>
      <c r="H14" s="375">
        <f t="shared" si="3"/>
        <v>0.39360099094078765</v>
      </c>
      <c r="I14" s="375">
        <f t="shared" si="3"/>
        <v>0.46618004329838114</v>
      </c>
      <c r="J14" s="375">
        <f t="shared" si="3"/>
        <v>0.47470453303103655</v>
      </c>
      <c r="K14" s="375">
        <f t="shared" si="3"/>
        <v>0.43567585825481453</v>
      </c>
      <c r="L14" s="375">
        <f t="shared" si="3"/>
        <v>0.43782873057099259</v>
      </c>
      <c r="M14" s="375">
        <f t="shared" si="3"/>
        <v>0.44448812665858067</v>
      </c>
      <c r="N14" s="375">
        <f t="shared" si="3"/>
        <v>0.42986677471060319</v>
      </c>
      <c r="Q14" s="375">
        <v>0.43005018447177501</v>
      </c>
      <c r="R14" s="376"/>
      <c r="S14" s="375">
        <v>0.42552251854006801</v>
      </c>
      <c r="T14" s="376"/>
      <c r="U14" s="375"/>
      <c r="V14" s="375"/>
    </row>
    <row r="15" spans="1:22" s="371" customFormat="1" outlineLevel="1">
      <c r="A15" s="362"/>
      <c r="B15" s="375"/>
      <c r="C15" s="375"/>
      <c r="D15" s="375"/>
      <c r="E15" s="375"/>
      <c r="F15" s="375"/>
      <c r="G15" s="377"/>
      <c r="H15" s="375"/>
      <c r="I15" s="375"/>
      <c r="J15" s="375"/>
      <c r="K15" s="375"/>
      <c r="L15" s="375"/>
      <c r="M15" s="375"/>
      <c r="N15" s="375"/>
      <c r="Q15" s="375"/>
      <c r="R15" s="376"/>
      <c r="S15" s="375"/>
      <c r="T15" s="376"/>
      <c r="U15" s="375"/>
      <c r="V15" s="375"/>
    </row>
    <row r="16" spans="1:22" s="371" customFormat="1" outlineLevel="1">
      <c r="A16" s="362" t="s">
        <v>867</v>
      </c>
      <c r="B16" s="373"/>
      <c r="C16" s="373"/>
      <c r="D16" s="373"/>
      <c r="E16" s="373"/>
      <c r="F16" s="373"/>
      <c r="G16" s="373"/>
      <c r="H16" s="373"/>
      <c r="I16" s="373"/>
      <c r="J16" s="373"/>
      <c r="K16" s="373"/>
      <c r="L16" s="373"/>
      <c r="M16" s="373"/>
      <c r="N16" s="373"/>
      <c r="Q16" s="373"/>
      <c r="R16" s="374"/>
      <c r="S16" s="373"/>
      <c r="T16" s="374"/>
      <c r="U16" s="373"/>
      <c r="V16" s="373"/>
    </row>
    <row r="17" spans="1:22" s="361" customFormat="1" outlineLevel="1">
      <c r="A17" s="362" t="s">
        <v>28</v>
      </c>
      <c r="B17" s="364">
        <v>0</v>
      </c>
      <c r="C17" s="364">
        <v>0</v>
      </c>
      <c r="D17" s="364">
        <v>0</v>
      </c>
      <c r="E17" s="364">
        <v>0</v>
      </c>
      <c r="F17" s="364">
        <v>13800</v>
      </c>
      <c r="G17" s="364">
        <v>16800</v>
      </c>
      <c r="H17" s="364">
        <v>17150</v>
      </c>
      <c r="I17" s="364">
        <v>49550</v>
      </c>
      <c r="J17" s="364">
        <v>53550</v>
      </c>
      <c r="K17" s="364">
        <v>53550</v>
      </c>
      <c r="L17" s="364">
        <v>57550</v>
      </c>
      <c r="M17" s="364">
        <v>57550</v>
      </c>
      <c r="N17" s="364">
        <f>SUM(B17:M17)</f>
        <v>319500</v>
      </c>
      <c r="O17" s="378"/>
      <c r="P17" s="378"/>
      <c r="Q17" s="364"/>
      <c r="R17" s="364"/>
      <c r="S17" s="364">
        <v>3816468.58</v>
      </c>
      <c r="T17" s="364"/>
      <c r="U17" s="364"/>
      <c r="V17" s="364"/>
    </row>
    <row r="18" spans="1:22" outlineLevel="1">
      <c r="A18" s="366" t="s">
        <v>862</v>
      </c>
      <c r="B18" s="367"/>
      <c r="C18" s="367"/>
      <c r="D18" s="367"/>
      <c r="E18" s="367"/>
      <c r="F18" s="367"/>
      <c r="G18" s="367"/>
      <c r="H18" s="510"/>
      <c r="I18" s="510"/>
      <c r="J18" s="510"/>
      <c r="K18" s="510"/>
      <c r="L18" s="510"/>
      <c r="M18" s="510"/>
      <c r="N18" s="510"/>
      <c r="O18" s="378"/>
      <c r="P18" s="378"/>
      <c r="Q18" s="367"/>
      <c r="R18" s="369"/>
      <c r="S18" s="367">
        <v>1233644.8415570301</v>
      </c>
      <c r="T18" s="369"/>
      <c r="U18" s="367"/>
      <c r="V18" s="367"/>
    </row>
    <row r="19" spans="1:22" outlineLevel="1">
      <c r="A19" s="366" t="s">
        <v>863</v>
      </c>
      <c r="B19" s="367"/>
      <c r="C19" s="367"/>
      <c r="D19" s="367"/>
      <c r="E19" s="367"/>
      <c r="F19" s="367"/>
      <c r="G19" s="367"/>
      <c r="H19" s="510"/>
      <c r="I19" s="510"/>
      <c r="J19" s="510"/>
      <c r="K19" s="510"/>
      <c r="L19" s="510"/>
      <c r="M19" s="510"/>
      <c r="N19" s="510"/>
      <c r="Q19" s="367"/>
      <c r="R19" s="369"/>
      <c r="S19" s="367">
        <v>24883.119155685701</v>
      </c>
      <c r="T19" s="369"/>
      <c r="U19" s="367"/>
      <c r="V19" s="367"/>
    </row>
    <row r="20" spans="1:22" outlineLevel="1">
      <c r="A20" s="366" t="s">
        <v>7</v>
      </c>
      <c r="B20" s="367"/>
      <c r="C20" s="367"/>
      <c r="D20" s="367"/>
      <c r="E20" s="367"/>
      <c r="F20" s="367"/>
      <c r="G20" s="367"/>
      <c r="H20" s="510"/>
      <c r="I20" s="510"/>
      <c r="J20" s="510"/>
      <c r="K20" s="510"/>
      <c r="L20" s="510"/>
      <c r="M20" s="510"/>
      <c r="N20" s="510"/>
      <c r="Q20" s="367"/>
      <c r="R20" s="369"/>
      <c r="S20" s="367">
        <v>13156.289850199</v>
      </c>
      <c r="T20" s="369"/>
      <c r="U20" s="367"/>
      <c r="V20" s="367"/>
    </row>
    <row r="21" spans="1:22" outlineLevel="1">
      <c r="A21" s="366" t="s">
        <v>8</v>
      </c>
      <c r="B21" s="367"/>
      <c r="C21" s="367"/>
      <c r="D21" s="367"/>
      <c r="E21" s="367"/>
      <c r="F21" s="367"/>
      <c r="G21" s="367"/>
      <c r="H21" s="510"/>
      <c r="I21" s="510"/>
      <c r="J21" s="510"/>
      <c r="K21" s="510"/>
      <c r="L21" s="510"/>
      <c r="M21" s="510"/>
      <c r="N21" s="510"/>
      <c r="Q21" s="367"/>
      <c r="R21" s="369"/>
      <c r="S21" s="367">
        <v>71009.274598393604</v>
      </c>
      <c r="T21" s="369"/>
      <c r="U21" s="367"/>
      <c r="V21" s="367"/>
    </row>
    <row r="22" spans="1:22" outlineLevel="1">
      <c r="A22" s="366" t="s">
        <v>865</v>
      </c>
      <c r="B22" s="367"/>
      <c r="C22" s="367"/>
      <c r="D22" s="367"/>
      <c r="E22" s="367"/>
      <c r="F22" s="367"/>
      <c r="G22" s="367"/>
      <c r="H22" s="510"/>
      <c r="I22" s="510"/>
      <c r="J22" s="510"/>
      <c r="K22" s="510"/>
      <c r="L22" s="510"/>
      <c r="M22" s="510"/>
      <c r="N22" s="510"/>
      <c r="O22" s="353" t="s">
        <v>868</v>
      </c>
      <c r="Q22" s="367"/>
      <c r="R22" s="369"/>
      <c r="S22" s="367">
        <v>4125.2538210395496</v>
      </c>
      <c r="T22" s="369"/>
      <c r="U22" s="367"/>
      <c r="V22" s="367"/>
    </row>
    <row r="23" spans="1:22" s="371" customFormat="1" outlineLevel="1">
      <c r="A23" s="362" t="s">
        <v>866</v>
      </c>
      <c r="B23" s="370">
        <f t="shared" ref="B23:N23" si="4">SUM(B18:B22)</f>
        <v>0</v>
      </c>
      <c r="C23" s="370">
        <f t="shared" si="4"/>
        <v>0</v>
      </c>
      <c r="D23" s="370">
        <f t="shared" si="4"/>
        <v>0</v>
      </c>
      <c r="E23" s="370">
        <f t="shared" si="4"/>
        <v>0</v>
      </c>
      <c r="F23" s="370">
        <f t="shared" si="4"/>
        <v>0</v>
      </c>
      <c r="G23" s="370">
        <f t="shared" si="4"/>
        <v>0</v>
      </c>
      <c r="H23" s="511">
        <f t="shared" si="4"/>
        <v>0</v>
      </c>
      <c r="I23" s="511">
        <f t="shared" si="4"/>
        <v>0</v>
      </c>
      <c r="J23" s="511">
        <f t="shared" si="4"/>
        <v>0</v>
      </c>
      <c r="K23" s="511">
        <f t="shared" si="4"/>
        <v>0</v>
      </c>
      <c r="L23" s="511">
        <f t="shared" si="4"/>
        <v>0</v>
      </c>
      <c r="M23" s="511">
        <f t="shared" si="4"/>
        <v>0</v>
      </c>
      <c r="N23" s="511">
        <f t="shared" si="4"/>
        <v>0</v>
      </c>
      <c r="Q23" s="370"/>
      <c r="R23" s="372"/>
      <c r="S23" s="370">
        <v>1346818.7789823499</v>
      </c>
      <c r="T23" s="372"/>
      <c r="U23" s="370"/>
      <c r="V23" s="370"/>
    </row>
    <row r="24" spans="1:22" s="371" customFormat="1" outlineLevel="1">
      <c r="A24" s="362" t="s">
        <v>582</v>
      </c>
      <c r="B24" s="370">
        <f t="shared" ref="B24:M24" si="5">B17-B23</f>
        <v>0</v>
      </c>
      <c r="C24" s="370">
        <f t="shared" si="5"/>
        <v>0</v>
      </c>
      <c r="D24" s="370">
        <f t="shared" si="5"/>
        <v>0</v>
      </c>
      <c r="E24" s="370">
        <f t="shared" si="5"/>
        <v>0</v>
      </c>
      <c r="F24" s="370">
        <f t="shared" si="5"/>
        <v>13800</v>
      </c>
      <c r="G24" s="370">
        <f t="shared" si="5"/>
        <v>16800</v>
      </c>
      <c r="H24" s="370">
        <f t="shared" si="5"/>
        <v>17150</v>
      </c>
      <c r="I24" s="370">
        <f t="shared" si="5"/>
        <v>49550</v>
      </c>
      <c r="J24" s="370">
        <f t="shared" si="5"/>
        <v>53550</v>
      </c>
      <c r="K24" s="370">
        <f t="shared" si="5"/>
        <v>53550</v>
      </c>
      <c r="L24" s="370">
        <f t="shared" si="5"/>
        <v>57550</v>
      </c>
      <c r="M24" s="370">
        <f t="shared" si="5"/>
        <v>57550</v>
      </c>
      <c r="N24" s="370">
        <f>SUM(B24:M24)</f>
        <v>319500</v>
      </c>
      <c r="Q24" s="370"/>
      <c r="R24" s="372"/>
      <c r="S24" s="370">
        <v>2469649.8010176499</v>
      </c>
      <c r="T24" s="372"/>
      <c r="U24" s="370"/>
      <c r="V24" s="370"/>
    </row>
    <row r="25" spans="1:22" s="380" customFormat="1" outlineLevel="1">
      <c r="A25" s="379" t="s">
        <v>12</v>
      </c>
      <c r="B25" s="375">
        <f t="shared" ref="B25:N25" si="6">IFERROR(B24/B17,0)</f>
        <v>0</v>
      </c>
      <c r="C25" s="375">
        <f t="shared" si="6"/>
        <v>0</v>
      </c>
      <c r="D25" s="375">
        <f t="shared" si="6"/>
        <v>0</v>
      </c>
      <c r="E25" s="375">
        <f t="shared" si="6"/>
        <v>0</v>
      </c>
      <c r="F25" s="375">
        <f t="shared" si="6"/>
        <v>1</v>
      </c>
      <c r="G25" s="375">
        <f t="shared" si="6"/>
        <v>1</v>
      </c>
      <c r="H25" s="375">
        <f t="shared" si="6"/>
        <v>1</v>
      </c>
      <c r="I25" s="375">
        <f t="shared" si="6"/>
        <v>1</v>
      </c>
      <c r="J25" s="375">
        <f t="shared" si="6"/>
        <v>1</v>
      </c>
      <c r="K25" s="375">
        <f t="shared" si="6"/>
        <v>1</v>
      </c>
      <c r="L25" s="375">
        <f t="shared" si="6"/>
        <v>1</v>
      </c>
      <c r="M25" s="375">
        <f t="shared" si="6"/>
        <v>1</v>
      </c>
      <c r="N25" s="375">
        <f t="shared" si="6"/>
        <v>1</v>
      </c>
      <c r="Q25" s="375"/>
      <c r="R25" s="376"/>
      <c r="S25" s="375">
        <v>0.64710340180965198</v>
      </c>
      <c r="T25" s="376"/>
      <c r="U25" s="375"/>
      <c r="V25" s="375"/>
    </row>
    <row r="26" spans="1:22" s="380" customFormat="1" outlineLevel="1">
      <c r="A26" s="379"/>
      <c r="B26" s="375"/>
      <c r="C26" s="375"/>
      <c r="D26" s="375"/>
      <c r="E26" s="375"/>
      <c r="F26" s="375"/>
      <c r="G26" s="375"/>
      <c r="H26" s="375"/>
      <c r="I26" s="375"/>
      <c r="J26" s="375"/>
      <c r="K26" s="375"/>
      <c r="L26" s="375"/>
      <c r="M26" s="375"/>
      <c r="N26" s="375"/>
      <c r="Q26" s="375"/>
      <c r="R26" s="376"/>
      <c r="S26" s="375"/>
      <c r="T26" s="376"/>
      <c r="U26" s="375"/>
      <c r="V26" s="375"/>
    </row>
    <row r="27" spans="1:22" s="380" customFormat="1" outlineLevel="1">
      <c r="A27" s="362" t="s">
        <v>156</v>
      </c>
      <c r="B27" s="373"/>
      <c r="C27" s="373"/>
      <c r="D27" s="373"/>
      <c r="E27" s="373"/>
      <c r="F27" s="373"/>
      <c r="G27" s="373"/>
      <c r="H27" s="373"/>
      <c r="I27" s="373"/>
      <c r="J27" s="373"/>
      <c r="K27" s="373"/>
      <c r="L27" s="373"/>
      <c r="M27" s="373"/>
      <c r="N27" s="373"/>
      <c r="Q27" s="375"/>
      <c r="R27" s="376"/>
      <c r="S27" s="375"/>
      <c r="T27" s="376"/>
      <c r="U27" s="375"/>
      <c r="V27" s="375"/>
    </row>
    <row r="28" spans="1:22" s="380" customFormat="1" outlineLevel="1">
      <c r="A28" s="362" t="s">
        <v>28</v>
      </c>
      <c r="B28" s="364"/>
      <c r="C28" s="364"/>
      <c r="D28" s="364"/>
      <c r="E28" s="364"/>
      <c r="F28" s="364"/>
      <c r="G28" s="364"/>
      <c r="H28" s="364"/>
      <c r="I28" s="364"/>
      <c r="J28" s="364"/>
      <c r="K28" s="364"/>
      <c r="L28" s="364"/>
      <c r="M28" s="364"/>
      <c r="N28" s="364">
        <f t="shared" ref="N28:N33" si="7">SUM(B28:M28)</f>
        <v>0</v>
      </c>
      <c r="Q28" s="375"/>
      <c r="R28" s="376"/>
      <c r="S28" s="375"/>
      <c r="T28" s="376"/>
      <c r="U28" s="375"/>
      <c r="V28" s="375"/>
    </row>
    <row r="29" spans="1:22" s="380" customFormat="1" outlineLevel="1">
      <c r="A29" s="366" t="s">
        <v>862</v>
      </c>
      <c r="B29" s="367"/>
      <c r="C29" s="367"/>
      <c r="D29" s="367"/>
      <c r="E29" s="367"/>
      <c r="F29" s="367"/>
      <c r="G29" s="367"/>
      <c r="H29" s="367"/>
      <c r="I29" s="367"/>
      <c r="J29" s="367"/>
      <c r="K29" s="367"/>
      <c r="L29" s="367"/>
      <c r="M29" s="367"/>
      <c r="N29" s="367">
        <f t="shared" si="7"/>
        <v>0</v>
      </c>
      <c r="Q29" s="375"/>
      <c r="R29" s="376"/>
      <c r="S29" s="375"/>
      <c r="T29" s="376"/>
      <c r="U29" s="375"/>
      <c r="V29" s="375"/>
    </row>
    <row r="30" spans="1:22" s="380" customFormat="1" outlineLevel="1">
      <c r="A30" s="366" t="s">
        <v>863</v>
      </c>
      <c r="B30" s="367">
        <v>1000</v>
      </c>
      <c r="C30" s="367">
        <v>1000</v>
      </c>
      <c r="D30" s="367">
        <v>1000</v>
      </c>
      <c r="E30" s="367">
        <v>1000</v>
      </c>
      <c r="F30" s="367">
        <v>1000</v>
      </c>
      <c r="G30" s="367">
        <v>1000</v>
      </c>
      <c r="H30" s="367">
        <v>1000</v>
      </c>
      <c r="I30" s="367">
        <v>1000</v>
      </c>
      <c r="J30" s="367">
        <v>1000</v>
      </c>
      <c r="K30" s="367">
        <v>1000</v>
      </c>
      <c r="L30" s="367">
        <v>1000</v>
      </c>
      <c r="M30" s="367">
        <v>1000</v>
      </c>
      <c r="N30" s="367">
        <f t="shared" si="7"/>
        <v>12000</v>
      </c>
      <c r="O30" s="381"/>
      <c r="Q30" s="375"/>
      <c r="R30" s="376"/>
      <c r="S30" s="375"/>
      <c r="T30" s="376"/>
      <c r="U30" s="375"/>
      <c r="V30" s="375"/>
    </row>
    <row r="31" spans="1:22" s="380" customFormat="1" outlineLevel="1">
      <c r="A31" s="366" t="s">
        <v>869</v>
      </c>
      <c r="B31" s="367">
        <v>0</v>
      </c>
      <c r="C31" s="367">
        <v>0</v>
      </c>
      <c r="D31" s="367">
        <v>0</v>
      </c>
      <c r="E31" s="367">
        <v>0</v>
      </c>
      <c r="F31" s="367">
        <v>0</v>
      </c>
      <c r="G31" s="367">
        <v>0</v>
      </c>
      <c r="H31" s="367">
        <v>0</v>
      </c>
      <c r="I31" s="367">
        <v>0</v>
      </c>
      <c r="J31" s="367">
        <v>0</v>
      </c>
      <c r="K31" s="367">
        <v>0</v>
      </c>
      <c r="L31" s="367">
        <v>0</v>
      </c>
      <c r="M31" s="367">
        <v>0</v>
      </c>
      <c r="N31" s="367">
        <f t="shared" si="7"/>
        <v>0</v>
      </c>
      <c r="O31" s="381"/>
      <c r="Q31" s="375"/>
      <c r="R31" s="376"/>
      <c r="S31" s="375"/>
      <c r="T31" s="376"/>
      <c r="U31" s="375"/>
      <c r="V31" s="375"/>
    </row>
    <row r="32" spans="1:22" s="380" customFormat="1" outlineLevel="1">
      <c r="A32" s="366" t="s">
        <v>8</v>
      </c>
      <c r="B32" s="367"/>
      <c r="C32" s="367"/>
      <c r="D32" s="367"/>
      <c r="E32" s="367"/>
      <c r="F32" s="367"/>
      <c r="G32" s="367"/>
      <c r="H32" s="367"/>
      <c r="I32" s="367"/>
      <c r="J32" s="367"/>
      <c r="K32" s="367"/>
      <c r="L32" s="367"/>
      <c r="M32" s="367"/>
      <c r="N32" s="367">
        <f t="shared" si="7"/>
        <v>0</v>
      </c>
      <c r="O32" s="381"/>
      <c r="Q32" s="375"/>
      <c r="R32" s="376"/>
      <c r="S32" s="375"/>
      <c r="T32" s="376"/>
      <c r="U32" s="375"/>
      <c r="V32" s="375"/>
    </row>
    <row r="33" spans="1:26" s="380" customFormat="1" outlineLevel="1">
      <c r="A33" s="366" t="s">
        <v>865</v>
      </c>
      <c r="B33" s="382">
        <v>21845.43</v>
      </c>
      <c r="C33" s="382">
        <v>21845.43</v>
      </c>
      <c r="D33" s="382">
        <v>9845.43</v>
      </c>
      <c r="E33" s="382">
        <v>9845.43</v>
      </c>
      <c r="F33" s="382">
        <v>9845.43</v>
      </c>
      <c r="G33" s="382">
        <v>9845.43</v>
      </c>
      <c r="H33" s="382">
        <v>7734.43</v>
      </c>
      <c r="I33" s="382">
        <v>8756.43</v>
      </c>
      <c r="J33" s="382">
        <v>8756.43</v>
      </c>
      <c r="K33" s="382">
        <v>8756.43</v>
      </c>
      <c r="L33" s="382">
        <v>8756.43</v>
      </c>
      <c r="M33" s="382">
        <v>8756.43</v>
      </c>
      <c r="N33" s="367">
        <f t="shared" si="7"/>
        <v>134589.15999999995</v>
      </c>
      <c r="O33" s="381"/>
      <c r="Q33" s="375"/>
      <c r="R33" s="376"/>
      <c r="S33" s="375"/>
      <c r="T33" s="376"/>
      <c r="U33" s="375"/>
      <c r="V33" s="375"/>
    </row>
    <row r="34" spans="1:26" s="380" customFormat="1" outlineLevel="1">
      <c r="A34" s="362" t="s">
        <v>866</v>
      </c>
      <c r="B34" s="370">
        <f t="shared" ref="B34:N34" si="8">SUM(B29:B33)</f>
        <v>22845.43</v>
      </c>
      <c r="C34" s="370">
        <f t="shared" si="8"/>
        <v>22845.43</v>
      </c>
      <c r="D34" s="370">
        <f t="shared" si="8"/>
        <v>10845.43</v>
      </c>
      <c r="E34" s="370">
        <f t="shared" si="8"/>
        <v>10845.43</v>
      </c>
      <c r="F34" s="370">
        <f t="shared" si="8"/>
        <v>10845.43</v>
      </c>
      <c r="G34" s="370">
        <f t="shared" si="8"/>
        <v>10845.43</v>
      </c>
      <c r="H34" s="370">
        <f t="shared" si="8"/>
        <v>8734.43</v>
      </c>
      <c r="I34" s="370">
        <f t="shared" si="8"/>
        <v>9756.43</v>
      </c>
      <c r="J34" s="370">
        <f t="shared" si="8"/>
        <v>9756.43</v>
      </c>
      <c r="K34" s="370">
        <f t="shared" si="8"/>
        <v>9756.43</v>
      </c>
      <c r="L34" s="370">
        <f t="shared" si="8"/>
        <v>9756.43</v>
      </c>
      <c r="M34" s="370">
        <f t="shared" si="8"/>
        <v>9756.43</v>
      </c>
      <c r="N34" s="370">
        <f t="shared" si="8"/>
        <v>146589.15999999995</v>
      </c>
      <c r="Q34" s="375"/>
      <c r="R34" s="376"/>
      <c r="S34" s="375"/>
      <c r="T34" s="376"/>
      <c r="U34" s="375"/>
      <c r="V34" s="375"/>
    </row>
    <row r="35" spans="1:26" s="371" customFormat="1" outlineLevel="1">
      <c r="A35" s="362" t="s">
        <v>582</v>
      </c>
      <c r="B35" s="370">
        <f t="shared" ref="B35:M35" si="9">B28-B34</f>
        <v>-22845.43</v>
      </c>
      <c r="C35" s="370">
        <f t="shared" si="9"/>
        <v>-22845.43</v>
      </c>
      <c r="D35" s="370">
        <f t="shared" si="9"/>
        <v>-10845.43</v>
      </c>
      <c r="E35" s="370">
        <f t="shared" si="9"/>
        <v>-10845.43</v>
      </c>
      <c r="F35" s="370">
        <f t="shared" si="9"/>
        <v>-10845.43</v>
      </c>
      <c r="G35" s="370">
        <f t="shared" si="9"/>
        <v>-10845.43</v>
      </c>
      <c r="H35" s="370">
        <f t="shared" si="9"/>
        <v>-8734.43</v>
      </c>
      <c r="I35" s="370">
        <f t="shared" si="9"/>
        <v>-9756.43</v>
      </c>
      <c r="J35" s="370">
        <f t="shared" si="9"/>
        <v>-9756.43</v>
      </c>
      <c r="K35" s="370">
        <f t="shared" si="9"/>
        <v>-9756.43</v>
      </c>
      <c r="L35" s="370">
        <f t="shared" si="9"/>
        <v>-9756.43</v>
      </c>
      <c r="M35" s="370">
        <f t="shared" si="9"/>
        <v>-9756.43</v>
      </c>
      <c r="N35" s="370">
        <f>SUM(B35:M35)</f>
        <v>-146589.15999999995</v>
      </c>
      <c r="Q35" s="373"/>
      <c r="R35" s="374"/>
      <c r="S35" s="373"/>
      <c r="T35" s="374"/>
      <c r="U35" s="373"/>
      <c r="V35" s="373"/>
    </row>
    <row r="36" spans="1:26" s="371" customFormat="1" outlineLevel="1">
      <c r="A36" s="379" t="s">
        <v>12</v>
      </c>
      <c r="B36" s="375">
        <f t="shared" ref="B36:N36" si="10">IFERROR(B35/B28,0)</f>
        <v>0</v>
      </c>
      <c r="C36" s="375">
        <f t="shared" si="10"/>
        <v>0</v>
      </c>
      <c r="D36" s="375">
        <f t="shared" si="10"/>
        <v>0</v>
      </c>
      <c r="E36" s="375">
        <f t="shared" si="10"/>
        <v>0</v>
      </c>
      <c r="F36" s="375">
        <f t="shared" si="10"/>
        <v>0</v>
      </c>
      <c r="G36" s="375">
        <f t="shared" si="10"/>
        <v>0</v>
      </c>
      <c r="H36" s="375">
        <f t="shared" si="10"/>
        <v>0</v>
      </c>
      <c r="I36" s="375">
        <f t="shared" si="10"/>
        <v>0</v>
      </c>
      <c r="J36" s="375">
        <f t="shared" si="10"/>
        <v>0</v>
      </c>
      <c r="K36" s="375">
        <f t="shared" si="10"/>
        <v>0</v>
      </c>
      <c r="L36" s="375">
        <f t="shared" si="10"/>
        <v>0</v>
      </c>
      <c r="M36" s="375">
        <f t="shared" si="10"/>
        <v>0</v>
      </c>
      <c r="N36" s="375">
        <f t="shared" si="10"/>
        <v>0</v>
      </c>
      <c r="Q36" s="373"/>
      <c r="R36" s="374"/>
      <c r="S36" s="373"/>
      <c r="T36" s="374"/>
      <c r="U36" s="373"/>
      <c r="V36" s="373"/>
    </row>
    <row r="37" spans="1:26" s="371" customFormat="1" outlineLevel="1">
      <c r="A37" s="379"/>
      <c r="B37" s="375"/>
      <c r="C37" s="375"/>
      <c r="D37" s="375"/>
      <c r="E37" s="375"/>
      <c r="F37" s="375"/>
      <c r="G37" s="375"/>
      <c r="H37" s="375"/>
      <c r="I37" s="375"/>
      <c r="J37" s="375"/>
      <c r="K37" s="375"/>
      <c r="L37" s="375"/>
      <c r="M37" s="375"/>
      <c r="N37" s="375"/>
      <c r="Q37" s="373"/>
      <c r="R37" s="374"/>
      <c r="S37" s="373"/>
      <c r="T37" s="374"/>
      <c r="U37" s="373"/>
      <c r="V37" s="373"/>
    </row>
    <row r="38" spans="1:26" s="361" customFormat="1">
      <c r="A38" s="362" t="s">
        <v>28</v>
      </c>
      <c r="B38" s="364">
        <f t="shared" ref="B38:M38" si="11">B17+B6</f>
        <v>225414.12</v>
      </c>
      <c r="C38" s="364">
        <f t="shared" si="11"/>
        <v>238765.5</v>
      </c>
      <c r="D38" s="364">
        <f t="shared" si="11"/>
        <v>239597.86</v>
      </c>
      <c r="E38" s="364">
        <f t="shared" si="11"/>
        <v>203603.86</v>
      </c>
      <c r="F38" s="364">
        <f t="shared" si="11"/>
        <v>226615.5</v>
      </c>
      <c r="G38" s="364">
        <f t="shared" si="11"/>
        <v>232203.86</v>
      </c>
      <c r="H38" s="364">
        <f t="shared" si="11"/>
        <v>232903.86</v>
      </c>
      <c r="I38" s="364">
        <f t="shared" si="11"/>
        <v>296037.7</v>
      </c>
      <c r="J38" s="364">
        <f t="shared" si="11"/>
        <v>304037.7</v>
      </c>
      <c r="K38" s="364">
        <f t="shared" si="11"/>
        <v>305703.86</v>
      </c>
      <c r="L38" s="364">
        <f t="shared" si="11"/>
        <v>310669.5</v>
      </c>
      <c r="M38" s="364">
        <f t="shared" si="11"/>
        <v>313703.86</v>
      </c>
      <c r="N38" s="364">
        <f t="shared" ref="N38:N43" si="12">SUM(B38:M38)</f>
        <v>3129257.1799999992</v>
      </c>
      <c r="O38" s="383"/>
      <c r="P38" s="383"/>
      <c r="Q38" s="364">
        <v>2116756.58</v>
      </c>
      <c r="R38" s="364"/>
      <c r="S38" s="364">
        <v>5002886.1007460002</v>
      </c>
      <c r="T38" s="364"/>
      <c r="U38" s="364"/>
      <c r="V38" s="364"/>
    </row>
    <row r="39" spans="1:26">
      <c r="A39" s="366" t="s">
        <v>862</v>
      </c>
      <c r="B39" s="367">
        <f t="shared" ref="B39:M39" si="13">B18+B7+B29</f>
        <v>107468.667780376</v>
      </c>
      <c r="C39" s="367">
        <f t="shared" si="13"/>
        <v>107468.667780376</v>
      </c>
      <c r="D39" s="367">
        <f t="shared" si="13"/>
        <v>97886.4715342852</v>
      </c>
      <c r="E39" s="367">
        <f t="shared" si="13"/>
        <v>97886.4715342852</v>
      </c>
      <c r="F39" s="367">
        <f t="shared" si="13"/>
        <v>102053.98270291201</v>
      </c>
      <c r="G39" s="367">
        <f t="shared" si="13"/>
        <v>102053.98270291201</v>
      </c>
      <c r="H39" s="367">
        <f t="shared" si="13"/>
        <v>102053.98270291201</v>
      </c>
      <c r="I39" s="367">
        <f t="shared" si="13"/>
        <v>102053.98270291201</v>
      </c>
      <c r="J39" s="367">
        <f t="shared" si="13"/>
        <v>102053.98270291201</v>
      </c>
      <c r="K39" s="367">
        <f t="shared" si="13"/>
        <v>112770.439993666</v>
      </c>
      <c r="L39" s="367">
        <f t="shared" si="13"/>
        <v>112770.439993666</v>
      </c>
      <c r="M39" s="367">
        <f t="shared" si="13"/>
        <v>112770.439993666</v>
      </c>
      <c r="N39" s="367">
        <f t="shared" si="12"/>
        <v>1259291.5121248807</v>
      </c>
      <c r="O39" s="384">
        <f>N39/$N$38</f>
        <v>0.40242506118492982</v>
      </c>
      <c r="P39" s="384"/>
      <c r="Q39" s="367">
        <v>836770.97867469897</v>
      </c>
      <c r="R39" s="368">
        <f>Q39/$Q$38</f>
        <v>0.39530807962562181</v>
      </c>
      <c r="S39" s="367">
        <v>1758103.5668774301</v>
      </c>
      <c r="T39" s="368">
        <f>S39/$S$38</f>
        <v>0.35141786790134444</v>
      </c>
      <c r="U39" s="367"/>
      <c r="V39" s="367"/>
    </row>
    <row r="40" spans="1:26">
      <c r="A40" s="366" t="s">
        <v>863</v>
      </c>
      <c r="B40" s="367">
        <f t="shared" ref="B40:M40" si="14">B19+B8+B30</f>
        <v>16550.9320689655</v>
      </c>
      <c r="C40" s="367">
        <f t="shared" si="14"/>
        <v>16550.9320689655</v>
      </c>
      <c r="D40" s="367">
        <f t="shared" si="14"/>
        <v>16550.9320689655</v>
      </c>
      <c r="E40" s="367">
        <f t="shared" si="14"/>
        <v>16550.9320689655</v>
      </c>
      <c r="F40" s="367">
        <f t="shared" si="14"/>
        <v>16550.9320689655</v>
      </c>
      <c r="G40" s="367">
        <f t="shared" si="14"/>
        <v>16550.9320689655</v>
      </c>
      <c r="H40" s="367">
        <f t="shared" si="14"/>
        <v>17016.115977011497</v>
      </c>
      <c r="I40" s="367">
        <f t="shared" si="14"/>
        <v>17016.115977011497</v>
      </c>
      <c r="J40" s="367">
        <f t="shared" si="14"/>
        <v>17016.115977011497</v>
      </c>
      <c r="K40" s="367">
        <f t="shared" si="14"/>
        <v>17016.115977011497</v>
      </c>
      <c r="L40" s="367">
        <f t="shared" si="14"/>
        <v>17016.115977011497</v>
      </c>
      <c r="M40" s="367">
        <f t="shared" si="14"/>
        <v>17016.115977011497</v>
      </c>
      <c r="N40" s="367">
        <f t="shared" si="12"/>
        <v>201402.28827586203</v>
      </c>
      <c r="O40" s="384">
        <f>N40/$N$38</f>
        <v>6.436105333977761E-2</v>
      </c>
      <c r="P40" s="384"/>
      <c r="Q40" s="367">
        <v>109080.052048193</v>
      </c>
      <c r="R40" s="368">
        <f>Q40/$Q$38</f>
        <v>5.1531693855980831E-2</v>
      </c>
      <c r="S40" s="367">
        <v>126494.104818336</v>
      </c>
      <c r="T40" s="368">
        <f>S40/$S$38</f>
        <v>2.5284226398732915E-2</v>
      </c>
      <c r="U40" s="367"/>
      <c r="V40" s="367"/>
      <c r="Z40" s="353" t="s">
        <v>870</v>
      </c>
    </row>
    <row r="41" spans="1:26">
      <c r="A41" s="366" t="s">
        <v>7</v>
      </c>
      <c r="B41" s="367">
        <f t="shared" ref="B41:M41" si="15">B20+B9+B31</f>
        <v>2306.9503452373601</v>
      </c>
      <c r="C41" s="367">
        <f t="shared" si="15"/>
        <v>2306.9503452373601</v>
      </c>
      <c r="D41" s="367">
        <f t="shared" si="15"/>
        <v>1416.30651340996</v>
      </c>
      <c r="E41" s="367">
        <f t="shared" si="15"/>
        <v>1416.30651340996</v>
      </c>
      <c r="F41" s="367">
        <f t="shared" si="15"/>
        <v>1416.30651340996</v>
      </c>
      <c r="G41" s="367">
        <f t="shared" si="15"/>
        <v>1773.7777777777801</v>
      </c>
      <c r="H41" s="367">
        <f t="shared" si="15"/>
        <v>1773.7777777777801</v>
      </c>
      <c r="I41" s="367">
        <f t="shared" si="15"/>
        <v>1773.7777777777801</v>
      </c>
      <c r="J41" s="367">
        <f t="shared" si="15"/>
        <v>1773.7777777777801</v>
      </c>
      <c r="K41" s="367">
        <f t="shared" si="15"/>
        <v>1773.7777777777801</v>
      </c>
      <c r="L41" s="367">
        <f t="shared" si="15"/>
        <v>1773.7777777777801</v>
      </c>
      <c r="M41" s="367">
        <f t="shared" si="15"/>
        <v>1773.7777777777801</v>
      </c>
      <c r="N41" s="367">
        <f t="shared" si="12"/>
        <v>21279.264675149065</v>
      </c>
      <c r="O41" s="384">
        <f>N41/$N$38</f>
        <v>6.8001009348643785E-3</v>
      </c>
      <c r="P41" s="384"/>
      <c r="Q41" s="367">
        <v>38074.979397590403</v>
      </c>
      <c r="R41" s="368">
        <f>Q41/$Q$38</f>
        <v>1.7987415160221398E-2</v>
      </c>
      <c r="S41" s="367">
        <v>36797.564151143699</v>
      </c>
      <c r="T41" s="368">
        <f>S41/$S$38</f>
        <v>7.3552672217855747E-3</v>
      </c>
      <c r="U41" s="367"/>
      <c r="V41" s="367"/>
    </row>
    <row r="42" spans="1:26">
      <c r="A42" s="366" t="s">
        <v>8</v>
      </c>
      <c r="B42" s="367">
        <f t="shared" ref="B42:M42" si="16">B21+B10+B32</f>
        <v>3034.4827586206902</v>
      </c>
      <c r="C42" s="367">
        <f t="shared" si="16"/>
        <v>3034.4827586206902</v>
      </c>
      <c r="D42" s="367">
        <f t="shared" si="16"/>
        <v>3034.4827586206902</v>
      </c>
      <c r="E42" s="367">
        <f t="shared" si="16"/>
        <v>3034.4827586206902</v>
      </c>
      <c r="F42" s="367">
        <f t="shared" si="16"/>
        <v>3944.8275862068999</v>
      </c>
      <c r="G42" s="367">
        <f t="shared" si="16"/>
        <v>3944.8275862068999</v>
      </c>
      <c r="H42" s="367">
        <f t="shared" si="16"/>
        <v>3944.8275862068999</v>
      </c>
      <c r="I42" s="367">
        <f t="shared" si="16"/>
        <v>4691.9540229885097</v>
      </c>
      <c r="J42" s="367">
        <f t="shared" si="16"/>
        <v>4691.9540229885097</v>
      </c>
      <c r="K42" s="367">
        <f t="shared" si="16"/>
        <v>4691.9540229885097</v>
      </c>
      <c r="L42" s="367">
        <f t="shared" si="16"/>
        <v>4691.9540229885097</v>
      </c>
      <c r="M42" s="367">
        <f t="shared" si="16"/>
        <v>4691.9540229885097</v>
      </c>
      <c r="N42" s="367">
        <f t="shared" si="12"/>
        <v>47432.183908046012</v>
      </c>
      <c r="O42" s="384">
        <f>N42/$N$38</f>
        <v>1.5157649620874569E-2</v>
      </c>
      <c r="P42" s="384"/>
      <c r="Q42" s="367">
        <v>29439.3373493976</v>
      </c>
      <c r="R42" s="368">
        <f>Q42/$Q$38</f>
        <v>1.390775757002612E-2</v>
      </c>
      <c r="S42" s="367">
        <v>101119.21435743</v>
      </c>
      <c r="T42" s="368">
        <f>S42/$S$38</f>
        <v>2.0212175996241793E-2</v>
      </c>
      <c r="U42" s="367"/>
      <c r="V42" s="367"/>
    </row>
    <row r="43" spans="1:26">
      <c r="A43" s="366" t="s">
        <v>865</v>
      </c>
      <c r="B43" s="367">
        <f t="shared" ref="B43:M43" si="17">B22+B11+B33</f>
        <v>28889.65286079183</v>
      </c>
      <c r="C43" s="367">
        <f t="shared" si="17"/>
        <v>28889.65286079183</v>
      </c>
      <c r="D43" s="367">
        <f t="shared" si="17"/>
        <v>16889.65286079183</v>
      </c>
      <c r="E43" s="367">
        <f t="shared" si="17"/>
        <v>16889.65286079183</v>
      </c>
      <c r="F43" s="367">
        <f t="shared" si="17"/>
        <v>16889.65286079183</v>
      </c>
      <c r="G43" s="367">
        <f t="shared" si="17"/>
        <v>16889.65286079183</v>
      </c>
      <c r="H43" s="367">
        <f t="shared" si="17"/>
        <v>14778.65286079183</v>
      </c>
      <c r="I43" s="367">
        <f t="shared" si="17"/>
        <v>15800.65286079183</v>
      </c>
      <c r="J43" s="367">
        <f t="shared" si="17"/>
        <v>15800.65286079183</v>
      </c>
      <c r="K43" s="367">
        <f t="shared" si="17"/>
        <v>15800.65286079183</v>
      </c>
      <c r="L43" s="367">
        <f t="shared" si="17"/>
        <v>15800.65286079183</v>
      </c>
      <c r="M43" s="367">
        <f t="shared" si="17"/>
        <v>15800.65286079183</v>
      </c>
      <c r="N43" s="367">
        <f t="shared" si="12"/>
        <v>219119.83432950196</v>
      </c>
      <c r="O43" s="384">
        <f>N43/$N$38</f>
        <v>7.002295488205991E-2</v>
      </c>
      <c r="P43" s="384"/>
      <c r="Q43" s="367">
        <v>193079.67481927699</v>
      </c>
      <c r="R43" s="368">
        <f>Q43/$Q$38</f>
        <v>9.1214869316375041E-2</v>
      </c>
      <c r="S43" s="367">
        <v>5874.4780561093303</v>
      </c>
      <c r="T43" s="368">
        <f>S43/$S$38</f>
        <v>1.1742178290313993E-3</v>
      </c>
      <c r="U43" s="367"/>
      <c r="V43" s="367"/>
    </row>
    <row r="44" spans="1:26" s="371" customFormat="1">
      <c r="A44" s="362" t="s">
        <v>866</v>
      </c>
      <c r="B44" s="370">
        <f t="shared" ref="B44:N44" si="18">SUM(B39:B43)</f>
        <v>158250.68581399138</v>
      </c>
      <c r="C44" s="370">
        <f t="shared" si="18"/>
        <v>158250.68581399138</v>
      </c>
      <c r="D44" s="370">
        <f t="shared" si="18"/>
        <v>135777.84573607318</v>
      </c>
      <c r="E44" s="370">
        <f t="shared" si="18"/>
        <v>135777.84573607318</v>
      </c>
      <c r="F44" s="370">
        <f t="shared" si="18"/>
        <v>140855.70173228619</v>
      </c>
      <c r="G44" s="370">
        <f t="shared" si="18"/>
        <v>141213.172996654</v>
      </c>
      <c r="H44" s="370">
        <f t="shared" si="18"/>
        <v>139567.35690470002</v>
      </c>
      <c r="I44" s="370">
        <f t="shared" si="18"/>
        <v>141336.48334148162</v>
      </c>
      <c r="J44" s="370">
        <f t="shared" si="18"/>
        <v>141336.48334148162</v>
      </c>
      <c r="K44" s="370">
        <f t="shared" si="18"/>
        <v>152052.94063223561</v>
      </c>
      <c r="L44" s="370">
        <f t="shared" si="18"/>
        <v>152052.94063223561</v>
      </c>
      <c r="M44" s="370">
        <f t="shared" si="18"/>
        <v>152052.94063223561</v>
      </c>
      <c r="N44" s="370">
        <f t="shared" si="18"/>
        <v>1748525.0833134397</v>
      </c>
      <c r="Q44" s="370">
        <v>1206445.0222891599</v>
      </c>
      <c r="R44" s="372"/>
      <c r="S44" s="370">
        <v>2028388.92826045</v>
      </c>
      <c r="T44" s="372"/>
      <c r="U44" s="370"/>
      <c r="V44" s="370"/>
    </row>
    <row r="45" spans="1:26" s="371" customFormat="1">
      <c r="A45" s="362" t="s">
        <v>582</v>
      </c>
      <c r="B45" s="370">
        <f t="shared" ref="B45:M45" si="19">B38-B44</f>
        <v>67163.434186008613</v>
      </c>
      <c r="C45" s="370">
        <f t="shared" si="19"/>
        <v>80514.814186008618</v>
      </c>
      <c r="D45" s="370">
        <f t="shared" si="19"/>
        <v>103820.0142639268</v>
      </c>
      <c r="E45" s="370">
        <f t="shared" si="19"/>
        <v>67826.014263926802</v>
      </c>
      <c r="F45" s="370">
        <f t="shared" si="19"/>
        <v>85759.798267713806</v>
      </c>
      <c r="G45" s="370">
        <f t="shared" si="19"/>
        <v>90990.687003345985</v>
      </c>
      <c r="H45" s="370">
        <f t="shared" si="19"/>
        <v>93336.503095299966</v>
      </c>
      <c r="I45" s="370">
        <f t="shared" si="19"/>
        <v>154701.21665851839</v>
      </c>
      <c r="J45" s="370">
        <f t="shared" si="19"/>
        <v>162701.21665851839</v>
      </c>
      <c r="K45" s="370">
        <f t="shared" si="19"/>
        <v>153650.91936776438</v>
      </c>
      <c r="L45" s="370">
        <f t="shared" si="19"/>
        <v>158616.55936776439</v>
      </c>
      <c r="M45" s="370">
        <f t="shared" si="19"/>
        <v>161650.91936776438</v>
      </c>
      <c r="N45" s="370">
        <f>SUM(B45:M45)</f>
        <v>1380732.0966865604</v>
      </c>
      <c r="Q45" s="370">
        <v>910311.55771084304</v>
      </c>
      <c r="R45" s="372"/>
      <c r="S45" s="370">
        <v>2974497.1724855499</v>
      </c>
      <c r="T45" s="372"/>
      <c r="U45" s="370"/>
      <c r="V45" s="370"/>
    </row>
    <row r="46" spans="1:26" s="380" customFormat="1">
      <c r="A46" s="379" t="s">
        <v>12</v>
      </c>
      <c r="B46" s="375">
        <f t="shared" ref="B46:N46" si="20">B45/B38</f>
        <v>0.2979557544399109</v>
      </c>
      <c r="C46" s="375">
        <f t="shared" si="20"/>
        <v>0.33721293145788911</v>
      </c>
      <c r="D46" s="375">
        <f t="shared" si="20"/>
        <v>0.43330943884025847</v>
      </c>
      <c r="E46" s="375">
        <f t="shared" si="20"/>
        <v>0.33312734966776564</v>
      </c>
      <c r="F46" s="375">
        <f t="shared" si="20"/>
        <v>0.37843747787646392</v>
      </c>
      <c r="G46" s="375">
        <f t="shared" si="20"/>
        <v>0.39185690971436044</v>
      </c>
      <c r="H46" s="375">
        <f t="shared" si="20"/>
        <v>0.40075120736642139</v>
      </c>
      <c r="I46" s="375">
        <f t="shared" si="20"/>
        <v>0.52257268806816959</v>
      </c>
      <c r="J46" s="375">
        <f t="shared" si="20"/>
        <v>0.53513500680513759</v>
      </c>
      <c r="K46" s="375">
        <f t="shared" si="20"/>
        <v>0.50261360575481251</v>
      </c>
      <c r="L46" s="375">
        <f t="shared" si="20"/>
        <v>0.51056366771686434</v>
      </c>
      <c r="M46" s="375">
        <f t="shared" si="20"/>
        <v>0.51529783333799073</v>
      </c>
      <c r="N46" s="375">
        <f t="shared" si="20"/>
        <v>0.44123318003749401</v>
      </c>
      <c r="Q46" s="375">
        <v>0.43005018447177501</v>
      </c>
      <c r="R46" s="376"/>
      <c r="S46" s="375">
        <v>0.59455624465286405</v>
      </c>
      <c r="T46" s="376"/>
      <c r="U46" s="375"/>
      <c r="V46" s="375"/>
    </row>
    <row r="47" spans="1:26" s="371" customFormat="1" outlineLevel="1">
      <c r="A47" s="362"/>
      <c r="B47" s="373"/>
      <c r="C47" s="373"/>
      <c r="D47" s="373"/>
      <c r="E47" s="373"/>
      <c r="F47" s="373"/>
      <c r="G47" s="373"/>
      <c r="H47" s="373"/>
      <c r="I47" s="373"/>
      <c r="J47" s="373"/>
      <c r="K47" s="373"/>
      <c r="L47" s="373"/>
      <c r="M47" s="373"/>
      <c r="N47" s="373"/>
      <c r="Q47" s="373"/>
      <c r="R47" s="374"/>
      <c r="S47" s="373"/>
      <c r="T47" s="374"/>
      <c r="U47" s="373"/>
      <c r="V47" s="373"/>
    </row>
    <row r="48" spans="1:26" s="371" customFormat="1" outlineLevel="1">
      <c r="A48" s="362" t="s">
        <v>13</v>
      </c>
      <c r="B48" s="373"/>
      <c r="C48" s="373"/>
      <c r="D48" s="373"/>
      <c r="E48" s="373"/>
      <c r="F48" s="373"/>
      <c r="G48" s="373"/>
      <c r="H48" s="373"/>
      <c r="I48" s="373"/>
      <c r="J48" s="373"/>
      <c r="K48" s="373"/>
      <c r="L48" s="373"/>
      <c r="M48" s="373"/>
      <c r="N48" s="373"/>
      <c r="Q48" s="373"/>
      <c r="R48" s="374"/>
      <c r="S48" s="373"/>
      <c r="T48" s="374"/>
      <c r="U48" s="373"/>
      <c r="V48" s="373"/>
    </row>
    <row r="49" spans="1:22" s="371" customFormat="1" outlineLevel="1">
      <c r="A49" s="362" t="s">
        <v>14</v>
      </c>
      <c r="B49" s="373"/>
      <c r="C49" s="373"/>
      <c r="D49" s="373"/>
      <c r="E49" s="373"/>
      <c r="F49" s="373"/>
      <c r="G49" s="373"/>
      <c r="H49" s="373"/>
      <c r="I49" s="373"/>
      <c r="J49" s="373"/>
      <c r="K49" s="373"/>
      <c r="L49" s="373"/>
      <c r="M49" s="373"/>
      <c r="N49" s="373"/>
      <c r="Q49" s="373"/>
      <c r="R49" s="374"/>
      <c r="S49" s="373"/>
      <c r="T49" s="374"/>
      <c r="U49" s="373"/>
      <c r="V49" s="373"/>
    </row>
    <row r="50" spans="1:22" s="371" customFormat="1" outlineLevel="1">
      <c r="A50" s="362" t="s">
        <v>157</v>
      </c>
      <c r="B50" s="373"/>
      <c r="C50" s="373"/>
      <c r="D50" s="373"/>
      <c r="E50" s="373"/>
      <c r="F50" s="373"/>
      <c r="G50" s="373"/>
      <c r="H50" s="373"/>
      <c r="I50" s="373"/>
      <c r="J50" s="373"/>
      <c r="K50" s="373"/>
      <c r="L50" s="373"/>
      <c r="M50" s="373"/>
      <c r="N50" s="373"/>
      <c r="Q50" s="373"/>
      <c r="R50" s="374"/>
      <c r="S50" s="373"/>
      <c r="T50" s="374"/>
      <c r="U50" s="373"/>
      <c r="V50" s="373"/>
    </row>
    <row r="51" spans="1:22" outlineLevel="1">
      <c r="A51" s="366" t="s">
        <v>862</v>
      </c>
      <c r="B51" s="367">
        <v>3980</v>
      </c>
      <c r="C51" s="367">
        <v>2980</v>
      </c>
      <c r="D51" s="367">
        <v>1980</v>
      </c>
      <c r="E51" s="367">
        <v>1980</v>
      </c>
      <c r="F51" s="367">
        <v>1980</v>
      </c>
      <c r="G51" s="367">
        <v>1980</v>
      </c>
      <c r="H51" s="367">
        <v>1980</v>
      </c>
      <c r="I51" s="367">
        <v>1980</v>
      </c>
      <c r="J51" s="367">
        <v>1980</v>
      </c>
      <c r="K51" s="367">
        <v>1980</v>
      </c>
      <c r="L51" s="367">
        <v>1980</v>
      </c>
      <c r="M51" s="367">
        <v>1980</v>
      </c>
      <c r="N51" s="367">
        <f>SUM(B51:M51)</f>
        <v>26760</v>
      </c>
      <c r="O51" s="384">
        <f>N51/$N$38</f>
        <v>8.5515502436268303E-3</v>
      </c>
      <c r="Q51" s="367">
        <v>20525.325301204801</v>
      </c>
      <c r="R51" s="368">
        <f>Q51/$Q$38</f>
        <v>9.6965921802897141E-3</v>
      </c>
      <c r="S51" s="367">
        <v>47832.795180722896</v>
      </c>
      <c r="T51" s="368">
        <f>S51/$S$38</f>
        <v>9.5610402110874286E-3</v>
      </c>
      <c r="U51" s="367"/>
      <c r="V51" s="367"/>
    </row>
    <row r="52" spans="1:22" outlineLevel="1">
      <c r="A52" s="366" t="s">
        <v>871</v>
      </c>
      <c r="B52" s="367">
        <v>0</v>
      </c>
      <c r="C52" s="367">
        <v>0</v>
      </c>
      <c r="D52" s="367">
        <v>0</v>
      </c>
      <c r="E52" s="367">
        <v>0</v>
      </c>
      <c r="F52" s="367">
        <v>1000</v>
      </c>
      <c r="G52" s="367">
        <v>0</v>
      </c>
      <c r="H52" s="367">
        <v>0</v>
      </c>
      <c r="I52" s="367">
        <v>0</v>
      </c>
      <c r="J52" s="367">
        <v>0</v>
      </c>
      <c r="K52" s="367">
        <v>0</v>
      </c>
      <c r="L52" s="367">
        <v>0</v>
      </c>
      <c r="M52" s="367">
        <v>0</v>
      </c>
      <c r="N52" s="367">
        <f>SUM(B52:M52)</f>
        <v>1000</v>
      </c>
      <c r="O52" s="384">
        <f>N52/$N$38</f>
        <v>3.1956465783358854E-4</v>
      </c>
      <c r="Q52" s="367">
        <v>2971.2048192771099</v>
      </c>
      <c r="R52" s="368">
        <f>Q52/$Q$38</f>
        <v>1.4036591865830457E-3</v>
      </c>
      <c r="S52" s="367">
        <v>31421.220883534101</v>
      </c>
      <c r="T52" s="368">
        <f>S52/$S$38</f>
        <v>6.2806188769416035E-3</v>
      </c>
      <c r="U52" s="367"/>
      <c r="V52" s="367"/>
    </row>
    <row r="53" spans="1:22" s="371" customFormat="1" outlineLevel="1">
      <c r="A53" s="362" t="s">
        <v>19</v>
      </c>
      <c r="B53" s="370">
        <f t="shared" ref="B53:N53" si="21">SUM(B51:B52)</f>
        <v>3980</v>
      </c>
      <c r="C53" s="370">
        <f t="shared" si="21"/>
        <v>2980</v>
      </c>
      <c r="D53" s="370">
        <f t="shared" si="21"/>
        <v>1980</v>
      </c>
      <c r="E53" s="370">
        <f t="shared" si="21"/>
        <v>1980</v>
      </c>
      <c r="F53" s="370">
        <f t="shared" si="21"/>
        <v>2980</v>
      </c>
      <c r="G53" s="370">
        <f t="shared" si="21"/>
        <v>1980</v>
      </c>
      <c r="H53" s="370">
        <f t="shared" si="21"/>
        <v>1980</v>
      </c>
      <c r="I53" s="370">
        <f t="shared" si="21"/>
        <v>1980</v>
      </c>
      <c r="J53" s="370">
        <f t="shared" si="21"/>
        <v>1980</v>
      </c>
      <c r="K53" s="370">
        <f t="shared" si="21"/>
        <v>1980</v>
      </c>
      <c r="L53" s="370">
        <f t="shared" si="21"/>
        <v>1980</v>
      </c>
      <c r="M53" s="370">
        <f t="shared" si="21"/>
        <v>1980</v>
      </c>
      <c r="N53" s="370">
        <f t="shared" si="21"/>
        <v>27760</v>
      </c>
      <c r="Q53" s="370">
        <v>23496.530120481901</v>
      </c>
      <c r="R53" s="368">
        <f>Q53/$Q$38</f>
        <v>1.1100251366872756E-2</v>
      </c>
      <c r="S53" s="370">
        <v>79254.016064256997</v>
      </c>
      <c r="T53" s="372"/>
      <c r="U53" s="370"/>
      <c r="V53" s="370"/>
    </row>
    <row r="54" spans="1:22" s="371" customFormat="1" outlineLevel="1">
      <c r="A54" s="362"/>
      <c r="B54" s="373"/>
      <c r="C54" s="373"/>
      <c r="D54" s="373"/>
      <c r="E54" s="373"/>
      <c r="F54" s="373"/>
      <c r="G54" s="373"/>
      <c r="H54" s="373"/>
      <c r="I54" s="373"/>
      <c r="J54" s="373"/>
      <c r="K54" s="373"/>
      <c r="L54" s="373"/>
      <c r="M54" s="373"/>
      <c r="N54" s="373"/>
      <c r="Q54" s="373"/>
      <c r="R54" s="374"/>
      <c r="S54" s="373"/>
      <c r="T54" s="374"/>
      <c r="U54" s="373"/>
      <c r="V54" s="373"/>
    </row>
    <row r="55" spans="1:22" s="371" customFormat="1" outlineLevel="1">
      <c r="A55" s="362" t="s">
        <v>156</v>
      </c>
      <c r="B55" s="385"/>
      <c r="C55" s="385"/>
      <c r="D55" s="385">
        <v>2240</v>
      </c>
      <c r="E55" s="385">
        <v>2240</v>
      </c>
      <c r="F55" s="385">
        <v>2240</v>
      </c>
      <c r="G55" s="385">
        <v>2240</v>
      </c>
      <c r="H55" s="385">
        <v>2240</v>
      </c>
      <c r="I55" s="385">
        <v>2240</v>
      </c>
      <c r="J55" s="385">
        <v>2240</v>
      </c>
      <c r="K55" s="385">
        <v>2240</v>
      </c>
      <c r="L55" s="385">
        <v>2240</v>
      </c>
      <c r="M55" s="385">
        <v>2240</v>
      </c>
      <c r="N55" s="367">
        <f>SUM(B55:M55)</f>
        <v>22400</v>
      </c>
      <c r="Q55" s="373"/>
      <c r="R55" s="374"/>
      <c r="S55" s="373"/>
      <c r="T55" s="374"/>
      <c r="U55" s="373"/>
      <c r="V55" s="373"/>
    </row>
    <row r="56" spans="1:22" outlineLevel="1">
      <c r="A56" s="366" t="s">
        <v>862</v>
      </c>
      <c r="B56" s="367">
        <v>14760</v>
      </c>
      <c r="C56" s="367">
        <v>0</v>
      </c>
      <c r="D56" s="367">
        <v>0</v>
      </c>
      <c r="E56" s="367">
        <v>0</v>
      </c>
      <c r="F56" s="367">
        <v>0</v>
      </c>
      <c r="G56" s="367">
        <v>0</v>
      </c>
      <c r="H56" s="367">
        <v>0</v>
      </c>
      <c r="I56" s="367">
        <v>0</v>
      </c>
      <c r="J56" s="367">
        <v>0</v>
      </c>
      <c r="K56" s="367">
        <v>0</v>
      </c>
      <c r="L56" s="367">
        <v>0</v>
      </c>
      <c r="M56" s="367">
        <v>0</v>
      </c>
      <c r="N56" s="367">
        <f>SUM(B56:M56)</f>
        <v>14760</v>
      </c>
      <c r="O56" s="384">
        <f>N56/$N$38</f>
        <v>4.7167743496237674E-3</v>
      </c>
      <c r="Q56" s="367">
        <v>0</v>
      </c>
      <c r="R56" s="368">
        <f>Q56/$Q$38</f>
        <v>0</v>
      </c>
      <c r="S56" s="367">
        <v>0</v>
      </c>
      <c r="T56" s="368">
        <f>S56/$S$38</f>
        <v>0</v>
      </c>
      <c r="U56" s="367"/>
      <c r="V56" s="367"/>
    </row>
    <row r="57" spans="1:22" outlineLevel="1">
      <c r="A57" s="366" t="s">
        <v>871</v>
      </c>
      <c r="B57" s="367">
        <v>3628.52</v>
      </c>
      <c r="C57" s="367">
        <v>3628.52</v>
      </c>
      <c r="D57" s="367">
        <v>1455</v>
      </c>
      <c r="E57" s="367">
        <v>1955</v>
      </c>
      <c r="F57" s="367">
        <v>1955</v>
      </c>
      <c r="G57" s="367">
        <v>1955</v>
      </c>
      <c r="H57" s="367">
        <v>1955</v>
      </c>
      <c r="I57" s="367">
        <v>1955</v>
      </c>
      <c r="J57" s="367">
        <v>1955</v>
      </c>
      <c r="K57" s="367">
        <v>4455</v>
      </c>
      <c r="L57" s="367">
        <v>1955</v>
      </c>
      <c r="M57" s="367">
        <v>1955</v>
      </c>
      <c r="N57" s="367">
        <f>SUM(B57:M57)</f>
        <v>28807.040000000001</v>
      </c>
      <c r="O57" s="384">
        <f>N57/$N$38</f>
        <v>9.2057118807984985E-3</v>
      </c>
      <c r="Q57" s="367" t="e">
        <v>#REF!</v>
      </c>
      <c r="R57" s="368" t="e">
        <f>Q57/$Q$38</f>
        <v>#REF!</v>
      </c>
      <c r="S57" s="367">
        <v>57400</v>
      </c>
      <c r="T57" s="368">
        <f>S57/$S$38</f>
        <v>1.1473377335422618E-2</v>
      </c>
      <c r="U57" s="367"/>
      <c r="V57" s="367"/>
    </row>
    <row r="58" spans="1:22" s="371" customFormat="1" outlineLevel="1">
      <c r="A58" s="362" t="s">
        <v>19</v>
      </c>
      <c r="B58" s="370">
        <f t="shared" ref="B58:M58" si="22">SUM(B55:B57)</f>
        <v>18388.52</v>
      </c>
      <c r="C58" s="370">
        <f t="shared" si="22"/>
        <v>3628.52</v>
      </c>
      <c r="D58" s="370">
        <f t="shared" si="22"/>
        <v>3695</v>
      </c>
      <c r="E58" s="370">
        <f t="shared" si="22"/>
        <v>4195</v>
      </c>
      <c r="F58" s="370">
        <f t="shared" si="22"/>
        <v>4195</v>
      </c>
      <c r="G58" s="370">
        <f t="shared" si="22"/>
        <v>4195</v>
      </c>
      <c r="H58" s="370">
        <f t="shared" si="22"/>
        <v>4195</v>
      </c>
      <c r="I58" s="370">
        <f t="shared" si="22"/>
        <v>4195</v>
      </c>
      <c r="J58" s="370">
        <f t="shared" si="22"/>
        <v>4195</v>
      </c>
      <c r="K58" s="370">
        <f t="shared" si="22"/>
        <v>6695</v>
      </c>
      <c r="L58" s="370">
        <f t="shared" si="22"/>
        <v>4195</v>
      </c>
      <c r="M58" s="370">
        <f t="shared" si="22"/>
        <v>4195</v>
      </c>
      <c r="N58" s="370">
        <f>SUM(N56:N57)</f>
        <v>43567.040000000001</v>
      </c>
      <c r="Q58" s="370" t="e">
        <v>#REF!</v>
      </c>
      <c r="R58" s="368" t="e">
        <f>Q58/$Q$38</f>
        <v>#REF!</v>
      </c>
      <c r="S58" s="370">
        <v>57400</v>
      </c>
      <c r="T58" s="372"/>
      <c r="U58" s="370"/>
      <c r="V58" s="370"/>
    </row>
    <row r="59" spans="1:22" s="371" customFormat="1">
      <c r="A59" s="362"/>
      <c r="B59" s="373"/>
      <c r="C59" s="373"/>
      <c r="D59" s="373"/>
      <c r="E59" s="373"/>
      <c r="F59" s="373"/>
      <c r="G59" s="373"/>
      <c r="H59" s="373"/>
      <c r="I59" s="373"/>
      <c r="J59" s="373"/>
      <c r="K59" s="373"/>
      <c r="L59" s="373"/>
      <c r="M59" s="373"/>
      <c r="N59" s="373"/>
      <c r="Q59" s="373"/>
      <c r="R59" s="374"/>
      <c r="S59" s="373"/>
      <c r="T59" s="374"/>
      <c r="U59" s="373"/>
      <c r="V59" s="373"/>
    </row>
    <row r="60" spans="1:22" s="371" customFormat="1" ht="13.5" customHeight="1">
      <c r="A60" s="362" t="s">
        <v>872</v>
      </c>
      <c r="B60" s="373"/>
      <c r="C60" s="373"/>
      <c r="D60" s="373"/>
      <c r="E60" s="373"/>
      <c r="F60" s="373"/>
      <c r="G60" s="373"/>
      <c r="H60" s="373"/>
      <c r="I60" s="373"/>
      <c r="J60" s="373"/>
      <c r="K60" s="373"/>
      <c r="L60" s="373"/>
      <c r="M60" s="373"/>
      <c r="N60" s="373"/>
      <c r="Q60" s="373"/>
      <c r="R60" s="374"/>
      <c r="S60" s="373"/>
      <c r="T60" s="374"/>
      <c r="U60" s="373"/>
      <c r="V60" s="373"/>
    </row>
    <row r="61" spans="1:22">
      <c r="A61" s="366" t="s">
        <v>862</v>
      </c>
      <c r="B61" s="367">
        <f t="shared" ref="B61:M61" si="23">B56+B51+B55</f>
        <v>18740</v>
      </c>
      <c r="C61" s="367">
        <f t="shared" si="23"/>
        <v>2980</v>
      </c>
      <c r="D61" s="367">
        <f t="shared" si="23"/>
        <v>4220</v>
      </c>
      <c r="E61" s="367">
        <f t="shared" si="23"/>
        <v>4220</v>
      </c>
      <c r="F61" s="367">
        <f t="shared" si="23"/>
        <v>4220</v>
      </c>
      <c r="G61" s="367">
        <f t="shared" si="23"/>
        <v>4220</v>
      </c>
      <c r="H61" s="367">
        <f t="shared" si="23"/>
        <v>4220</v>
      </c>
      <c r="I61" s="367">
        <f t="shared" si="23"/>
        <v>4220</v>
      </c>
      <c r="J61" s="367">
        <f t="shared" si="23"/>
        <v>4220</v>
      </c>
      <c r="K61" s="367">
        <f t="shared" si="23"/>
        <v>4220</v>
      </c>
      <c r="L61" s="367">
        <f t="shared" si="23"/>
        <v>4220</v>
      </c>
      <c r="M61" s="367">
        <f t="shared" si="23"/>
        <v>4220</v>
      </c>
      <c r="N61" s="367">
        <f>SUM(B61:M61)</f>
        <v>63920</v>
      </c>
      <c r="O61" s="384">
        <f>N61/$N$38</f>
        <v>2.0426572928722981E-2</v>
      </c>
      <c r="P61" s="384"/>
      <c r="Q61" s="367">
        <v>20525.325301204801</v>
      </c>
      <c r="R61" s="368">
        <f>Q61/$Q$38</f>
        <v>9.6965921802897141E-3</v>
      </c>
      <c r="S61" s="367">
        <v>47832.795180722896</v>
      </c>
      <c r="T61" s="368">
        <f>S61/$S$38</f>
        <v>9.5610402110874286E-3</v>
      </c>
      <c r="U61" s="367"/>
      <c r="V61" s="367"/>
    </row>
    <row r="62" spans="1:22">
      <c r="A62" s="366" t="s">
        <v>871</v>
      </c>
      <c r="B62" s="367">
        <f t="shared" ref="B62:M62" si="24">B57+B52</f>
        <v>3628.52</v>
      </c>
      <c r="C62" s="367">
        <f t="shared" si="24"/>
        <v>3628.52</v>
      </c>
      <c r="D62" s="367">
        <f t="shared" si="24"/>
        <v>1455</v>
      </c>
      <c r="E62" s="367">
        <f t="shared" si="24"/>
        <v>1955</v>
      </c>
      <c r="F62" s="367">
        <f t="shared" si="24"/>
        <v>2955</v>
      </c>
      <c r="G62" s="367">
        <f t="shared" si="24"/>
        <v>1955</v>
      </c>
      <c r="H62" s="367">
        <f t="shared" si="24"/>
        <v>1955</v>
      </c>
      <c r="I62" s="367">
        <f t="shared" si="24"/>
        <v>1955</v>
      </c>
      <c r="J62" s="367">
        <f t="shared" si="24"/>
        <v>1955</v>
      </c>
      <c r="K62" s="367">
        <f t="shared" si="24"/>
        <v>4455</v>
      </c>
      <c r="L62" s="367">
        <f t="shared" si="24"/>
        <v>1955</v>
      </c>
      <c r="M62" s="367">
        <f t="shared" si="24"/>
        <v>1955</v>
      </c>
      <c r="N62" s="367">
        <f>SUM(B62:M62)</f>
        <v>29807.040000000001</v>
      </c>
      <c r="O62" s="384">
        <f>N62/$N$38</f>
        <v>9.5252765386320878E-3</v>
      </c>
      <c r="P62" s="384"/>
      <c r="Q62" s="367" t="e">
        <v>#REF!</v>
      </c>
      <c r="R62" s="368" t="e">
        <f>Q62/$Q$38</f>
        <v>#REF!</v>
      </c>
      <c r="S62" s="367">
        <v>88821.220883534101</v>
      </c>
      <c r="T62" s="368">
        <f>S62/$S$38</f>
        <v>1.7753996212364221E-2</v>
      </c>
      <c r="U62" s="367"/>
      <c r="V62" s="367"/>
    </row>
    <row r="63" spans="1:22" s="371" customFormat="1">
      <c r="A63" s="362" t="s">
        <v>19</v>
      </c>
      <c r="B63" s="370">
        <f t="shared" ref="B63:N63" si="25">SUM(B61:B62)</f>
        <v>22368.52</v>
      </c>
      <c r="C63" s="370">
        <f t="shared" si="25"/>
        <v>6608.52</v>
      </c>
      <c r="D63" s="370">
        <f t="shared" si="25"/>
        <v>5675</v>
      </c>
      <c r="E63" s="370">
        <f t="shared" si="25"/>
        <v>6175</v>
      </c>
      <c r="F63" s="370">
        <f t="shared" si="25"/>
        <v>7175</v>
      </c>
      <c r="G63" s="370">
        <f t="shared" si="25"/>
        <v>6175</v>
      </c>
      <c r="H63" s="370">
        <f t="shared" si="25"/>
        <v>6175</v>
      </c>
      <c r="I63" s="370">
        <f t="shared" si="25"/>
        <v>6175</v>
      </c>
      <c r="J63" s="370">
        <f t="shared" si="25"/>
        <v>6175</v>
      </c>
      <c r="K63" s="370">
        <f t="shared" si="25"/>
        <v>8675</v>
      </c>
      <c r="L63" s="370">
        <f t="shared" si="25"/>
        <v>6175</v>
      </c>
      <c r="M63" s="370">
        <f t="shared" si="25"/>
        <v>6175</v>
      </c>
      <c r="N63" s="370">
        <f t="shared" si="25"/>
        <v>93727.040000000008</v>
      </c>
      <c r="Q63" s="370" t="e">
        <v>#REF!</v>
      </c>
      <c r="R63" s="368" t="e">
        <f>Q63/$Q$38</f>
        <v>#REF!</v>
      </c>
      <c r="S63" s="370">
        <v>136654.01606425701</v>
      </c>
      <c r="T63" s="372"/>
      <c r="U63" s="370"/>
      <c r="V63" s="370"/>
    </row>
    <row r="64" spans="1:22" s="371" customFormat="1">
      <c r="A64" s="362" t="s">
        <v>873</v>
      </c>
      <c r="B64" s="375">
        <f t="shared" ref="B64:N64" si="26">B63/B38</f>
        <v>9.9233002795033429E-2</v>
      </c>
      <c r="C64" s="375">
        <f t="shared" si="26"/>
        <v>2.7677868033698337E-2</v>
      </c>
      <c r="D64" s="375">
        <f t="shared" si="26"/>
        <v>2.3685520396551123E-2</v>
      </c>
      <c r="E64" s="375">
        <f t="shared" si="26"/>
        <v>3.0328501630568303E-2</v>
      </c>
      <c r="F64" s="375">
        <f t="shared" si="26"/>
        <v>3.1661558896015497E-2</v>
      </c>
      <c r="G64" s="375">
        <f t="shared" si="26"/>
        <v>2.6593011847434407E-2</v>
      </c>
      <c r="H64" s="375">
        <f t="shared" si="26"/>
        <v>2.6513085699824815E-2</v>
      </c>
      <c r="I64" s="375">
        <f t="shared" si="26"/>
        <v>2.0858829804447202E-2</v>
      </c>
      <c r="J64" s="375">
        <f t="shared" si="26"/>
        <v>2.0309981295082814E-2</v>
      </c>
      <c r="K64" s="375">
        <f t="shared" si="26"/>
        <v>2.8377135964197508E-2</v>
      </c>
      <c r="L64" s="375">
        <f t="shared" si="26"/>
        <v>1.9876428165622954E-2</v>
      </c>
      <c r="M64" s="375">
        <f t="shared" si="26"/>
        <v>1.9684169649681709E-2</v>
      </c>
      <c r="N64" s="375">
        <f t="shared" si="26"/>
        <v>2.995184946735507E-2</v>
      </c>
      <c r="Q64" s="375"/>
      <c r="R64" s="376"/>
      <c r="S64" s="375">
        <v>2.7315036423451601E-2</v>
      </c>
      <c r="T64" s="376"/>
      <c r="U64" s="375"/>
      <c r="V64" s="375"/>
    </row>
    <row r="65" spans="1:22" s="371" customFormat="1">
      <c r="A65" s="362"/>
      <c r="B65" s="373"/>
      <c r="C65" s="373"/>
      <c r="D65" s="373"/>
      <c r="E65" s="373"/>
      <c r="F65" s="373"/>
      <c r="G65" s="373"/>
      <c r="H65" s="373"/>
      <c r="I65" s="373"/>
      <c r="J65" s="373"/>
      <c r="K65" s="373"/>
      <c r="L65" s="373"/>
      <c r="M65" s="373"/>
      <c r="N65" s="373"/>
      <c r="Q65" s="373"/>
      <c r="R65" s="374"/>
      <c r="S65" s="373"/>
      <c r="T65" s="374"/>
      <c r="U65" s="373"/>
      <c r="V65" s="373"/>
    </row>
    <row r="66" spans="1:22" s="371" customFormat="1" outlineLevel="1">
      <c r="A66" s="362" t="s">
        <v>15</v>
      </c>
      <c r="B66" s="373"/>
      <c r="C66" s="373"/>
      <c r="D66" s="373"/>
      <c r="E66" s="373"/>
      <c r="F66" s="373"/>
      <c r="G66" s="373"/>
      <c r="H66" s="373"/>
      <c r="I66" s="373"/>
      <c r="J66" s="373"/>
      <c r="K66" s="373"/>
      <c r="L66" s="373"/>
      <c r="M66" s="373"/>
      <c r="N66" s="373"/>
      <c r="Q66" s="373"/>
      <c r="R66" s="374"/>
      <c r="S66" s="373"/>
      <c r="T66" s="374"/>
      <c r="U66" s="373"/>
      <c r="V66" s="373"/>
    </row>
    <row r="67" spans="1:22" s="371" customFormat="1" outlineLevel="1">
      <c r="A67" s="362" t="s">
        <v>157</v>
      </c>
      <c r="B67" s="373"/>
      <c r="C67" s="373"/>
      <c r="D67" s="373"/>
      <c r="E67" s="373"/>
      <c r="F67" s="373"/>
      <c r="G67" s="373"/>
      <c r="H67" s="373"/>
      <c r="I67" s="373"/>
      <c r="J67" s="373"/>
      <c r="K67" s="373"/>
      <c r="L67" s="373"/>
      <c r="M67" s="373"/>
      <c r="N67" s="373"/>
      <c r="Q67" s="373"/>
      <c r="R67" s="374"/>
      <c r="S67" s="373"/>
      <c r="T67" s="374"/>
      <c r="U67" s="373"/>
      <c r="V67" s="373"/>
    </row>
    <row r="68" spans="1:22" s="389" customFormat="1" outlineLevel="1">
      <c r="A68" s="386" t="s">
        <v>147</v>
      </c>
      <c r="B68" s="387">
        <v>9945</v>
      </c>
      <c r="C68" s="387">
        <v>9945</v>
      </c>
      <c r="D68" s="387">
        <v>9945</v>
      </c>
      <c r="E68" s="387">
        <v>9945</v>
      </c>
      <c r="F68" s="387">
        <v>9945</v>
      </c>
      <c r="G68" s="387">
        <v>9945</v>
      </c>
      <c r="H68" s="387">
        <v>9945</v>
      </c>
      <c r="I68" s="387">
        <v>9945</v>
      </c>
      <c r="J68" s="387">
        <v>9945</v>
      </c>
      <c r="K68" s="387">
        <v>9945</v>
      </c>
      <c r="L68" s="387">
        <v>9945</v>
      </c>
      <c r="M68" s="387">
        <v>9945</v>
      </c>
      <c r="N68" s="387">
        <f>SUM(B68:M68)</f>
        <v>119340</v>
      </c>
      <c r="O68" s="388">
        <f>N68/$N$38</f>
        <v>3.8136846265860461E-2</v>
      </c>
      <c r="Q68" s="387">
        <v>145303.120481928</v>
      </c>
      <c r="R68" s="390">
        <f>Q68/$Q$38</f>
        <v>6.8644227614460984E-2</v>
      </c>
      <c r="S68" s="387">
        <v>128499.291487952</v>
      </c>
      <c r="T68" s="390">
        <f>S68/$S$38</f>
        <v>2.5685032379368172E-2</v>
      </c>
      <c r="U68" s="387"/>
      <c r="V68" s="387"/>
    </row>
    <row r="69" spans="1:22" outlineLevel="1">
      <c r="A69" s="366" t="s">
        <v>862</v>
      </c>
      <c r="B69" s="367">
        <v>4480</v>
      </c>
      <c r="C69" s="367">
        <v>3930</v>
      </c>
      <c r="D69" s="367">
        <v>3380</v>
      </c>
      <c r="E69" s="367">
        <v>3380</v>
      </c>
      <c r="F69" s="367">
        <v>4830</v>
      </c>
      <c r="G69" s="367">
        <v>4830</v>
      </c>
      <c r="H69" s="367">
        <v>4830</v>
      </c>
      <c r="I69" s="367">
        <v>4830</v>
      </c>
      <c r="J69" s="367">
        <v>4830</v>
      </c>
      <c r="K69" s="367">
        <v>4830</v>
      </c>
      <c r="L69" s="367">
        <v>4830</v>
      </c>
      <c r="M69" s="367">
        <v>4830</v>
      </c>
      <c r="N69" s="367">
        <f>SUM(B69:M69)</f>
        <v>53810</v>
      </c>
      <c r="O69" s="384">
        <f>N69/$N$38</f>
        <v>1.7195774238025402E-2</v>
      </c>
      <c r="Q69" s="367">
        <v>12785.6265060241</v>
      </c>
      <c r="R69" s="368">
        <f>Q69/$Q$38</f>
        <v>6.0401968874588784E-3</v>
      </c>
      <c r="S69" s="367">
        <v>33257.522891566303</v>
      </c>
      <c r="T69" s="368">
        <f>S69/$S$38</f>
        <v>6.6476674107386014E-3</v>
      </c>
      <c r="U69" s="367"/>
      <c r="V69" s="367"/>
    </row>
    <row r="70" spans="1:22" outlineLevel="1">
      <c r="A70" s="366" t="s">
        <v>874</v>
      </c>
      <c r="B70" s="367">
        <v>534.48275862068999</v>
      </c>
      <c r="C70" s="367">
        <v>3224.1379310344801</v>
      </c>
      <c r="D70" s="367">
        <v>63.218390804597703</v>
      </c>
      <c r="E70" s="367">
        <v>63.218390804597703</v>
      </c>
      <c r="F70" s="367">
        <v>63.218390804597703</v>
      </c>
      <c r="G70" s="367">
        <v>63.218390804597703</v>
      </c>
      <c r="H70" s="367">
        <v>63.218390804597703</v>
      </c>
      <c r="I70" s="367">
        <v>63.218390804597703</v>
      </c>
      <c r="J70" s="367">
        <v>63.218390804597703</v>
      </c>
      <c r="K70" s="367">
        <v>63.218390804597703</v>
      </c>
      <c r="L70" s="367">
        <v>63.218390804597703</v>
      </c>
      <c r="M70" s="367">
        <v>63.218390804597703</v>
      </c>
      <c r="N70" s="367">
        <f>SUM(B70:M70)</f>
        <v>4390.8045977011489</v>
      </c>
      <c r="O70" s="384">
        <f>N70/$N$38</f>
        <v>1.4031459688785151E-3</v>
      </c>
      <c r="Q70" s="367">
        <v>32492.626506024098</v>
      </c>
      <c r="R70" s="368">
        <f>Q70/$Q$38</f>
        <v>1.5350195111250863E-2</v>
      </c>
      <c r="S70" s="367">
        <v>5060.24096385542</v>
      </c>
      <c r="T70" s="368">
        <f>S70/$S$38</f>
        <v>1.0114643551650852E-3</v>
      </c>
      <c r="U70" s="367"/>
      <c r="V70" s="367"/>
    </row>
    <row r="71" spans="1:22" outlineLevel="1">
      <c r="A71" s="366" t="s">
        <v>614</v>
      </c>
      <c r="B71" s="367">
        <v>1379.3103448275899</v>
      </c>
      <c r="C71" s="367">
        <v>4629.3103448275897</v>
      </c>
      <c r="D71" s="367">
        <v>1379.3103448275899</v>
      </c>
      <c r="E71" s="367">
        <v>7126.4367816091999</v>
      </c>
      <c r="F71" s="367">
        <v>4629.3103448275897</v>
      </c>
      <c r="G71" s="367">
        <v>1379.3103448275899</v>
      </c>
      <c r="H71" s="367">
        <v>7379.3103448275897</v>
      </c>
      <c r="I71" s="367">
        <v>1379.3103448275899</v>
      </c>
      <c r="J71" s="367">
        <v>1379.3103448275899</v>
      </c>
      <c r="K71" s="367">
        <v>1379.3103448275899</v>
      </c>
      <c r="L71" s="367">
        <v>1379.3103448275899</v>
      </c>
      <c r="M71" s="367">
        <v>1379.3103448275899</v>
      </c>
      <c r="N71" s="367">
        <f>SUM(B71:M71)</f>
        <v>34798.850574712691</v>
      </c>
      <c r="O71" s="384">
        <f>N71/$N$38</f>
        <v>1.1120482776910239E-2</v>
      </c>
      <c r="Q71" s="367">
        <v>12785.6265060241</v>
      </c>
      <c r="R71" s="368">
        <f>Q71/$Q$38</f>
        <v>6.0401968874588784E-3</v>
      </c>
      <c r="S71" s="367">
        <v>11514.216867469901</v>
      </c>
      <c r="T71" s="368">
        <f>S71/$S$38</f>
        <v>2.3015148927242159E-3</v>
      </c>
      <c r="U71" s="367"/>
      <c r="V71" s="367"/>
    </row>
    <row r="72" spans="1:22" s="371" customFormat="1" outlineLevel="1">
      <c r="A72" s="362" t="s">
        <v>19</v>
      </c>
      <c r="B72" s="370">
        <f t="shared" ref="B72:N72" si="27">SUM(B68:B71)</f>
        <v>16338.793103448281</v>
      </c>
      <c r="C72" s="370">
        <f t="shared" si="27"/>
        <v>21728.448275862069</v>
      </c>
      <c r="D72" s="370">
        <f t="shared" si="27"/>
        <v>14767.528735632188</v>
      </c>
      <c r="E72" s="370">
        <f t="shared" si="27"/>
        <v>20514.655172413797</v>
      </c>
      <c r="F72" s="370">
        <f t="shared" si="27"/>
        <v>19467.528735632186</v>
      </c>
      <c r="G72" s="370">
        <f t="shared" si="27"/>
        <v>16217.528735632188</v>
      </c>
      <c r="H72" s="370">
        <f t="shared" si="27"/>
        <v>22217.528735632186</v>
      </c>
      <c r="I72" s="370">
        <f t="shared" si="27"/>
        <v>16217.528735632188</v>
      </c>
      <c r="J72" s="370">
        <f t="shared" si="27"/>
        <v>16217.528735632188</v>
      </c>
      <c r="K72" s="370">
        <f t="shared" si="27"/>
        <v>16217.528735632188</v>
      </c>
      <c r="L72" s="370">
        <f t="shared" si="27"/>
        <v>16217.528735632188</v>
      </c>
      <c r="M72" s="370">
        <f t="shared" si="27"/>
        <v>16217.528735632188</v>
      </c>
      <c r="N72" s="370">
        <f t="shared" si="27"/>
        <v>212339.65517241386</v>
      </c>
      <c r="O72" s="384">
        <f>N72/$N$38</f>
        <v>6.7856249249674622E-2</v>
      </c>
      <c r="Q72" s="370">
        <v>203367</v>
      </c>
      <c r="R72" s="368">
        <f>Q72/$Q$38</f>
        <v>9.6074816500629462E-2</v>
      </c>
      <c r="S72" s="370">
        <v>178331.27221084299</v>
      </c>
      <c r="T72" s="368">
        <f>S72/$S$38</f>
        <v>3.5645679037995946E-2</v>
      </c>
      <c r="U72" s="370"/>
      <c r="V72" s="370"/>
    </row>
    <row r="73" spans="1:22" s="371" customFormat="1" outlineLevel="1">
      <c r="A73" s="362"/>
      <c r="B73" s="373"/>
      <c r="C73" s="373"/>
      <c r="D73" s="373"/>
      <c r="E73" s="373"/>
      <c r="F73" s="373"/>
      <c r="G73" s="373"/>
      <c r="H73" s="373"/>
      <c r="I73" s="373"/>
      <c r="J73" s="373"/>
      <c r="K73" s="373"/>
      <c r="L73" s="373"/>
      <c r="M73" s="373"/>
      <c r="N73" s="373"/>
      <c r="Q73" s="373"/>
      <c r="R73" s="374"/>
      <c r="S73" s="373"/>
      <c r="T73" s="374"/>
      <c r="U73" s="373"/>
      <c r="V73" s="373"/>
    </row>
    <row r="74" spans="1:22" s="371" customFormat="1" outlineLevel="1">
      <c r="A74" s="362" t="s">
        <v>156</v>
      </c>
      <c r="B74" s="373"/>
      <c r="C74" s="373"/>
      <c r="D74" s="373"/>
      <c r="E74" s="373"/>
      <c r="F74" s="373"/>
      <c r="G74" s="373"/>
      <c r="H74" s="373"/>
      <c r="I74" s="373"/>
      <c r="J74" s="373"/>
      <c r="K74" s="373"/>
      <c r="L74" s="373"/>
      <c r="M74" s="373"/>
      <c r="N74" s="373"/>
      <c r="Q74" s="373"/>
      <c r="R74" s="374"/>
      <c r="S74" s="373"/>
      <c r="T74" s="374"/>
      <c r="U74" s="373"/>
      <c r="V74" s="373"/>
    </row>
    <row r="75" spans="1:22" s="389" customFormat="1" outlineLevel="1">
      <c r="A75" s="386" t="s">
        <v>147</v>
      </c>
      <c r="B75" s="387">
        <v>27300</v>
      </c>
      <c r="C75" s="387">
        <v>17154.84</v>
      </c>
      <c r="D75" s="387">
        <v>17154.84</v>
      </c>
      <c r="E75" s="387">
        <v>17154.84</v>
      </c>
      <c r="F75" s="387">
        <v>21709.73</v>
      </c>
      <c r="G75" s="387">
        <v>17154.84</v>
      </c>
      <c r="H75" s="387">
        <v>17154.84</v>
      </c>
      <c r="I75" s="387">
        <v>17154.84</v>
      </c>
      <c r="J75" s="387">
        <v>17154.84</v>
      </c>
      <c r="K75" s="387">
        <v>21709.73</v>
      </c>
      <c r="L75" s="387">
        <v>17154.84</v>
      </c>
      <c r="M75" s="387">
        <v>17154.84</v>
      </c>
      <c r="N75" s="387">
        <f>SUM(B75:M75)</f>
        <v>225113.02</v>
      </c>
      <c r="O75" s="388">
        <f>N75/$N$38</f>
        <v>7.193816521018577E-2</v>
      </c>
      <c r="Q75" s="387">
        <v>377612.41</v>
      </c>
      <c r="R75" s="390">
        <f>Q75/$Q$38</f>
        <v>0.17839198591271177</v>
      </c>
      <c r="S75" s="387">
        <v>339452.52</v>
      </c>
      <c r="T75" s="390">
        <f>S75/$S$38</f>
        <v>6.7851338840071315E-2</v>
      </c>
      <c r="U75" s="387"/>
      <c r="V75" s="387"/>
    </row>
    <row r="76" spans="1:22" outlineLevel="1">
      <c r="A76" s="391" t="s">
        <v>875</v>
      </c>
      <c r="B76" s="367"/>
      <c r="C76" s="367"/>
      <c r="D76" s="367"/>
      <c r="E76" s="367"/>
      <c r="F76" s="367"/>
      <c r="G76" s="367"/>
      <c r="H76" s="367"/>
      <c r="I76" s="367"/>
      <c r="J76" s="367"/>
      <c r="K76" s="367"/>
      <c r="L76" s="367"/>
      <c r="M76" s="367"/>
      <c r="N76" s="367"/>
      <c r="O76" s="384"/>
      <c r="Q76" s="367">
        <v>38682.5</v>
      </c>
      <c r="R76" s="368">
        <f>Q76/$Q$38</f>
        <v>1.8274420576030521E-2</v>
      </c>
      <c r="S76" s="367"/>
      <c r="T76" s="368"/>
      <c r="U76" s="367"/>
      <c r="V76" s="367"/>
    </row>
    <row r="77" spans="1:22" outlineLevel="1">
      <c r="A77" s="366" t="s">
        <v>876</v>
      </c>
      <c r="B77" s="367">
        <v>0</v>
      </c>
      <c r="C77" s="367">
        <v>0</v>
      </c>
      <c r="D77" s="367">
        <v>0</v>
      </c>
      <c r="E77" s="367">
        <v>0</v>
      </c>
      <c r="F77" s="367">
        <v>0</v>
      </c>
      <c r="G77" s="367">
        <v>0</v>
      </c>
      <c r="H77" s="367">
        <v>0</v>
      </c>
      <c r="I77" s="367">
        <v>0</v>
      </c>
      <c r="J77" s="367">
        <v>0</v>
      </c>
      <c r="K77" s="367">
        <v>0</v>
      </c>
      <c r="L77" s="367">
        <v>0</v>
      </c>
      <c r="M77" s="367">
        <v>0</v>
      </c>
      <c r="N77" s="367">
        <f>SUM(B77:M77)</f>
        <v>0</v>
      </c>
      <c r="O77" s="384">
        <f>N77/$N$38</f>
        <v>0</v>
      </c>
      <c r="Q77" s="367">
        <v>44083.28</v>
      </c>
      <c r="R77" s="368">
        <f>Q77/$Q$38</f>
        <v>2.0825861800320939E-2</v>
      </c>
      <c r="S77" s="367">
        <v>132480</v>
      </c>
      <c r="T77" s="368">
        <f>S77/$S$38</f>
        <v>2.6480714797853459E-2</v>
      </c>
      <c r="U77" s="367"/>
      <c r="V77" s="367"/>
    </row>
    <row r="78" spans="1:22" s="371" customFormat="1" outlineLevel="1">
      <c r="A78" s="362" t="s">
        <v>19</v>
      </c>
      <c r="B78" s="370">
        <f t="shared" ref="B78:N78" si="28">SUM(B75:B77)</f>
        <v>27300</v>
      </c>
      <c r="C78" s="370">
        <f t="shared" si="28"/>
        <v>17154.84</v>
      </c>
      <c r="D78" s="370">
        <f t="shared" si="28"/>
        <v>17154.84</v>
      </c>
      <c r="E78" s="370">
        <f t="shared" si="28"/>
        <v>17154.84</v>
      </c>
      <c r="F78" s="370">
        <f t="shared" si="28"/>
        <v>21709.73</v>
      </c>
      <c r="G78" s="370">
        <f t="shared" si="28"/>
        <v>17154.84</v>
      </c>
      <c r="H78" s="370">
        <f t="shared" si="28"/>
        <v>17154.84</v>
      </c>
      <c r="I78" s="370">
        <f t="shared" si="28"/>
        <v>17154.84</v>
      </c>
      <c r="J78" s="370">
        <f t="shared" si="28"/>
        <v>17154.84</v>
      </c>
      <c r="K78" s="370">
        <f t="shared" si="28"/>
        <v>21709.73</v>
      </c>
      <c r="L78" s="370">
        <f t="shared" si="28"/>
        <v>17154.84</v>
      </c>
      <c r="M78" s="370">
        <f t="shared" si="28"/>
        <v>17154.84</v>
      </c>
      <c r="N78" s="370">
        <f t="shared" si="28"/>
        <v>225113.02</v>
      </c>
      <c r="O78" s="384">
        <f>N78/$N$38</f>
        <v>7.193816521018577E-2</v>
      </c>
      <c r="Q78" s="370">
        <v>460378.19</v>
      </c>
      <c r="R78" s="368">
        <f>Q78/$Q$38</f>
        <v>0.21749226828906326</v>
      </c>
      <c r="S78" s="370">
        <v>471932.52</v>
      </c>
      <c r="T78" s="368">
        <f>S78/$S$38</f>
        <v>9.4332053637924781E-2</v>
      </c>
      <c r="U78" s="370"/>
      <c r="V78" s="370"/>
    </row>
    <row r="79" spans="1:22" s="371" customFormat="1" outlineLevel="1">
      <c r="A79" s="362"/>
      <c r="B79" s="373"/>
      <c r="C79" s="373"/>
      <c r="D79" s="373"/>
      <c r="E79" s="373"/>
      <c r="F79" s="373"/>
      <c r="G79" s="373"/>
      <c r="H79" s="373"/>
      <c r="I79" s="373"/>
      <c r="J79" s="373"/>
      <c r="K79" s="373"/>
      <c r="L79" s="373"/>
      <c r="M79" s="373"/>
      <c r="N79" s="373"/>
      <c r="Q79" s="373"/>
      <c r="R79" s="374"/>
      <c r="S79" s="373"/>
      <c r="T79" s="374"/>
      <c r="U79" s="373"/>
      <c r="V79" s="373"/>
    </row>
    <row r="80" spans="1:22" s="371" customFormat="1">
      <c r="A80" s="362" t="s">
        <v>877</v>
      </c>
      <c r="B80" s="373"/>
      <c r="C80" s="373"/>
      <c r="D80" s="373"/>
      <c r="E80" s="373"/>
      <c r="F80" s="373"/>
      <c r="G80" s="373"/>
      <c r="H80" s="373"/>
      <c r="I80" s="373"/>
      <c r="J80" s="373"/>
      <c r="K80" s="373"/>
      <c r="L80" s="373"/>
      <c r="M80" s="373"/>
      <c r="N80" s="373"/>
      <c r="Q80" s="373"/>
      <c r="R80" s="374"/>
      <c r="S80" s="373"/>
      <c r="T80" s="374"/>
      <c r="U80" s="373"/>
      <c r="V80" s="373"/>
    </row>
    <row r="81" spans="1:22" s="389" customFormat="1">
      <c r="A81" s="386" t="s">
        <v>147</v>
      </c>
      <c r="B81" s="387">
        <f t="shared" ref="B81:M81" si="29">B75+B68</f>
        <v>37245</v>
      </c>
      <c r="C81" s="387">
        <f t="shared" si="29"/>
        <v>27099.84</v>
      </c>
      <c r="D81" s="387">
        <f t="shared" si="29"/>
        <v>27099.84</v>
      </c>
      <c r="E81" s="387">
        <f t="shared" si="29"/>
        <v>27099.84</v>
      </c>
      <c r="F81" s="387">
        <f t="shared" si="29"/>
        <v>31654.73</v>
      </c>
      <c r="G81" s="387">
        <f t="shared" si="29"/>
        <v>27099.84</v>
      </c>
      <c r="H81" s="387">
        <f t="shared" si="29"/>
        <v>27099.84</v>
      </c>
      <c r="I81" s="387">
        <f t="shared" si="29"/>
        <v>27099.84</v>
      </c>
      <c r="J81" s="387">
        <f t="shared" si="29"/>
        <v>27099.84</v>
      </c>
      <c r="K81" s="387">
        <f t="shared" si="29"/>
        <v>31654.73</v>
      </c>
      <c r="L81" s="387">
        <f t="shared" si="29"/>
        <v>27099.84</v>
      </c>
      <c r="M81" s="387">
        <f t="shared" si="29"/>
        <v>27099.84</v>
      </c>
      <c r="N81" s="387">
        <f>SUM(B81:M81)</f>
        <v>344453.02</v>
      </c>
      <c r="O81" s="388">
        <f>N81/$N$38</f>
        <v>0.11007501147604624</v>
      </c>
      <c r="P81" s="388"/>
      <c r="Q81" s="387">
        <v>522915.53048192803</v>
      </c>
      <c r="R81" s="390">
        <f>Q81/$Q$38</f>
        <v>0.24703621352717278</v>
      </c>
      <c r="S81" s="387">
        <v>467951.81148795201</v>
      </c>
      <c r="T81" s="390">
        <f>S81/$S$38</f>
        <v>9.3536371219439488E-2</v>
      </c>
      <c r="U81" s="387"/>
      <c r="V81" s="387"/>
    </row>
    <row r="82" spans="1:22">
      <c r="A82" s="366" t="s">
        <v>862</v>
      </c>
      <c r="B82" s="367">
        <f t="shared" ref="B82:M82" si="30">B69</f>
        <v>4480</v>
      </c>
      <c r="C82" s="367">
        <f t="shared" si="30"/>
        <v>3930</v>
      </c>
      <c r="D82" s="367">
        <f t="shared" si="30"/>
        <v>3380</v>
      </c>
      <c r="E82" s="367">
        <f t="shared" si="30"/>
        <v>3380</v>
      </c>
      <c r="F82" s="367">
        <f t="shared" si="30"/>
        <v>4830</v>
      </c>
      <c r="G82" s="367">
        <f t="shared" si="30"/>
        <v>4830</v>
      </c>
      <c r="H82" s="367">
        <f t="shared" si="30"/>
        <v>4830</v>
      </c>
      <c r="I82" s="367">
        <f t="shared" si="30"/>
        <v>4830</v>
      </c>
      <c r="J82" s="367">
        <f t="shared" si="30"/>
        <v>4830</v>
      </c>
      <c r="K82" s="367">
        <f t="shared" si="30"/>
        <v>4830</v>
      </c>
      <c r="L82" s="367">
        <f t="shared" si="30"/>
        <v>4830</v>
      </c>
      <c r="M82" s="367">
        <f t="shared" si="30"/>
        <v>4830</v>
      </c>
      <c r="N82" s="367">
        <f>SUM(B82:M82)</f>
        <v>53810</v>
      </c>
      <c r="O82" s="384">
        <f>N82/$N$38</f>
        <v>1.7195774238025402E-2</v>
      </c>
      <c r="P82" s="384"/>
      <c r="Q82" s="367">
        <v>12785.6265060241</v>
      </c>
      <c r="R82" s="368">
        <f>Q82/$Q$38</f>
        <v>6.0401968874588784E-3</v>
      </c>
      <c r="S82" s="367">
        <v>33257.522891566303</v>
      </c>
      <c r="T82" s="368">
        <f>S82/$S$38</f>
        <v>6.6476674107386014E-3</v>
      </c>
      <c r="U82" s="367"/>
      <c r="V82" s="367"/>
    </row>
    <row r="83" spans="1:22">
      <c r="A83" s="366" t="s">
        <v>878</v>
      </c>
      <c r="B83" s="367">
        <f t="shared" ref="B83:M83" si="31">B70</f>
        <v>534.48275862068999</v>
      </c>
      <c r="C83" s="367">
        <f t="shared" si="31"/>
        <v>3224.1379310344801</v>
      </c>
      <c r="D83" s="367">
        <f t="shared" si="31"/>
        <v>63.218390804597703</v>
      </c>
      <c r="E83" s="367">
        <f t="shared" si="31"/>
        <v>63.218390804597703</v>
      </c>
      <c r="F83" s="367">
        <f t="shared" si="31"/>
        <v>63.218390804597703</v>
      </c>
      <c r="G83" s="367">
        <f t="shared" si="31"/>
        <v>63.218390804597703</v>
      </c>
      <c r="H83" s="367">
        <f t="shared" si="31"/>
        <v>63.218390804597703</v>
      </c>
      <c r="I83" s="367">
        <f t="shared" si="31"/>
        <v>63.218390804597703</v>
      </c>
      <c r="J83" s="367">
        <f t="shared" si="31"/>
        <v>63.218390804597703</v>
      </c>
      <c r="K83" s="367">
        <f t="shared" si="31"/>
        <v>63.218390804597703</v>
      </c>
      <c r="L83" s="367">
        <f t="shared" si="31"/>
        <v>63.218390804597703</v>
      </c>
      <c r="M83" s="367">
        <f t="shared" si="31"/>
        <v>63.218390804597703</v>
      </c>
      <c r="N83" s="367">
        <f>SUM(B83:M83)</f>
        <v>4390.8045977011489</v>
      </c>
      <c r="O83" s="384">
        <f>N83/$N$38</f>
        <v>1.4031459688785151E-3</v>
      </c>
      <c r="P83" s="384"/>
      <c r="Q83" s="367">
        <v>71175.126506024098</v>
      </c>
      <c r="R83" s="368">
        <f>Q83/$Q$38</f>
        <v>3.3624615687281388E-2</v>
      </c>
      <c r="S83" s="367">
        <v>5060.24096385542</v>
      </c>
      <c r="T83" s="368">
        <f>S83/$S$38</f>
        <v>1.0114643551650852E-3</v>
      </c>
      <c r="U83" s="367"/>
      <c r="V83" s="367"/>
    </row>
    <row r="84" spans="1:22">
      <c r="A84" s="366" t="s">
        <v>614</v>
      </c>
      <c r="B84" s="367">
        <f t="shared" ref="B84:M84" si="32">B77+B71</f>
        <v>1379.3103448275899</v>
      </c>
      <c r="C84" s="367">
        <f t="shared" si="32"/>
        <v>4629.3103448275897</v>
      </c>
      <c r="D84" s="367">
        <f t="shared" si="32"/>
        <v>1379.3103448275899</v>
      </c>
      <c r="E84" s="367">
        <f t="shared" si="32"/>
        <v>7126.4367816091999</v>
      </c>
      <c r="F84" s="367">
        <f t="shared" si="32"/>
        <v>4629.3103448275897</v>
      </c>
      <c r="G84" s="367">
        <f t="shared" si="32"/>
        <v>1379.3103448275899</v>
      </c>
      <c r="H84" s="367">
        <f t="shared" si="32"/>
        <v>7379.3103448275897</v>
      </c>
      <c r="I84" s="367">
        <f t="shared" si="32"/>
        <v>1379.3103448275899</v>
      </c>
      <c r="J84" s="367">
        <f t="shared" si="32"/>
        <v>1379.3103448275899</v>
      </c>
      <c r="K84" s="367">
        <f t="shared" si="32"/>
        <v>1379.3103448275899</v>
      </c>
      <c r="L84" s="367">
        <f t="shared" si="32"/>
        <v>1379.3103448275899</v>
      </c>
      <c r="M84" s="367">
        <f t="shared" si="32"/>
        <v>1379.3103448275899</v>
      </c>
      <c r="N84" s="367">
        <f>SUM(B84:M84)</f>
        <v>34798.850574712691</v>
      </c>
      <c r="O84" s="384">
        <f>N84/$N$38</f>
        <v>1.1120482776910239E-2</v>
      </c>
      <c r="P84" s="384"/>
      <c r="Q84" s="367">
        <v>56868.906506024097</v>
      </c>
      <c r="R84" s="368">
        <f>Q84/$Q$38</f>
        <v>2.6866058687779817E-2</v>
      </c>
      <c r="S84" s="367">
        <v>143994.21686747001</v>
      </c>
      <c r="T84" s="368">
        <f>S84/$S$38</f>
        <v>2.8782229690577695E-2</v>
      </c>
      <c r="U84" s="367"/>
      <c r="V84" s="367"/>
    </row>
    <row r="85" spans="1:22" s="371" customFormat="1">
      <c r="A85" s="362" t="s">
        <v>19</v>
      </c>
      <c r="B85" s="370">
        <f t="shared" ref="B85:N85" si="33">SUM(B81:B84)</f>
        <v>43638.793103448275</v>
      </c>
      <c r="C85" s="370">
        <f t="shared" si="33"/>
        <v>38883.288275862069</v>
      </c>
      <c r="D85" s="370">
        <f t="shared" si="33"/>
        <v>31922.36873563219</v>
      </c>
      <c r="E85" s="370">
        <f t="shared" si="33"/>
        <v>37669.495172413801</v>
      </c>
      <c r="F85" s="370">
        <f t="shared" si="33"/>
        <v>41177.258735632182</v>
      </c>
      <c r="G85" s="370">
        <f t="shared" si="33"/>
        <v>33372.36873563219</v>
      </c>
      <c r="H85" s="370">
        <f t="shared" si="33"/>
        <v>39372.36873563219</v>
      </c>
      <c r="I85" s="370">
        <f t="shared" si="33"/>
        <v>33372.36873563219</v>
      </c>
      <c r="J85" s="370">
        <f t="shared" si="33"/>
        <v>33372.36873563219</v>
      </c>
      <c r="K85" s="370">
        <f t="shared" si="33"/>
        <v>37927.258735632182</v>
      </c>
      <c r="L85" s="370">
        <f t="shared" si="33"/>
        <v>33372.36873563219</v>
      </c>
      <c r="M85" s="370">
        <f t="shared" si="33"/>
        <v>33372.36873563219</v>
      </c>
      <c r="N85" s="370">
        <f t="shared" si="33"/>
        <v>437452.67517241382</v>
      </c>
      <c r="O85" s="384">
        <f>N85/$N$38</f>
        <v>0.13979441445986038</v>
      </c>
      <c r="Q85" s="370">
        <v>663745.18999999994</v>
      </c>
      <c r="R85" s="368">
        <f>Q85/$Q$38</f>
        <v>0.3135670847896927</v>
      </c>
      <c r="S85" s="370">
        <v>650263.79221084295</v>
      </c>
      <c r="T85" s="368">
        <f>S85/$S$38</f>
        <v>0.12997773267592072</v>
      </c>
      <c r="U85" s="370"/>
      <c r="V85" s="370"/>
    </row>
    <row r="86" spans="1:22" s="380" customFormat="1">
      <c r="A86" s="379" t="s">
        <v>682</v>
      </c>
      <c r="B86" s="375">
        <f t="shared" ref="B86:N86" si="34">B85/B38</f>
        <v>0.19359387558972915</v>
      </c>
      <c r="C86" s="375">
        <f t="shared" si="34"/>
        <v>0.16285136787292162</v>
      </c>
      <c r="D86" s="375">
        <f t="shared" si="34"/>
        <v>0.1332331129152497</v>
      </c>
      <c r="E86" s="375">
        <f t="shared" si="34"/>
        <v>0.18501365923226507</v>
      </c>
      <c r="F86" s="375">
        <f t="shared" si="34"/>
        <v>0.18170539409542674</v>
      </c>
      <c r="G86" s="375">
        <f t="shared" si="34"/>
        <v>0.1437201290953225</v>
      </c>
      <c r="H86" s="375">
        <f t="shared" si="34"/>
        <v>0.16904987635512864</v>
      </c>
      <c r="I86" s="375">
        <f t="shared" si="34"/>
        <v>0.11273013111381486</v>
      </c>
      <c r="J86" s="375">
        <f t="shared" si="34"/>
        <v>0.10976391656571599</v>
      </c>
      <c r="K86" s="375">
        <f t="shared" si="34"/>
        <v>0.12406535768188266</v>
      </c>
      <c r="L86" s="375">
        <f t="shared" si="34"/>
        <v>0.10742080807942907</v>
      </c>
      <c r="M86" s="375">
        <f t="shared" si="34"/>
        <v>0.10638175996824582</v>
      </c>
      <c r="N86" s="375">
        <f t="shared" si="34"/>
        <v>0.13979441445986038</v>
      </c>
      <c r="Q86" s="375">
        <v>0.31356708478969297</v>
      </c>
      <c r="R86" s="376"/>
      <c r="S86" s="375">
        <v>0.129977732675921</v>
      </c>
      <c r="T86" s="376"/>
      <c r="U86" s="375"/>
      <c r="V86" s="375"/>
    </row>
    <row r="87" spans="1:22" s="371" customFormat="1">
      <c r="A87" s="362"/>
      <c r="B87" s="373"/>
      <c r="C87" s="373"/>
      <c r="D87" s="373"/>
      <c r="E87" s="373"/>
      <c r="F87" s="373"/>
      <c r="G87" s="373"/>
      <c r="H87" s="373"/>
      <c r="I87" s="373"/>
      <c r="J87" s="373"/>
      <c r="K87" s="373"/>
      <c r="L87" s="373"/>
      <c r="M87" s="373"/>
      <c r="N87" s="373"/>
      <c r="Q87" s="373"/>
      <c r="R87" s="374"/>
      <c r="S87" s="373"/>
      <c r="T87" s="374"/>
      <c r="U87" s="373"/>
      <c r="V87" s="373"/>
    </row>
    <row r="88" spans="1:22" s="371" customFormat="1">
      <c r="A88" s="362" t="s">
        <v>20</v>
      </c>
      <c r="B88" s="370">
        <f t="shared" ref="B88:N88" si="35">B85+B63</f>
        <v>66007.313103448279</v>
      </c>
      <c r="C88" s="370">
        <f t="shared" si="35"/>
        <v>45491.808275862073</v>
      </c>
      <c r="D88" s="370">
        <f t="shared" si="35"/>
        <v>37597.36873563219</v>
      </c>
      <c r="E88" s="370">
        <f t="shared" si="35"/>
        <v>43844.495172413801</v>
      </c>
      <c r="F88" s="370">
        <f t="shared" si="35"/>
        <v>48352.258735632182</v>
      </c>
      <c r="G88" s="370">
        <f t="shared" si="35"/>
        <v>39547.36873563219</v>
      </c>
      <c r="H88" s="370">
        <f t="shared" si="35"/>
        <v>45547.36873563219</v>
      </c>
      <c r="I88" s="370">
        <f t="shared" si="35"/>
        <v>39547.36873563219</v>
      </c>
      <c r="J88" s="370">
        <f t="shared" si="35"/>
        <v>39547.36873563219</v>
      </c>
      <c r="K88" s="370">
        <f t="shared" si="35"/>
        <v>46602.258735632182</v>
      </c>
      <c r="L88" s="370">
        <f t="shared" si="35"/>
        <v>39547.36873563219</v>
      </c>
      <c r="M88" s="370">
        <f t="shared" si="35"/>
        <v>39547.36873563219</v>
      </c>
      <c r="N88" s="370">
        <f t="shared" si="35"/>
        <v>531179.71517241385</v>
      </c>
      <c r="O88" s="384">
        <f>N88/$N$38</f>
        <v>0.16974626392721545</v>
      </c>
      <c r="Q88" s="370" t="e">
        <v>#REF!</v>
      </c>
      <c r="R88" s="368" t="e">
        <f>Q88/$Q$38</f>
        <v>#REF!</v>
      </c>
      <c r="S88" s="370">
        <v>786917.80827509996</v>
      </c>
      <c r="T88" s="368">
        <f>S88/$S$38</f>
        <v>0.15729276909937237</v>
      </c>
      <c r="U88" s="370"/>
      <c r="V88" s="370"/>
    </row>
    <row r="89" spans="1:22" s="371" customFormat="1">
      <c r="A89" s="362" t="s">
        <v>879</v>
      </c>
      <c r="B89" s="370">
        <f t="shared" ref="B89:N89" si="36">B45-B88</f>
        <v>1156.1210825603339</v>
      </c>
      <c r="C89" s="370">
        <f t="shared" si="36"/>
        <v>35023.005910146545</v>
      </c>
      <c r="D89" s="370">
        <f t="shared" si="36"/>
        <v>66222.645528294612</v>
      </c>
      <c r="E89" s="370">
        <f t="shared" si="36"/>
        <v>23981.519091513001</v>
      </c>
      <c r="F89" s="370">
        <f t="shared" si="36"/>
        <v>37407.539532081624</v>
      </c>
      <c r="G89" s="370">
        <f t="shared" si="36"/>
        <v>51443.318267713796</v>
      </c>
      <c r="H89" s="370">
        <f t="shared" si="36"/>
        <v>47789.134359667776</v>
      </c>
      <c r="I89" s="370">
        <f t="shared" si="36"/>
        <v>115153.8479228862</v>
      </c>
      <c r="J89" s="370">
        <f t="shared" si="36"/>
        <v>123153.8479228862</v>
      </c>
      <c r="K89" s="370">
        <f t="shared" si="36"/>
        <v>107048.6606321322</v>
      </c>
      <c r="L89" s="370">
        <f t="shared" si="36"/>
        <v>119069.1906321322</v>
      </c>
      <c r="M89" s="370">
        <f t="shared" si="36"/>
        <v>122103.55063213219</v>
      </c>
      <c r="N89" s="370">
        <f t="shared" si="36"/>
        <v>849552.38151414657</v>
      </c>
      <c r="Q89" s="370" t="e">
        <v>#REF!</v>
      </c>
      <c r="R89" s="368"/>
      <c r="S89" s="370">
        <v>2187579.3642104501</v>
      </c>
      <c r="T89" s="372"/>
      <c r="U89" s="370"/>
      <c r="V89" s="370"/>
    </row>
    <row r="90" spans="1:22" s="371" customFormat="1">
      <c r="A90" s="362" t="s">
        <v>880</v>
      </c>
      <c r="B90" s="392">
        <f t="shared" ref="B90:N90" si="37">B89/B38</f>
        <v>5.1288760551483374E-3</v>
      </c>
      <c r="C90" s="392">
        <f t="shared" si="37"/>
        <v>0.14668369555126912</v>
      </c>
      <c r="D90" s="392">
        <f t="shared" si="37"/>
        <v>0.27639080552845763</v>
      </c>
      <c r="E90" s="392">
        <f t="shared" si="37"/>
        <v>0.1177851888049323</v>
      </c>
      <c r="F90" s="392">
        <f t="shared" si="37"/>
        <v>0.16507052488502166</v>
      </c>
      <c r="G90" s="392">
        <f t="shared" si="37"/>
        <v>0.22154376877160353</v>
      </c>
      <c r="H90" s="392">
        <f t="shared" si="37"/>
        <v>0.2051882453114679</v>
      </c>
      <c r="I90" s="392">
        <f t="shared" si="37"/>
        <v>0.38898372714990759</v>
      </c>
      <c r="J90" s="392">
        <f t="shared" si="37"/>
        <v>0.40506110894433878</v>
      </c>
      <c r="K90" s="392">
        <f t="shared" si="37"/>
        <v>0.35017111210873231</v>
      </c>
      <c r="L90" s="392">
        <f t="shared" si="37"/>
        <v>0.38326643147181233</v>
      </c>
      <c r="M90" s="392">
        <f t="shared" si="37"/>
        <v>0.38923190372006322</v>
      </c>
      <c r="N90" s="392">
        <f t="shared" si="37"/>
        <v>0.27148691611027853</v>
      </c>
      <c r="P90" s="393">
        <v>0.11</v>
      </c>
      <c r="Q90" s="370" t="e">
        <v>#REF!</v>
      </c>
      <c r="R90" s="368"/>
      <c r="S90" s="370">
        <v>0.43726347555349199</v>
      </c>
      <c r="T90" s="372"/>
      <c r="U90" s="370"/>
      <c r="V90" s="370"/>
    </row>
    <row r="91" spans="1:22" s="371" customFormat="1">
      <c r="A91" s="362"/>
      <c r="B91" s="370"/>
      <c r="C91" s="370"/>
      <c r="D91" s="370"/>
      <c r="E91" s="370"/>
      <c r="F91" s="370"/>
      <c r="G91" s="370"/>
      <c r="H91" s="370"/>
      <c r="I91" s="370"/>
      <c r="J91" s="370"/>
      <c r="K91" s="370"/>
      <c r="L91" s="370"/>
      <c r="M91" s="370"/>
      <c r="N91" s="370"/>
      <c r="Q91" s="370"/>
      <c r="R91" s="368"/>
      <c r="S91" s="370"/>
      <c r="T91" s="372"/>
      <c r="U91" s="370"/>
      <c r="V91" s="370"/>
    </row>
    <row r="92" spans="1:22" s="371" customFormat="1">
      <c r="A92" s="362" t="s">
        <v>881</v>
      </c>
      <c r="B92" s="370">
        <v>171</v>
      </c>
      <c r="C92" s="370">
        <v>171</v>
      </c>
      <c r="D92" s="370">
        <v>171</v>
      </c>
      <c r="E92" s="370">
        <v>171</v>
      </c>
      <c r="F92" s="370">
        <v>171</v>
      </c>
      <c r="G92" s="370">
        <v>171</v>
      </c>
      <c r="H92" s="370">
        <v>171</v>
      </c>
      <c r="I92" s="370">
        <v>171</v>
      </c>
      <c r="J92" s="370">
        <v>171</v>
      </c>
      <c r="K92" s="370">
        <v>171</v>
      </c>
      <c r="L92" s="370">
        <v>171</v>
      </c>
      <c r="M92" s="370">
        <v>171</v>
      </c>
      <c r="N92" s="370">
        <f>SUM(B92:M92)</f>
        <v>2052</v>
      </c>
      <c r="Q92" s="370"/>
      <c r="R92" s="368"/>
      <c r="S92" s="370"/>
      <c r="T92" s="372"/>
      <c r="U92" s="370"/>
      <c r="V92" s="370"/>
    </row>
    <row r="93" spans="1:22" s="371" customFormat="1">
      <c r="A93" s="362"/>
      <c r="B93" s="370"/>
      <c r="C93" s="370"/>
      <c r="D93" s="370"/>
      <c r="E93" s="370"/>
      <c r="F93" s="370"/>
      <c r="G93" s="370"/>
      <c r="H93" s="370"/>
      <c r="I93" s="370"/>
      <c r="J93" s="370"/>
      <c r="K93" s="370"/>
      <c r="L93" s="370"/>
      <c r="M93" s="370"/>
      <c r="N93" s="370"/>
      <c r="Q93" s="370"/>
      <c r="R93" s="368"/>
      <c r="S93" s="370"/>
      <c r="T93" s="372"/>
      <c r="U93" s="370"/>
      <c r="V93" s="370"/>
    </row>
    <row r="94" spans="1:22" s="371" customFormat="1">
      <c r="A94" s="362" t="s">
        <v>26</v>
      </c>
      <c r="B94" s="370">
        <f t="shared" ref="B94:M94" si="38">B89-B92</f>
        <v>985.12108256033389</v>
      </c>
      <c r="C94" s="370">
        <f t="shared" si="38"/>
        <v>34852.005910146545</v>
      </c>
      <c r="D94" s="370">
        <f t="shared" si="38"/>
        <v>66051.645528294612</v>
      </c>
      <c r="E94" s="370">
        <f t="shared" si="38"/>
        <v>23810.519091513001</v>
      </c>
      <c r="F94" s="370">
        <f t="shared" si="38"/>
        <v>37236.539532081624</v>
      </c>
      <c r="G94" s="370">
        <f t="shared" si="38"/>
        <v>51272.318267713796</v>
      </c>
      <c r="H94" s="370">
        <f t="shared" si="38"/>
        <v>47618.134359667776</v>
      </c>
      <c r="I94" s="370">
        <f t="shared" si="38"/>
        <v>114982.8479228862</v>
      </c>
      <c r="J94" s="370">
        <f t="shared" si="38"/>
        <v>122982.8479228862</v>
      </c>
      <c r="K94" s="370">
        <f t="shared" si="38"/>
        <v>106877.6606321322</v>
      </c>
      <c r="L94" s="370">
        <f t="shared" si="38"/>
        <v>118898.1906321322</v>
      </c>
      <c r="M94" s="370">
        <f t="shared" si="38"/>
        <v>121932.55063213219</v>
      </c>
      <c r="N94" s="370">
        <f>SUM(B94:M94)</f>
        <v>847500.38151414681</v>
      </c>
      <c r="P94" s="393">
        <v>0.1</v>
      </c>
      <c r="Q94" s="370"/>
      <c r="R94" s="368"/>
      <c r="S94" s="370"/>
      <c r="T94" s="372"/>
      <c r="U94" s="370"/>
      <c r="V94" s="370"/>
    </row>
    <row r="95" spans="1:22">
      <c r="A95" s="394"/>
      <c r="B95" s="395"/>
      <c r="C95" s="395"/>
      <c r="D95" s="395"/>
      <c r="E95" s="395"/>
      <c r="F95" s="395"/>
      <c r="G95" s="395"/>
      <c r="H95" s="395"/>
      <c r="I95" s="395"/>
      <c r="J95" s="395"/>
      <c r="K95" s="395"/>
      <c r="L95" s="395"/>
      <c r="M95" s="395"/>
      <c r="N95" s="395"/>
      <c r="P95" s="396">
        <f>N94/P94</f>
        <v>8475003.8151414674</v>
      </c>
      <c r="Q95" s="395"/>
      <c r="R95" s="397"/>
      <c r="S95" s="395"/>
      <c r="T95" s="397"/>
      <c r="U95" s="395"/>
      <c r="V95" s="395"/>
    </row>
    <row r="96" spans="1:22">
      <c r="B96" s="398"/>
      <c r="C96" s="398"/>
      <c r="D96" s="398"/>
      <c r="E96" s="398"/>
      <c r="F96" s="398"/>
      <c r="G96" s="398"/>
      <c r="H96" s="398"/>
      <c r="I96" s="398"/>
      <c r="J96" s="398"/>
      <c r="K96" s="398"/>
      <c r="L96" s="398"/>
      <c r="M96" s="398"/>
      <c r="N96" s="398"/>
      <c r="Q96" s="398"/>
      <c r="R96" s="399"/>
      <c r="S96" s="398"/>
      <c r="T96" s="399"/>
      <c r="U96" s="398"/>
      <c r="V96" s="398"/>
    </row>
    <row r="97" spans="1:22">
      <c r="A97" s="400">
        <v>2024</v>
      </c>
      <c r="B97" s="398"/>
      <c r="C97" s="398"/>
      <c r="D97" s="398"/>
      <c r="E97" s="398"/>
      <c r="F97" s="398"/>
      <c r="G97" s="398"/>
      <c r="H97" s="398"/>
      <c r="I97" s="398"/>
      <c r="J97" s="398"/>
      <c r="K97" s="398"/>
      <c r="L97" s="398"/>
      <c r="M97" s="398"/>
      <c r="N97" s="398"/>
      <c r="Q97" s="398"/>
      <c r="R97" s="399"/>
      <c r="S97" s="398"/>
      <c r="T97" s="399"/>
      <c r="U97" s="398"/>
      <c r="V97" s="398"/>
    </row>
    <row r="98" spans="1:22">
      <c r="A98" s="401" t="s">
        <v>882</v>
      </c>
      <c r="B98" s="402">
        <v>1234.91840135506</v>
      </c>
      <c r="C98" s="402">
        <v>1076.49647802198</v>
      </c>
      <c r="D98" s="402">
        <v>1270.8863241758199</v>
      </c>
      <c r="E98" s="402">
        <v>1505.78559019608</v>
      </c>
      <c r="F98" s="402">
        <v>2040.1772000000001</v>
      </c>
      <c r="G98" s="402">
        <v>1756.7330491666701</v>
      </c>
      <c r="H98" s="402">
        <v>1613.03929014085</v>
      </c>
      <c r="I98" s="402">
        <v>1459.92850338681</v>
      </c>
      <c r="J98" s="402">
        <v>1455.11367225806</v>
      </c>
      <c r="K98" s="402">
        <v>1323.7734496969699</v>
      </c>
      <c r="L98" s="402">
        <v>1276.11758987342</v>
      </c>
      <c r="M98" s="402">
        <v>1235.5695139240499</v>
      </c>
      <c r="N98" s="402">
        <v>1431.84130601631</v>
      </c>
      <c r="O98" s="353" t="s">
        <v>883</v>
      </c>
    </row>
    <row r="99" spans="1:22">
      <c r="A99" s="401" t="s">
        <v>884</v>
      </c>
      <c r="B99" s="402">
        <v>631.97104101800403</v>
      </c>
      <c r="C99" s="402">
        <v>895.66403415861203</v>
      </c>
      <c r="D99" s="402">
        <v>625.68447371905199</v>
      </c>
      <c r="E99" s="402">
        <v>649.86272619891304</v>
      </c>
      <c r="F99" s="402">
        <v>759.83976791376006</v>
      </c>
      <c r="G99" s="402">
        <v>647.27924497992001</v>
      </c>
      <c r="H99" s="402">
        <v>649.941308331919</v>
      </c>
      <c r="I99" s="402">
        <v>624.643808173872</v>
      </c>
      <c r="J99" s="402">
        <v>612.83617411581804</v>
      </c>
      <c r="K99" s="402">
        <v>633.45283972252605</v>
      </c>
      <c r="L99" s="402">
        <v>652.77957602562196</v>
      </c>
      <c r="M99" s="402">
        <v>652.77957602562196</v>
      </c>
      <c r="N99" s="402">
        <v>661.27864535164997</v>
      </c>
      <c r="O99" s="353" t="s">
        <v>885</v>
      </c>
    </row>
    <row r="101" spans="1:22">
      <c r="A101" s="400">
        <v>2025</v>
      </c>
    </row>
    <row r="102" spans="1:22">
      <c r="A102" s="401" t="s">
        <v>882</v>
      </c>
      <c r="B102" s="402">
        <v>1287.75412162162</v>
      </c>
      <c r="C102" s="402">
        <v>1547.1734415584399</v>
      </c>
      <c r="D102" s="402">
        <v>1265.2515337423299</v>
      </c>
      <c r="E102" s="402">
        <v>1295.92670588235</v>
      </c>
      <c r="F102" s="402">
        <v>1422.1352941176499</v>
      </c>
      <c r="G102" s="402">
        <v>1478.7630057803501</v>
      </c>
      <c r="H102" s="402">
        <v>1438.79822161423</v>
      </c>
      <c r="I102" s="402">
        <v>1195.48813613159</v>
      </c>
      <c r="J102" s="402">
        <v>1206.7186790697699</v>
      </c>
      <c r="K102" s="402">
        <v>1153.4731707317101</v>
      </c>
      <c r="L102" s="402">
        <v>1105.7536945812799</v>
      </c>
      <c r="M102" s="402">
        <v>1105.7536945812799</v>
      </c>
      <c r="N102" s="402">
        <v>1280.9981344166899</v>
      </c>
      <c r="O102" s="353" t="s">
        <v>883</v>
      </c>
    </row>
    <row r="103" spans="1:22">
      <c r="A103" s="401" t="s">
        <v>884</v>
      </c>
      <c r="B103" s="402">
        <v>739.17474412868501</v>
      </c>
      <c r="C103" s="402">
        <v>682.37080515040896</v>
      </c>
      <c r="D103" s="402">
        <v>810</v>
      </c>
      <c r="E103" s="402">
        <v>719</v>
      </c>
      <c r="F103" s="402">
        <v>744</v>
      </c>
      <c r="G103" s="402">
        <v>746</v>
      </c>
      <c r="H103" s="402">
        <v>777</v>
      </c>
      <c r="I103" s="402">
        <v>860</v>
      </c>
      <c r="J103" s="402">
        <v>793</v>
      </c>
      <c r="K103" s="402">
        <v>840</v>
      </c>
      <c r="L103" s="402">
        <v>842</v>
      </c>
      <c r="M103" s="402">
        <v>842</v>
      </c>
      <c r="N103" s="402">
        <f>AVERAGE(B103:M103)</f>
        <v>782.87879577325782</v>
      </c>
      <c r="O103" s="353" t="s">
        <v>885</v>
      </c>
    </row>
    <row r="105" spans="1:22">
      <c r="A105" s="400">
        <v>2026</v>
      </c>
    </row>
    <row r="106" spans="1:22">
      <c r="A106" s="401" t="s">
        <v>882</v>
      </c>
      <c r="B106" s="402">
        <v>1218.4547027026999</v>
      </c>
      <c r="C106" s="402">
        <v>1290.62432432432</v>
      </c>
      <c r="D106" s="402">
        <v>1361.3514772727301</v>
      </c>
      <c r="E106" s="402">
        <v>1296.8398726114599</v>
      </c>
      <c r="F106" s="402">
        <v>1297.6554878048801</v>
      </c>
      <c r="G106" s="402">
        <v>1313.43817073171</v>
      </c>
      <c r="H106" s="402">
        <v>1315.5723170731701</v>
      </c>
      <c r="I106" s="402">
        <v>1502.97378048781</v>
      </c>
      <c r="J106" s="402">
        <v>1527.36402439024</v>
      </c>
      <c r="K106" s="402">
        <v>1385.46076923077</v>
      </c>
      <c r="L106" s="402">
        <v>1390.7664835164801</v>
      </c>
      <c r="M106" s="402">
        <v>1407.43879120879</v>
      </c>
      <c r="N106" s="402">
        <v>1203.60424359594</v>
      </c>
      <c r="O106" s="353" t="s">
        <v>883</v>
      </c>
    </row>
    <row r="107" spans="1:22">
      <c r="A107" s="401" t="s">
        <v>884</v>
      </c>
      <c r="B107" s="402">
        <v>731.92030169725194</v>
      </c>
      <c r="C107" s="402">
        <v>731.92030169725194</v>
      </c>
      <c r="D107" s="402">
        <v>709.843271227689</v>
      </c>
      <c r="E107" s="402">
        <v>795.747870930403</v>
      </c>
      <c r="F107" s="402">
        <v>792.74555934320801</v>
      </c>
      <c r="G107" s="402">
        <v>794.92526217471902</v>
      </c>
      <c r="H107" s="402">
        <v>797.76174941890201</v>
      </c>
      <c r="I107" s="402">
        <v>802.31739842366801</v>
      </c>
      <c r="J107" s="402">
        <v>802.31739842366801</v>
      </c>
      <c r="K107" s="402">
        <v>781.84895951777901</v>
      </c>
      <c r="L107" s="402">
        <v>781.84895951777901</v>
      </c>
      <c r="M107" s="402">
        <v>781.84895951777901</v>
      </c>
      <c r="N107" s="402">
        <v>774.25612533274</v>
      </c>
      <c r="O107" s="353" t="s">
        <v>885</v>
      </c>
    </row>
    <row r="109" spans="1:22">
      <c r="B109" s="404">
        <f t="shared" ref="B109:M109" si="39">B72+B53+B12</f>
        <v>155724.04891743968</v>
      </c>
      <c r="C109" s="404">
        <f t="shared" si="39"/>
        <v>160113.70408985345</v>
      </c>
      <c r="D109" s="404">
        <f t="shared" si="39"/>
        <v>141679.94447170538</v>
      </c>
      <c r="E109" s="404">
        <f t="shared" si="39"/>
        <v>147427.07090848699</v>
      </c>
      <c r="F109" s="404">
        <f t="shared" si="39"/>
        <v>152457.80046791839</v>
      </c>
      <c r="G109" s="404">
        <f t="shared" si="39"/>
        <v>148565.2717322862</v>
      </c>
      <c r="H109" s="404">
        <f t="shared" si="39"/>
        <v>155030.45564033222</v>
      </c>
      <c r="I109" s="404">
        <f t="shared" si="39"/>
        <v>149777.58207711382</v>
      </c>
      <c r="J109" s="404">
        <f t="shared" si="39"/>
        <v>149777.58207711382</v>
      </c>
      <c r="K109" s="404">
        <f t="shared" si="39"/>
        <v>160494.03936786784</v>
      </c>
      <c r="L109" s="404">
        <f t="shared" si="39"/>
        <v>160494.03936786784</v>
      </c>
      <c r="M109" s="404">
        <f t="shared" si="39"/>
        <v>160494.03936786784</v>
      </c>
    </row>
    <row r="111" spans="1:22">
      <c r="B111" s="404">
        <f t="shared" ref="B111:M111" si="40">B78+B58+B34</f>
        <v>68533.950000000012</v>
      </c>
      <c r="C111" s="404">
        <f t="shared" si="40"/>
        <v>43628.79</v>
      </c>
      <c r="D111" s="404">
        <f t="shared" si="40"/>
        <v>31695.27</v>
      </c>
      <c r="E111" s="404">
        <f t="shared" si="40"/>
        <v>32195.27</v>
      </c>
      <c r="F111" s="404">
        <f t="shared" si="40"/>
        <v>36750.160000000003</v>
      </c>
      <c r="G111" s="404">
        <f t="shared" si="40"/>
        <v>32195.27</v>
      </c>
      <c r="H111" s="404">
        <f t="shared" si="40"/>
        <v>30084.27</v>
      </c>
      <c r="I111" s="404">
        <f t="shared" si="40"/>
        <v>31106.27</v>
      </c>
      <c r="J111" s="404">
        <f t="shared" si="40"/>
        <v>31106.27</v>
      </c>
      <c r="K111" s="404">
        <f t="shared" si="40"/>
        <v>38161.160000000003</v>
      </c>
      <c r="L111" s="404">
        <f t="shared" si="40"/>
        <v>31106.27</v>
      </c>
      <c r="M111" s="404">
        <f t="shared" si="40"/>
        <v>31106.27</v>
      </c>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A2D72-979B-4242-881C-04B3B8F529DD}">
  <dimension ref="A1:Q103"/>
  <sheetViews>
    <sheetView showGridLines="0" zoomScale="73" zoomScaleNormal="80" workbookViewId="0">
      <pane xSplit="2" ySplit="3" topLeftCell="D4" activePane="bottomRight" state="frozen"/>
      <selection pane="topRight" activeCell="C1" sqref="C1"/>
      <selection pane="bottomLeft" activeCell="A4" sqref="A4"/>
      <selection pane="bottomRight" activeCell="G54" sqref="G54"/>
    </sheetView>
  </sheetViews>
  <sheetFormatPr defaultColWidth="8.08203125" defaultRowHeight="14.5"/>
  <cols>
    <col min="1" max="1" width="8.08203125" style="121"/>
    <col min="2" max="2" width="35.25" style="121" bestFit="1" customWidth="1"/>
    <col min="3" max="3" width="35.25" style="121" customWidth="1"/>
    <col min="4" max="8" width="11.25" style="121" customWidth="1"/>
    <col min="9" max="15" width="11.25" style="121" bestFit="1" customWidth="1"/>
    <col min="16" max="16" width="13.58203125" style="121" bestFit="1" customWidth="1"/>
    <col min="17" max="16384" width="8.08203125" style="121"/>
  </cols>
  <sheetData>
    <row r="1" spans="1:17">
      <c r="B1" s="167">
        <v>1</v>
      </c>
      <c r="C1" s="167"/>
      <c r="D1" s="167"/>
      <c r="E1" s="167"/>
      <c r="F1" s="167"/>
      <c r="G1" s="167"/>
      <c r="H1" s="167"/>
      <c r="I1" s="167"/>
      <c r="J1" s="167"/>
      <c r="K1" s="167"/>
      <c r="L1" s="167"/>
      <c r="M1" s="167"/>
      <c r="N1" s="167"/>
      <c r="O1" s="167"/>
      <c r="P1" s="167"/>
    </row>
    <row r="3" spans="1:17" s="171" customFormat="1" ht="13">
      <c r="A3" s="168"/>
      <c r="B3" s="168" t="s">
        <v>159</v>
      </c>
      <c r="C3" s="168" t="s">
        <v>654</v>
      </c>
      <c r="D3" s="168">
        <v>46023</v>
      </c>
      <c r="E3" s="169">
        <v>46054</v>
      </c>
      <c r="F3" s="169">
        <v>46082</v>
      </c>
      <c r="G3" s="169">
        <v>46113</v>
      </c>
      <c r="H3" s="169">
        <v>46143</v>
      </c>
      <c r="I3" s="169">
        <v>46174</v>
      </c>
      <c r="J3" s="169">
        <v>46204</v>
      </c>
      <c r="K3" s="169">
        <v>46235</v>
      </c>
      <c r="L3" s="169">
        <v>46266</v>
      </c>
      <c r="M3" s="169">
        <v>46296</v>
      </c>
      <c r="N3" s="169">
        <v>46327</v>
      </c>
      <c r="O3" s="169">
        <v>46357</v>
      </c>
      <c r="P3" s="169" t="s">
        <v>19</v>
      </c>
      <c r="Q3" s="170"/>
    </row>
    <row r="4" spans="1:17">
      <c r="B4" s="172" t="s">
        <v>159</v>
      </c>
      <c r="C4" s="172"/>
      <c r="D4" s="172"/>
      <c r="E4" s="172"/>
      <c r="F4" s="172"/>
      <c r="G4" s="172"/>
      <c r="H4" s="172"/>
      <c r="I4" s="172"/>
      <c r="J4" s="172"/>
      <c r="K4" s="172"/>
      <c r="L4" s="172"/>
      <c r="M4" s="172"/>
      <c r="N4" s="172"/>
      <c r="O4" s="172"/>
      <c r="P4" s="172">
        <f t="shared" ref="P4:P21" si="0">SUM(D4:O4)</f>
        <v>0</v>
      </c>
    </row>
    <row r="5" spans="1:17">
      <c r="B5" s="173" t="s">
        <v>160</v>
      </c>
      <c r="C5" s="173"/>
      <c r="D5" s="173"/>
      <c r="E5" s="173"/>
      <c r="F5" s="173"/>
      <c r="G5" s="173"/>
      <c r="H5" s="173"/>
      <c r="I5" s="173"/>
      <c r="J5" s="173"/>
      <c r="K5" s="173"/>
      <c r="L5" s="173"/>
      <c r="M5" s="173"/>
      <c r="N5" s="173"/>
      <c r="O5" s="173"/>
      <c r="P5" s="173">
        <f t="shared" si="0"/>
        <v>0</v>
      </c>
    </row>
    <row r="6" spans="1:17">
      <c r="B6" s="146" t="s">
        <v>161</v>
      </c>
      <c r="C6" s="146"/>
      <c r="D6" s="146">
        <v>155475.80846368</v>
      </c>
      <c r="E6" s="146">
        <v>159865.46363609401</v>
      </c>
      <c r="F6" s="146">
        <v>143932.762070684</v>
      </c>
      <c r="G6" s="146">
        <v>145533.33678332699</v>
      </c>
      <c r="H6" s="146">
        <v>151827.61889177799</v>
      </c>
      <c r="I6" s="146">
        <v>150424.02119062899</v>
      </c>
      <c r="J6" s="146">
        <v>154400.274064192</v>
      </c>
      <c r="K6" s="146">
        <v>149440.34302970901</v>
      </c>
      <c r="L6" s="146">
        <v>152357.02119062899</v>
      </c>
      <c r="M6" s="146">
        <v>170283.362375906</v>
      </c>
      <c r="N6" s="146">
        <v>160664.53478969901</v>
      </c>
      <c r="O6" s="146">
        <v>160673.15547935499</v>
      </c>
      <c r="P6" s="174">
        <f t="shared" si="0"/>
        <v>1854877.701965682</v>
      </c>
    </row>
    <row r="7" spans="1:17">
      <c r="B7" s="173" t="s">
        <v>6</v>
      </c>
      <c r="C7" s="173"/>
      <c r="D7" s="173"/>
      <c r="E7" s="173"/>
      <c r="F7" s="173"/>
      <c r="G7" s="173"/>
      <c r="H7" s="173"/>
      <c r="I7" s="173"/>
      <c r="J7" s="173"/>
      <c r="K7" s="173"/>
      <c r="L7" s="173"/>
      <c r="M7" s="173"/>
      <c r="N7" s="173"/>
      <c r="O7" s="173"/>
      <c r="P7" s="173">
        <f t="shared" si="0"/>
        <v>0</v>
      </c>
    </row>
    <row r="8" spans="1:17">
      <c r="B8" s="175" t="s">
        <v>163</v>
      </c>
      <c r="C8" s="176">
        <v>1000</v>
      </c>
      <c r="D8" s="175">
        <f t="shared" ref="D8:O8" si="1">$C8</f>
        <v>1000</v>
      </c>
      <c r="E8" s="175">
        <f t="shared" si="1"/>
        <v>1000</v>
      </c>
      <c r="F8" s="175">
        <f t="shared" si="1"/>
        <v>1000</v>
      </c>
      <c r="G8" s="175">
        <f t="shared" si="1"/>
        <v>1000</v>
      </c>
      <c r="H8" s="175">
        <f t="shared" si="1"/>
        <v>1000</v>
      </c>
      <c r="I8" s="175">
        <f t="shared" si="1"/>
        <v>1000</v>
      </c>
      <c r="J8" s="175">
        <f t="shared" si="1"/>
        <v>1000</v>
      </c>
      <c r="K8" s="175">
        <f t="shared" si="1"/>
        <v>1000</v>
      </c>
      <c r="L8" s="175">
        <f t="shared" si="1"/>
        <v>1000</v>
      </c>
      <c r="M8" s="175">
        <f t="shared" si="1"/>
        <v>1000</v>
      </c>
      <c r="N8" s="175">
        <f t="shared" si="1"/>
        <v>1000</v>
      </c>
      <c r="O8" s="175">
        <f t="shared" si="1"/>
        <v>1000</v>
      </c>
      <c r="P8" s="177">
        <f t="shared" si="0"/>
        <v>12000</v>
      </c>
    </row>
    <row r="9" spans="1:17">
      <c r="B9" s="173" t="s">
        <v>164</v>
      </c>
      <c r="C9" s="173"/>
      <c r="D9" s="173"/>
      <c r="E9" s="173"/>
      <c r="F9" s="173"/>
      <c r="G9" s="173"/>
      <c r="H9" s="173"/>
      <c r="I9" s="173"/>
      <c r="J9" s="173"/>
      <c r="K9" s="173"/>
      <c r="L9" s="173"/>
      <c r="M9" s="173"/>
      <c r="N9" s="173"/>
      <c r="O9" s="173"/>
      <c r="P9" s="173">
        <f t="shared" si="0"/>
        <v>0</v>
      </c>
    </row>
    <row r="10" spans="1:17">
      <c r="B10" s="146" t="s">
        <v>76</v>
      </c>
      <c r="C10" s="147"/>
      <c r="D10" s="146"/>
      <c r="E10" s="146"/>
      <c r="F10" s="146"/>
      <c r="G10" s="146"/>
      <c r="H10" s="146"/>
      <c r="I10" s="146"/>
      <c r="J10" s="146"/>
      <c r="K10" s="146"/>
      <c r="L10" s="146"/>
      <c r="M10" s="146"/>
      <c r="N10" s="146"/>
      <c r="O10" s="146"/>
      <c r="P10" s="174">
        <f t="shared" si="0"/>
        <v>0</v>
      </c>
    </row>
    <row r="11" spans="1:17">
      <c r="B11" s="147" t="s">
        <v>655</v>
      </c>
      <c r="C11" s="178">
        <v>500</v>
      </c>
      <c r="D11" s="147">
        <f t="shared" ref="D11:O11" si="2">$C11</f>
        <v>500</v>
      </c>
      <c r="E11" s="147">
        <f t="shared" si="2"/>
        <v>500</v>
      </c>
      <c r="F11" s="147">
        <f t="shared" si="2"/>
        <v>500</v>
      </c>
      <c r="G11" s="147">
        <f t="shared" si="2"/>
        <v>500</v>
      </c>
      <c r="H11" s="147">
        <f t="shared" si="2"/>
        <v>500</v>
      </c>
      <c r="I11" s="147">
        <f t="shared" si="2"/>
        <v>500</v>
      </c>
      <c r="J11" s="147">
        <f t="shared" si="2"/>
        <v>500</v>
      </c>
      <c r="K11" s="147">
        <f t="shared" si="2"/>
        <v>500</v>
      </c>
      <c r="L11" s="147">
        <f t="shared" si="2"/>
        <v>500</v>
      </c>
      <c r="M11" s="147">
        <f t="shared" si="2"/>
        <v>500</v>
      </c>
      <c r="N11" s="147">
        <f t="shared" si="2"/>
        <v>500</v>
      </c>
      <c r="O11" s="147">
        <f t="shared" si="2"/>
        <v>500</v>
      </c>
      <c r="P11" s="179">
        <f t="shared" si="0"/>
        <v>6000</v>
      </c>
    </row>
    <row r="12" spans="1:17">
      <c r="A12" s="121" t="s">
        <v>656</v>
      </c>
      <c r="B12" s="147" t="s">
        <v>165</v>
      </c>
      <c r="C12" s="147"/>
      <c r="D12" s="147"/>
      <c r="E12" s="147"/>
      <c r="F12" s="147"/>
      <c r="G12" s="147"/>
      <c r="H12" s="147"/>
      <c r="I12" s="147"/>
      <c r="J12" s="147"/>
      <c r="K12" s="147"/>
      <c r="L12" s="147">
        <v>212.26</v>
      </c>
      <c r="M12" s="147"/>
      <c r="N12" s="147"/>
      <c r="O12" s="147"/>
      <c r="P12" s="179">
        <f t="shared" si="0"/>
        <v>212.26</v>
      </c>
    </row>
    <row r="13" spans="1:17">
      <c r="B13" s="147" t="s">
        <v>166</v>
      </c>
      <c r="C13" s="178">
        <v>13.8</v>
      </c>
      <c r="D13" s="147">
        <f t="shared" ref="D13:O21" si="3">$C13</f>
        <v>13.8</v>
      </c>
      <c r="E13" s="147">
        <f t="shared" si="3"/>
        <v>13.8</v>
      </c>
      <c r="F13" s="147">
        <f t="shared" si="3"/>
        <v>13.8</v>
      </c>
      <c r="G13" s="147">
        <f t="shared" si="3"/>
        <v>13.8</v>
      </c>
      <c r="H13" s="147">
        <f t="shared" si="3"/>
        <v>13.8</v>
      </c>
      <c r="I13" s="147">
        <f t="shared" si="3"/>
        <v>13.8</v>
      </c>
      <c r="J13" s="147">
        <f t="shared" si="3"/>
        <v>13.8</v>
      </c>
      <c r="K13" s="147">
        <f t="shared" si="3"/>
        <v>13.8</v>
      </c>
      <c r="L13" s="147">
        <f t="shared" si="3"/>
        <v>13.8</v>
      </c>
      <c r="M13" s="147">
        <f t="shared" si="3"/>
        <v>13.8</v>
      </c>
      <c r="N13" s="147">
        <f t="shared" si="3"/>
        <v>13.8</v>
      </c>
      <c r="O13" s="147">
        <f t="shared" si="3"/>
        <v>13.8</v>
      </c>
      <c r="P13" s="179">
        <f t="shared" si="0"/>
        <v>165.60000000000002</v>
      </c>
    </row>
    <row r="14" spans="1:17">
      <c r="B14" s="147" t="s">
        <v>168</v>
      </c>
      <c r="C14" s="178">
        <v>25.54</v>
      </c>
      <c r="D14" s="147">
        <f t="shared" si="3"/>
        <v>25.54</v>
      </c>
      <c r="E14" s="147">
        <f t="shared" si="3"/>
        <v>25.54</v>
      </c>
      <c r="F14" s="147">
        <f t="shared" si="3"/>
        <v>25.54</v>
      </c>
      <c r="G14" s="147">
        <f t="shared" si="3"/>
        <v>25.54</v>
      </c>
      <c r="H14" s="147">
        <f t="shared" si="3"/>
        <v>25.54</v>
      </c>
      <c r="I14" s="147">
        <f t="shared" si="3"/>
        <v>25.54</v>
      </c>
      <c r="J14" s="147">
        <f t="shared" si="3"/>
        <v>25.54</v>
      </c>
      <c r="K14" s="147">
        <f t="shared" si="3"/>
        <v>25.54</v>
      </c>
      <c r="L14" s="147">
        <f t="shared" si="3"/>
        <v>25.54</v>
      </c>
      <c r="M14" s="147">
        <f t="shared" si="3"/>
        <v>25.54</v>
      </c>
      <c r="N14" s="147">
        <f t="shared" si="3"/>
        <v>25.54</v>
      </c>
      <c r="O14" s="147">
        <f t="shared" si="3"/>
        <v>25.54</v>
      </c>
      <c r="P14" s="179">
        <f t="shared" si="0"/>
        <v>306.47999999999996</v>
      </c>
    </row>
    <row r="15" spans="1:17">
      <c r="B15" s="147" t="s">
        <v>169</v>
      </c>
      <c r="C15" s="178">
        <v>178</v>
      </c>
      <c r="D15" s="147">
        <f t="shared" si="3"/>
        <v>178</v>
      </c>
      <c r="E15" s="147">
        <f t="shared" si="3"/>
        <v>178</v>
      </c>
      <c r="F15" s="147">
        <f t="shared" si="3"/>
        <v>178</v>
      </c>
      <c r="G15" s="147">
        <f t="shared" si="3"/>
        <v>178</v>
      </c>
      <c r="H15" s="147">
        <f t="shared" si="3"/>
        <v>178</v>
      </c>
      <c r="I15" s="147">
        <f t="shared" si="3"/>
        <v>178</v>
      </c>
      <c r="J15" s="147">
        <f t="shared" si="3"/>
        <v>178</v>
      </c>
      <c r="K15" s="147">
        <f t="shared" si="3"/>
        <v>178</v>
      </c>
      <c r="L15" s="147">
        <f t="shared" si="3"/>
        <v>178</v>
      </c>
      <c r="M15" s="147">
        <f t="shared" si="3"/>
        <v>178</v>
      </c>
      <c r="N15" s="147">
        <f t="shared" si="3"/>
        <v>178</v>
      </c>
      <c r="O15" s="147">
        <f t="shared" si="3"/>
        <v>178</v>
      </c>
      <c r="P15" s="179">
        <f t="shared" si="0"/>
        <v>2136</v>
      </c>
    </row>
    <row r="16" spans="1:17">
      <c r="B16" s="147" t="s">
        <v>170</v>
      </c>
      <c r="C16" s="178">
        <v>12.78</v>
      </c>
      <c r="D16" s="147">
        <f t="shared" si="3"/>
        <v>12.78</v>
      </c>
      <c r="E16" s="147">
        <f t="shared" si="3"/>
        <v>12.78</v>
      </c>
      <c r="F16" s="147">
        <f t="shared" si="3"/>
        <v>12.78</v>
      </c>
      <c r="G16" s="147">
        <f t="shared" si="3"/>
        <v>12.78</v>
      </c>
      <c r="H16" s="147">
        <f t="shared" si="3"/>
        <v>12.78</v>
      </c>
      <c r="I16" s="147">
        <f t="shared" si="3"/>
        <v>12.78</v>
      </c>
      <c r="J16" s="147">
        <f t="shared" si="3"/>
        <v>12.78</v>
      </c>
      <c r="K16" s="147">
        <f t="shared" si="3"/>
        <v>12.78</v>
      </c>
      <c r="L16" s="147">
        <f t="shared" si="3"/>
        <v>12.78</v>
      </c>
      <c r="M16" s="147">
        <f t="shared" si="3"/>
        <v>12.78</v>
      </c>
      <c r="N16" s="147">
        <f t="shared" si="3"/>
        <v>12.78</v>
      </c>
      <c r="O16" s="147">
        <f t="shared" si="3"/>
        <v>12.78</v>
      </c>
      <c r="P16" s="179">
        <f t="shared" si="0"/>
        <v>153.35999999999999</v>
      </c>
    </row>
    <row r="17" spans="1:16">
      <c r="B17" s="147" t="s">
        <v>174</v>
      </c>
      <c r="C17" s="178">
        <v>21.01</v>
      </c>
      <c r="D17" s="147">
        <f t="shared" si="3"/>
        <v>21.01</v>
      </c>
      <c r="E17" s="147">
        <f t="shared" si="3"/>
        <v>21.01</v>
      </c>
      <c r="F17" s="147">
        <f t="shared" si="3"/>
        <v>21.01</v>
      </c>
      <c r="G17" s="147">
        <f t="shared" si="3"/>
        <v>21.01</v>
      </c>
      <c r="H17" s="147">
        <f t="shared" si="3"/>
        <v>21.01</v>
      </c>
      <c r="I17" s="147">
        <f t="shared" si="3"/>
        <v>21.01</v>
      </c>
      <c r="J17" s="147">
        <f t="shared" si="3"/>
        <v>21.01</v>
      </c>
      <c r="K17" s="147">
        <f t="shared" si="3"/>
        <v>21.01</v>
      </c>
      <c r="L17" s="147">
        <f t="shared" si="3"/>
        <v>21.01</v>
      </c>
      <c r="M17" s="147">
        <f t="shared" si="3"/>
        <v>21.01</v>
      </c>
      <c r="N17" s="147">
        <f t="shared" si="3"/>
        <v>21.01</v>
      </c>
      <c r="O17" s="147">
        <f t="shared" si="3"/>
        <v>21.01</v>
      </c>
      <c r="P17" s="179">
        <f t="shared" si="0"/>
        <v>252.11999999999998</v>
      </c>
    </row>
    <row r="18" spans="1:16">
      <c r="B18" s="147" t="s">
        <v>177</v>
      </c>
      <c r="C18" s="178">
        <v>138.58000000000001</v>
      </c>
      <c r="D18" s="147">
        <f t="shared" si="3"/>
        <v>138.58000000000001</v>
      </c>
      <c r="E18" s="147">
        <f t="shared" si="3"/>
        <v>138.58000000000001</v>
      </c>
      <c r="F18" s="147">
        <f t="shared" si="3"/>
        <v>138.58000000000001</v>
      </c>
      <c r="G18" s="147">
        <f t="shared" si="3"/>
        <v>138.58000000000001</v>
      </c>
      <c r="H18" s="147">
        <f t="shared" si="3"/>
        <v>138.58000000000001</v>
      </c>
      <c r="I18" s="147">
        <f t="shared" si="3"/>
        <v>138.58000000000001</v>
      </c>
      <c r="J18" s="147">
        <f t="shared" si="3"/>
        <v>138.58000000000001</v>
      </c>
      <c r="K18" s="147">
        <f t="shared" si="3"/>
        <v>138.58000000000001</v>
      </c>
      <c r="L18" s="147">
        <f t="shared" si="3"/>
        <v>138.58000000000001</v>
      </c>
      <c r="M18" s="147">
        <f t="shared" si="3"/>
        <v>138.58000000000001</v>
      </c>
      <c r="N18" s="147">
        <f t="shared" si="3"/>
        <v>138.58000000000001</v>
      </c>
      <c r="O18" s="147">
        <f t="shared" si="3"/>
        <v>138.58000000000001</v>
      </c>
      <c r="P18" s="179">
        <f t="shared" si="0"/>
        <v>1662.9599999999998</v>
      </c>
    </row>
    <row r="19" spans="1:16">
      <c r="B19" s="146" t="s">
        <v>79</v>
      </c>
      <c r="C19" s="178"/>
      <c r="D19" s="147">
        <f t="shared" si="3"/>
        <v>0</v>
      </c>
      <c r="E19" s="147">
        <f t="shared" si="3"/>
        <v>0</v>
      </c>
      <c r="F19" s="147">
        <f t="shared" si="3"/>
        <v>0</v>
      </c>
      <c r="G19" s="147">
        <f t="shared" si="3"/>
        <v>0</v>
      </c>
      <c r="H19" s="147">
        <f t="shared" si="3"/>
        <v>0</v>
      </c>
      <c r="I19" s="147">
        <f t="shared" si="3"/>
        <v>0</v>
      </c>
      <c r="J19" s="147">
        <f t="shared" si="3"/>
        <v>0</v>
      </c>
      <c r="K19" s="147">
        <f t="shared" si="3"/>
        <v>0</v>
      </c>
      <c r="L19" s="147">
        <f t="shared" si="3"/>
        <v>0</v>
      </c>
      <c r="M19" s="147">
        <f t="shared" si="3"/>
        <v>0</v>
      </c>
      <c r="N19" s="147">
        <f t="shared" si="3"/>
        <v>0</v>
      </c>
      <c r="O19" s="147">
        <f t="shared" si="3"/>
        <v>0</v>
      </c>
      <c r="P19" s="174">
        <f t="shared" si="0"/>
        <v>0</v>
      </c>
    </row>
    <row r="20" spans="1:16">
      <c r="B20" s="147" t="s">
        <v>182</v>
      </c>
      <c r="C20" s="178">
        <v>85.12</v>
      </c>
      <c r="D20" s="147">
        <f t="shared" si="3"/>
        <v>85.12</v>
      </c>
      <c r="E20" s="147">
        <f t="shared" si="3"/>
        <v>85.12</v>
      </c>
      <c r="F20" s="147">
        <f t="shared" si="3"/>
        <v>85.12</v>
      </c>
      <c r="G20" s="147">
        <f t="shared" si="3"/>
        <v>85.12</v>
      </c>
      <c r="H20" s="147">
        <f t="shared" si="3"/>
        <v>85.12</v>
      </c>
      <c r="I20" s="147">
        <f t="shared" si="3"/>
        <v>85.12</v>
      </c>
      <c r="J20" s="147">
        <f t="shared" si="3"/>
        <v>85.12</v>
      </c>
      <c r="K20" s="147">
        <f t="shared" si="3"/>
        <v>85.12</v>
      </c>
      <c r="L20" s="147">
        <f t="shared" si="3"/>
        <v>85.12</v>
      </c>
      <c r="M20" s="147">
        <f t="shared" si="3"/>
        <v>85.12</v>
      </c>
      <c r="N20" s="147">
        <f t="shared" si="3"/>
        <v>85.12</v>
      </c>
      <c r="O20" s="147">
        <f t="shared" si="3"/>
        <v>85.12</v>
      </c>
      <c r="P20" s="179">
        <f t="shared" si="0"/>
        <v>1021.44</v>
      </c>
    </row>
    <row r="21" spans="1:16">
      <c r="B21" s="147" t="s">
        <v>184</v>
      </c>
      <c r="C21" s="178">
        <v>176</v>
      </c>
      <c r="D21" s="147">
        <f t="shared" si="3"/>
        <v>176</v>
      </c>
      <c r="E21" s="147">
        <f t="shared" si="3"/>
        <v>176</v>
      </c>
      <c r="F21" s="147">
        <f t="shared" si="3"/>
        <v>176</v>
      </c>
      <c r="G21" s="147">
        <f t="shared" si="3"/>
        <v>176</v>
      </c>
      <c r="H21" s="147">
        <f t="shared" si="3"/>
        <v>176</v>
      </c>
      <c r="I21" s="147">
        <f t="shared" si="3"/>
        <v>176</v>
      </c>
      <c r="J21" s="147">
        <f t="shared" si="3"/>
        <v>176</v>
      </c>
      <c r="K21" s="147">
        <f t="shared" si="3"/>
        <v>176</v>
      </c>
      <c r="L21" s="147">
        <f t="shared" si="3"/>
        <v>176</v>
      </c>
      <c r="M21" s="147">
        <f t="shared" si="3"/>
        <v>176</v>
      </c>
      <c r="N21" s="147">
        <f t="shared" si="3"/>
        <v>176</v>
      </c>
      <c r="O21" s="147">
        <f t="shared" si="3"/>
        <v>176</v>
      </c>
      <c r="P21" s="179">
        <f t="shared" si="0"/>
        <v>2112</v>
      </c>
    </row>
    <row r="22" spans="1:16">
      <c r="B22" s="146" t="s">
        <v>75</v>
      </c>
      <c r="C22" s="178"/>
      <c r="D22" s="147"/>
      <c r="E22" s="147"/>
      <c r="F22" s="147"/>
      <c r="G22" s="147"/>
      <c r="H22" s="147"/>
      <c r="I22" s="147"/>
      <c r="J22" s="147"/>
      <c r="K22" s="147"/>
      <c r="L22" s="147"/>
      <c r="M22" s="147"/>
      <c r="N22" s="147"/>
      <c r="O22" s="147"/>
      <c r="P22" s="174"/>
    </row>
    <row r="23" spans="1:16">
      <c r="B23" s="147" t="s">
        <v>186</v>
      </c>
      <c r="C23" s="178">
        <v>322</v>
      </c>
      <c r="D23" s="147">
        <f>$C23</f>
        <v>322</v>
      </c>
      <c r="E23" s="147">
        <f>$C23</f>
        <v>322</v>
      </c>
      <c r="F23" s="147">
        <v>228</v>
      </c>
      <c r="G23" s="147">
        <v>228</v>
      </c>
      <c r="H23" s="147">
        <v>180</v>
      </c>
      <c r="I23" s="147">
        <v>180</v>
      </c>
      <c r="J23" s="147">
        <v>180</v>
      </c>
      <c r="K23" s="147">
        <v>180</v>
      </c>
      <c r="L23" s="147">
        <v>180</v>
      </c>
      <c r="M23" s="147">
        <v>180</v>
      </c>
      <c r="N23" s="147">
        <v>180</v>
      </c>
      <c r="O23" s="147">
        <v>180</v>
      </c>
      <c r="P23" s="179">
        <f>SUM(D23:O23)</f>
        <v>2540</v>
      </c>
    </row>
    <row r="24" spans="1:16" ht="15.5">
      <c r="A24" s="180"/>
      <c r="B24" s="181" t="s">
        <v>164</v>
      </c>
      <c r="C24" s="182"/>
      <c r="D24" s="182">
        <f t="shared" ref="D24:O24" si="4">SUM(D11:D23)</f>
        <v>1472.83</v>
      </c>
      <c r="E24" s="182">
        <f t="shared" si="4"/>
        <v>1472.83</v>
      </c>
      <c r="F24" s="182">
        <f t="shared" si="4"/>
        <v>1378.83</v>
      </c>
      <c r="G24" s="182">
        <f t="shared" si="4"/>
        <v>1378.83</v>
      </c>
      <c r="H24" s="182">
        <f t="shared" si="4"/>
        <v>1330.83</v>
      </c>
      <c r="I24" s="182">
        <f t="shared" si="4"/>
        <v>1330.83</v>
      </c>
      <c r="J24" s="182">
        <f t="shared" si="4"/>
        <v>1330.83</v>
      </c>
      <c r="K24" s="182">
        <f t="shared" si="4"/>
        <v>1330.83</v>
      </c>
      <c r="L24" s="182">
        <f t="shared" si="4"/>
        <v>1543.0899999999997</v>
      </c>
      <c r="M24" s="182">
        <f t="shared" si="4"/>
        <v>1330.83</v>
      </c>
      <c r="N24" s="182">
        <f t="shared" si="4"/>
        <v>1330.83</v>
      </c>
      <c r="O24" s="182">
        <f t="shared" si="4"/>
        <v>1330.83</v>
      </c>
      <c r="P24" s="182">
        <f>SUM(D24:O24)</f>
        <v>16562.22</v>
      </c>
    </row>
    <row r="25" spans="1:16">
      <c r="B25" s="147"/>
      <c r="C25" s="178"/>
      <c r="D25" s="147"/>
      <c r="E25" s="147"/>
      <c r="F25" s="147"/>
      <c r="G25" s="147"/>
      <c r="H25" s="147"/>
      <c r="I25" s="147"/>
      <c r="J25" s="147"/>
      <c r="K25" s="147"/>
      <c r="L25" s="147"/>
      <c r="M25" s="147"/>
      <c r="N25" s="147"/>
      <c r="O25" s="147"/>
      <c r="P25" s="179"/>
    </row>
    <row r="26" spans="1:16">
      <c r="B26" s="173" t="s">
        <v>9</v>
      </c>
      <c r="C26" s="173"/>
      <c r="D26" s="147">
        <f t="shared" ref="D26:O26" si="5">$C26</f>
        <v>0</v>
      </c>
      <c r="E26" s="147">
        <f t="shared" si="5"/>
        <v>0</v>
      </c>
      <c r="F26" s="147">
        <f t="shared" si="5"/>
        <v>0</v>
      </c>
      <c r="G26" s="147">
        <f t="shared" si="5"/>
        <v>0</v>
      </c>
      <c r="H26" s="147">
        <f t="shared" si="5"/>
        <v>0</v>
      </c>
      <c r="I26" s="147">
        <f t="shared" si="5"/>
        <v>0</v>
      </c>
      <c r="J26" s="147">
        <f t="shared" si="5"/>
        <v>0</v>
      </c>
      <c r="K26" s="147">
        <f t="shared" si="5"/>
        <v>0</v>
      </c>
      <c r="L26" s="147">
        <f t="shared" si="5"/>
        <v>0</v>
      </c>
      <c r="M26" s="147">
        <f t="shared" si="5"/>
        <v>0</v>
      </c>
      <c r="N26" s="147">
        <f t="shared" si="5"/>
        <v>0</v>
      </c>
      <c r="O26" s="147">
        <f t="shared" si="5"/>
        <v>0</v>
      </c>
      <c r="P26" s="173">
        <f>SUM(D26:O26)</f>
        <v>0</v>
      </c>
    </row>
    <row r="27" spans="1:16">
      <c r="B27" s="173"/>
      <c r="C27" s="173"/>
      <c r="D27" s="147"/>
      <c r="E27" s="147"/>
      <c r="F27" s="147"/>
      <c r="G27" s="147"/>
      <c r="H27" s="147"/>
      <c r="I27" s="147"/>
      <c r="J27" s="147"/>
      <c r="K27" s="147"/>
      <c r="L27" s="147"/>
      <c r="M27" s="147"/>
      <c r="N27" s="147"/>
      <c r="O27" s="147"/>
      <c r="P27" s="173"/>
    </row>
    <row r="28" spans="1:16">
      <c r="B28" s="146" t="s">
        <v>77</v>
      </c>
      <c r="C28" s="146"/>
      <c r="D28" s="147">
        <f t="shared" ref="D28:O28" si="6">$C28</f>
        <v>0</v>
      </c>
      <c r="E28" s="147">
        <f t="shared" si="6"/>
        <v>0</v>
      </c>
      <c r="F28" s="147">
        <f t="shared" si="6"/>
        <v>0</v>
      </c>
      <c r="G28" s="147">
        <f t="shared" si="6"/>
        <v>0</v>
      </c>
      <c r="H28" s="147">
        <f t="shared" si="6"/>
        <v>0</v>
      </c>
      <c r="I28" s="147">
        <f t="shared" si="6"/>
        <v>0</v>
      </c>
      <c r="J28" s="147">
        <f t="shared" si="6"/>
        <v>0</v>
      </c>
      <c r="K28" s="147">
        <f t="shared" si="6"/>
        <v>0</v>
      </c>
      <c r="L28" s="147">
        <f t="shared" si="6"/>
        <v>0</v>
      </c>
      <c r="M28" s="147">
        <f t="shared" si="6"/>
        <v>0</v>
      </c>
      <c r="N28" s="147">
        <f t="shared" si="6"/>
        <v>0</v>
      </c>
      <c r="O28" s="147">
        <f t="shared" si="6"/>
        <v>0</v>
      </c>
      <c r="P28" s="174">
        <f t="shared" ref="P28:P39" si="7">SUM(D28:O28)</f>
        <v>0</v>
      </c>
    </row>
    <row r="29" spans="1:16">
      <c r="A29" s="183" t="s">
        <v>657</v>
      </c>
      <c r="B29" s="147" t="s">
        <v>187</v>
      </c>
      <c r="C29" s="178">
        <v>12000</v>
      </c>
      <c r="D29" s="147">
        <f t="shared" ref="D29:E33" si="8">$C29</f>
        <v>12000</v>
      </c>
      <c r="E29" s="147">
        <f t="shared" si="8"/>
        <v>12000</v>
      </c>
      <c r="F29" s="147"/>
      <c r="G29" s="147"/>
      <c r="H29" s="147"/>
      <c r="I29" s="147"/>
      <c r="J29" s="147"/>
      <c r="K29" s="147"/>
      <c r="L29" s="147"/>
      <c r="M29" s="147"/>
      <c r="N29" s="147"/>
      <c r="O29" s="147"/>
      <c r="P29" s="179">
        <f t="shared" si="7"/>
        <v>24000</v>
      </c>
    </row>
    <row r="30" spans="1:16">
      <c r="B30" s="147" t="s">
        <v>167</v>
      </c>
      <c r="C30" s="178">
        <v>30</v>
      </c>
      <c r="D30" s="147">
        <f t="shared" si="8"/>
        <v>30</v>
      </c>
      <c r="E30" s="147">
        <f t="shared" si="8"/>
        <v>30</v>
      </c>
      <c r="F30" s="147">
        <f t="shared" ref="F30:O33" si="9">$C30</f>
        <v>30</v>
      </c>
      <c r="G30" s="147">
        <f t="shared" si="9"/>
        <v>30</v>
      </c>
      <c r="H30" s="147">
        <f t="shared" si="9"/>
        <v>30</v>
      </c>
      <c r="I30" s="147">
        <f t="shared" si="9"/>
        <v>30</v>
      </c>
      <c r="J30" s="147">
        <f t="shared" si="9"/>
        <v>30</v>
      </c>
      <c r="K30" s="147">
        <f t="shared" si="9"/>
        <v>30</v>
      </c>
      <c r="L30" s="147">
        <f t="shared" si="9"/>
        <v>30</v>
      </c>
      <c r="M30" s="147">
        <f t="shared" si="9"/>
        <v>30</v>
      </c>
      <c r="N30" s="147">
        <f t="shared" si="9"/>
        <v>30</v>
      </c>
      <c r="O30" s="147">
        <f t="shared" si="9"/>
        <v>30</v>
      </c>
      <c r="P30" s="179">
        <f t="shared" si="7"/>
        <v>360</v>
      </c>
    </row>
    <row r="31" spans="1:16">
      <c r="B31" s="147" t="s">
        <v>658</v>
      </c>
      <c r="C31" s="178">
        <v>2169</v>
      </c>
      <c r="D31" s="147">
        <f t="shared" si="8"/>
        <v>2169</v>
      </c>
      <c r="E31" s="147">
        <f t="shared" si="8"/>
        <v>2169</v>
      </c>
      <c r="F31" s="147">
        <f t="shared" si="9"/>
        <v>2169</v>
      </c>
      <c r="G31" s="147">
        <f t="shared" si="9"/>
        <v>2169</v>
      </c>
      <c r="H31" s="147">
        <f t="shared" si="9"/>
        <v>2169</v>
      </c>
      <c r="I31" s="147">
        <f t="shared" si="9"/>
        <v>2169</v>
      </c>
      <c r="J31" s="147">
        <f t="shared" si="9"/>
        <v>2169</v>
      </c>
      <c r="K31" s="147">
        <f t="shared" si="9"/>
        <v>2169</v>
      </c>
      <c r="L31" s="147">
        <f t="shared" si="9"/>
        <v>2169</v>
      </c>
      <c r="M31" s="147">
        <f t="shared" si="9"/>
        <v>2169</v>
      </c>
      <c r="N31" s="147">
        <f t="shared" si="9"/>
        <v>2169</v>
      </c>
      <c r="O31" s="147">
        <f t="shared" si="9"/>
        <v>2169</v>
      </c>
      <c r="P31" s="179">
        <f t="shared" si="7"/>
        <v>26028</v>
      </c>
    </row>
    <row r="32" spans="1:16">
      <c r="B32" s="147" t="s">
        <v>191</v>
      </c>
      <c r="C32" s="178">
        <v>170</v>
      </c>
      <c r="D32" s="147">
        <f t="shared" si="8"/>
        <v>170</v>
      </c>
      <c r="E32" s="147">
        <f t="shared" si="8"/>
        <v>170</v>
      </c>
      <c r="F32" s="147">
        <f t="shared" si="9"/>
        <v>170</v>
      </c>
      <c r="G32" s="147">
        <f t="shared" si="9"/>
        <v>170</v>
      </c>
      <c r="H32" s="147">
        <f t="shared" si="9"/>
        <v>170</v>
      </c>
      <c r="I32" s="147">
        <f t="shared" si="9"/>
        <v>170</v>
      </c>
      <c r="J32" s="147">
        <f t="shared" si="9"/>
        <v>170</v>
      </c>
      <c r="K32" s="147">
        <f t="shared" si="9"/>
        <v>170</v>
      </c>
      <c r="L32" s="147">
        <f t="shared" si="9"/>
        <v>170</v>
      </c>
      <c r="M32" s="147">
        <f t="shared" si="9"/>
        <v>170</v>
      </c>
      <c r="N32" s="147">
        <f t="shared" si="9"/>
        <v>170</v>
      </c>
      <c r="O32" s="147">
        <f t="shared" si="9"/>
        <v>170</v>
      </c>
      <c r="P32" s="179">
        <f t="shared" si="7"/>
        <v>2040</v>
      </c>
    </row>
    <row r="33" spans="1:16">
      <c r="B33" s="147" t="s">
        <v>192</v>
      </c>
      <c r="C33" s="178"/>
      <c r="D33" s="147">
        <f t="shared" si="8"/>
        <v>0</v>
      </c>
      <c r="E33" s="147">
        <f t="shared" si="8"/>
        <v>0</v>
      </c>
      <c r="F33" s="147">
        <f t="shared" si="9"/>
        <v>0</v>
      </c>
      <c r="G33" s="147">
        <f t="shared" si="9"/>
        <v>0</v>
      </c>
      <c r="H33" s="147">
        <f t="shared" si="9"/>
        <v>0</v>
      </c>
      <c r="I33" s="147">
        <f t="shared" si="9"/>
        <v>0</v>
      </c>
      <c r="J33" s="147">
        <f t="shared" si="9"/>
        <v>0</v>
      </c>
      <c r="K33" s="147">
        <f t="shared" si="9"/>
        <v>0</v>
      </c>
      <c r="L33" s="147">
        <f t="shared" si="9"/>
        <v>0</v>
      </c>
      <c r="M33" s="147">
        <f t="shared" si="9"/>
        <v>0</v>
      </c>
      <c r="N33" s="147">
        <f t="shared" si="9"/>
        <v>0</v>
      </c>
      <c r="O33" s="147">
        <f t="shared" si="9"/>
        <v>0</v>
      </c>
      <c r="P33" s="179">
        <f t="shared" si="7"/>
        <v>0</v>
      </c>
    </row>
    <row r="34" spans="1:16">
      <c r="B34" s="147" t="s">
        <v>659</v>
      </c>
      <c r="C34" s="178">
        <v>5000</v>
      </c>
      <c r="D34" s="147">
        <v>5000</v>
      </c>
      <c r="E34" s="147">
        <v>5000</v>
      </c>
      <c r="F34" s="147">
        <v>5000</v>
      </c>
      <c r="G34" s="147">
        <v>5000</v>
      </c>
      <c r="H34" s="147">
        <v>5000</v>
      </c>
      <c r="I34" s="147">
        <v>5000</v>
      </c>
      <c r="J34" s="147">
        <v>3000</v>
      </c>
      <c r="K34" s="147">
        <v>3000</v>
      </c>
      <c r="L34" s="147">
        <v>3000</v>
      </c>
      <c r="M34" s="147">
        <v>3000</v>
      </c>
      <c r="N34" s="147">
        <v>3000</v>
      </c>
      <c r="O34" s="147">
        <v>3000</v>
      </c>
      <c r="P34" s="179">
        <f t="shared" si="7"/>
        <v>48000</v>
      </c>
    </row>
    <row r="35" spans="1:16">
      <c r="B35" s="147" t="s">
        <v>404</v>
      </c>
      <c r="C35" s="178">
        <v>105.53</v>
      </c>
      <c r="D35" s="147">
        <f t="shared" ref="D35:O35" si="10">$C35</f>
        <v>105.53</v>
      </c>
      <c r="E35" s="147">
        <f t="shared" si="10"/>
        <v>105.53</v>
      </c>
      <c r="F35" s="147">
        <f t="shared" si="10"/>
        <v>105.53</v>
      </c>
      <c r="G35" s="147">
        <f t="shared" si="10"/>
        <v>105.53</v>
      </c>
      <c r="H35" s="147">
        <f t="shared" si="10"/>
        <v>105.53</v>
      </c>
      <c r="I35" s="147">
        <f t="shared" si="10"/>
        <v>105.53</v>
      </c>
      <c r="J35" s="147">
        <f t="shared" si="10"/>
        <v>105.53</v>
      </c>
      <c r="K35" s="147">
        <f t="shared" si="10"/>
        <v>105.53</v>
      </c>
      <c r="L35" s="147">
        <f t="shared" si="10"/>
        <v>105.53</v>
      </c>
      <c r="M35" s="147">
        <f t="shared" si="10"/>
        <v>105.53</v>
      </c>
      <c r="N35" s="147">
        <f t="shared" si="10"/>
        <v>105.53</v>
      </c>
      <c r="O35" s="147">
        <f t="shared" si="10"/>
        <v>105.53</v>
      </c>
      <c r="P35" s="179">
        <f t="shared" si="7"/>
        <v>1266.3599999999999</v>
      </c>
    </row>
    <row r="36" spans="1:16">
      <c r="B36" s="147" t="s">
        <v>188</v>
      </c>
      <c r="C36" s="178">
        <v>111</v>
      </c>
      <c r="D36" s="147">
        <f t="shared" ref="D36:I38" si="11">$C36</f>
        <v>111</v>
      </c>
      <c r="E36" s="147">
        <f t="shared" si="11"/>
        <v>111</v>
      </c>
      <c r="F36" s="147">
        <f t="shared" si="11"/>
        <v>111</v>
      </c>
      <c r="G36" s="147">
        <f t="shared" si="11"/>
        <v>111</v>
      </c>
      <c r="H36" s="147">
        <f t="shared" si="11"/>
        <v>111</v>
      </c>
      <c r="I36" s="147">
        <f t="shared" si="11"/>
        <v>111</v>
      </c>
      <c r="J36" s="147"/>
      <c r="K36" s="147"/>
      <c r="L36" s="147"/>
      <c r="M36" s="147"/>
      <c r="N36" s="147"/>
      <c r="O36" s="147"/>
      <c r="P36" s="179">
        <f t="shared" si="7"/>
        <v>666</v>
      </c>
    </row>
    <row r="37" spans="1:16">
      <c r="B37" s="147" t="s">
        <v>190</v>
      </c>
      <c r="C37" s="178">
        <v>19.899999999999999</v>
      </c>
      <c r="D37" s="147">
        <f t="shared" si="11"/>
        <v>19.899999999999999</v>
      </c>
      <c r="E37" s="147">
        <f t="shared" si="11"/>
        <v>19.899999999999999</v>
      </c>
      <c r="F37" s="147">
        <f t="shared" si="11"/>
        <v>19.899999999999999</v>
      </c>
      <c r="G37" s="147">
        <f t="shared" si="11"/>
        <v>19.899999999999999</v>
      </c>
      <c r="H37" s="147">
        <f t="shared" si="11"/>
        <v>19.899999999999999</v>
      </c>
      <c r="I37" s="147">
        <f t="shared" si="11"/>
        <v>19.899999999999999</v>
      </c>
      <c r="J37" s="147">
        <f t="shared" ref="J37:O38" si="12">$C37</f>
        <v>19.899999999999999</v>
      </c>
      <c r="K37" s="147">
        <f t="shared" si="12"/>
        <v>19.899999999999999</v>
      </c>
      <c r="L37" s="147">
        <f t="shared" si="12"/>
        <v>19.899999999999999</v>
      </c>
      <c r="M37" s="147">
        <f t="shared" si="12"/>
        <v>19.899999999999999</v>
      </c>
      <c r="N37" s="147">
        <f t="shared" si="12"/>
        <v>19.899999999999999</v>
      </c>
      <c r="O37" s="147">
        <f t="shared" si="12"/>
        <v>19.899999999999999</v>
      </c>
      <c r="P37" s="179">
        <f t="shared" si="7"/>
        <v>238.80000000000004</v>
      </c>
    </row>
    <row r="38" spans="1:16">
      <c r="A38" s="121" t="s">
        <v>660</v>
      </c>
      <c r="B38" s="147" t="s">
        <v>172</v>
      </c>
      <c r="C38" s="178">
        <v>570</v>
      </c>
      <c r="D38" s="147">
        <f t="shared" si="11"/>
        <v>570</v>
      </c>
      <c r="E38" s="147">
        <f t="shared" si="11"/>
        <v>570</v>
      </c>
      <c r="F38" s="147">
        <f t="shared" si="11"/>
        <v>570</v>
      </c>
      <c r="G38" s="147">
        <f t="shared" si="11"/>
        <v>570</v>
      </c>
      <c r="H38" s="147">
        <f t="shared" si="11"/>
        <v>570</v>
      </c>
      <c r="I38" s="147">
        <f t="shared" si="11"/>
        <v>570</v>
      </c>
      <c r="J38" s="147">
        <f t="shared" si="12"/>
        <v>570</v>
      </c>
      <c r="K38" s="147">
        <f t="shared" si="12"/>
        <v>570</v>
      </c>
      <c r="L38" s="147">
        <f t="shared" si="12"/>
        <v>570</v>
      </c>
      <c r="M38" s="147">
        <f t="shared" si="12"/>
        <v>570</v>
      </c>
      <c r="N38" s="147">
        <f t="shared" si="12"/>
        <v>570</v>
      </c>
      <c r="O38" s="147">
        <f t="shared" si="12"/>
        <v>570</v>
      </c>
      <c r="P38" s="179">
        <f t="shared" si="7"/>
        <v>6840</v>
      </c>
    </row>
    <row r="39" spans="1:16" ht="15.5">
      <c r="A39" s="180"/>
      <c r="B39" s="181" t="s">
        <v>661</v>
      </c>
      <c r="C39" s="181"/>
      <c r="D39" s="182">
        <f t="shared" ref="D39:O39" si="13">SUM(D28:D38)</f>
        <v>20175.43</v>
      </c>
      <c r="E39" s="182">
        <f t="shared" si="13"/>
        <v>20175.43</v>
      </c>
      <c r="F39" s="182">
        <f t="shared" si="13"/>
        <v>8175.4299999999994</v>
      </c>
      <c r="G39" s="182">
        <f t="shared" si="13"/>
        <v>8175.4299999999994</v>
      </c>
      <c r="H39" s="182">
        <f t="shared" si="13"/>
        <v>8175.4299999999994</v>
      </c>
      <c r="I39" s="182">
        <f t="shared" si="13"/>
        <v>8175.4299999999994</v>
      </c>
      <c r="J39" s="182">
        <f t="shared" si="13"/>
        <v>6064.4299999999994</v>
      </c>
      <c r="K39" s="182">
        <f t="shared" si="13"/>
        <v>6064.4299999999994</v>
      </c>
      <c r="L39" s="182">
        <f t="shared" si="13"/>
        <v>6064.4299999999994</v>
      </c>
      <c r="M39" s="182">
        <f t="shared" si="13"/>
        <v>6064.4299999999994</v>
      </c>
      <c r="N39" s="182">
        <f t="shared" si="13"/>
        <v>6064.4299999999994</v>
      </c>
      <c r="O39" s="182">
        <f t="shared" si="13"/>
        <v>6064.4299999999994</v>
      </c>
      <c r="P39" s="182">
        <f t="shared" si="7"/>
        <v>109439.15999999996</v>
      </c>
    </row>
    <row r="40" spans="1:16">
      <c r="B40" s="147"/>
      <c r="C40" s="178"/>
      <c r="D40" s="147"/>
      <c r="E40" s="147"/>
      <c r="F40" s="147"/>
      <c r="G40" s="147"/>
      <c r="H40" s="147"/>
      <c r="I40" s="147"/>
      <c r="J40" s="147"/>
      <c r="K40" s="147"/>
      <c r="L40" s="147"/>
      <c r="M40" s="147"/>
      <c r="N40" s="147"/>
      <c r="O40" s="147"/>
      <c r="P40" s="179"/>
    </row>
    <row r="41" spans="1:16">
      <c r="B41" s="173" t="s">
        <v>662</v>
      </c>
      <c r="C41" s="178"/>
      <c r="D41" s="173"/>
      <c r="E41" s="173"/>
      <c r="F41" s="173"/>
      <c r="G41" s="173"/>
      <c r="H41" s="173"/>
      <c r="I41" s="173"/>
      <c r="J41" s="173"/>
      <c r="K41" s="173"/>
      <c r="L41" s="173"/>
      <c r="M41" s="173"/>
      <c r="N41" s="173"/>
      <c r="O41" s="173"/>
      <c r="P41" s="173"/>
    </row>
    <row r="42" spans="1:16">
      <c r="A42" s="183">
        <v>14</v>
      </c>
      <c r="B42" s="173" t="s">
        <v>663</v>
      </c>
      <c r="C42" s="178">
        <f>80*14</f>
        <v>1120</v>
      </c>
      <c r="D42" s="144">
        <f t="shared" ref="D42:O42" si="14">$C42*2</f>
        <v>2240</v>
      </c>
      <c r="E42" s="144">
        <f t="shared" si="14"/>
        <v>2240</v>
      </c>
      <c r="F42" s="144">
        <f t="shared" si="14"/>
        <v>2240</v>
      </c>
      <c r="G42" s="144">
        <f t="shared" si="14"/>
        <v>2240</v>
      </c>
      <c r="H42" s="144">
        <f t="shared" si="14"/>
        <v>2240</v>
      </c>
      <c r="I42" s="144">
        <f t="shared" si="14"/>
        <v>2240</v>
      </c>
      <c r="J42" s="144">
        <f t="shared" si="14"/>
        <v>2240</v>
      </c>
      <c r="K42" s="144">
        <f t="shared" si="14"/>
        <v>2240</v>
      </c>
      <c r="L42" s="144">
        <f t="shared" si="14"/>
        <v>2240</v>
      </c>
      <c r="M42" s="144">
        <f t="shared" si="14"/>
        <v>2240</v>
      </c>
      <c r="N42" s="144">
        <f t="shared" si="14"/>
        <v>2240</v>
      </c>
      <c r="O42" s="144">
        <f t="shared" si="14"/>
        <v>2240</v>
      </c>
      <c r="P42" s="173">
        <f>SUM(D42:O42)</f>
        <v>26880</v>
      </c>
    </row>
    <row r="43" spans="1:16">
      <c r="A43" s="183"/>
      <c r="B43" s="173" t="s">
        <v>106</v>
      </c>
      <c r="C43" s="178"/>
      <c r="D43" s="147">
        <f>17000-D42</f>
        <v>14760</v>
      </c>
      <c r="E43" s="147">
        <f>$C43*2</f>
        <v>0</v>
      </c>
      <c r="F43" s="147">
        <f>$C43*2</f>
        <v>0</v>
      </c>
      <c r="G43" s="147">
        <f>$C43*2</f>
        <v>0</v>
      </c>
      <c r="H43" s="147">
        <f>$C43*3</f>
        <v>0</v>
      </c>
      <c r="I43" s="147">
        <f>$C43*2</f>
        <v>0</v>
      </c>
      <c r="J43" s="147">
        <f>$C43*2</f>
        <v>0</v>
      </c>
      <c r="K43" s="147">
        <f>$C43*2</f>
        <v>0</v>
      </c>
      <c r="L43" s="147">
        <f>$C43*2</f>
        <v>0</v>
      </c>
      <c r="M43" s="147">
        <f>$C43*3</f>
        <v>0</v>
      </c>
      <c r="N43" s="147">
        <f>$C43*2</f>
        <v>0</v>
      </c>
      <c r="O43" s="147">
        <f>$C43*2</f>
        <v>0</v>
      </c>
      <c r="P43" s="173">
        <f>SUM(D43:O43)</f>
        <v>14760</v>
      </c>
    </row>
    <row r="44" spans="1:16">
      <c r="B44" s="173"/>
      <c r="C44" s="178"/>
      <c r="D44" s="147"/>
      <c r="E44" s="147"/>
      <c r="F44" s="147"/>
      <c r="G44" s="147"/>
      <c r="H44" s="147"/>
      <c r="I44" s="147"/>
      <c r="J44" s="147"/>
      <c r="K44" s="147"/>
      <c r="L44" s="147"/>
      <c r="M44" s="147"/>
      <c r="N44" s="147"/>
      <c r="O44" s="147"/>
      <c r="P44" s="173"/>
    </row>
    <row r="45" spans="1:16" ht="15.5">
      <c r="A45" s="180"/>
      <c r="B45" s="181" t="s">
        <v>664</v>
      </c>
      <c r="C45" s="181"/>
      <c r="D45" s="182">
        <f t="shared" ref="D45:O45" si="15">SUM(D42:D43)</f>
        <v>17000</v>
      </c>
      <c r="E45" s="182">
        <f t="shared" si="15"/>
        <v>2240</v>
      </c>
      <c r="F45" s="182">
        <f t="shared" si="15"/>
        <v>2240</v>
      </c>
      <c r="G45" s="182">
        <f t="shared" si="15"/>
        <v>2240</v>
      </c>
      <c r="H45" s="182">
        <f t="shared" si="15"/>
        <v>2240</v>
      </c>
      <c r="I45" s="182">
        <f t="shared" si="15"/>
        <v>2240</v>
      </c>
      <c r="J45" s="182">
        <f t="shared" si="15"/>
        <v>2240</v>
      </c>
      <c r="K45" s="182">
        <f t="shared" si="15"/>
        <v>2240</v>
      </c>
      <c r="L45" s="182">
        <f t="shared" si="15"/>
        <v>2240</v>
      </c>
      <c r="M45" s="182">
        <f t="shared" si="15"/>
        <v>2240</v>
      </c>
      <c r="N45" s="182">
        <f t="shared" si="15"/>
        <v>2240</v>
      </c>
      <c r="O45" s="182">
        <f t="shared" si="15"/>
        <v>2240</v>
      </c>
      <c r="P45" s="182">
        <f>SUM(D45:O45)</f>
        <v>41640</v>
      </c>
    </row>
    <row r="46" spans="1:16">
      <c r="B46" s="146"/>
      <c r="C46" s="178"/>
      <c r="D46" s="146"/>
      <c r="E46" s="146"/>
      <c r="F46" s="146"/>
      <c r="G46" s="146"/>
      <c r="H46" s="146"/>
      <c r="I46" s="146"/>
      <c r="J46" s="146"/>
      <c r="K46" s="146"/>
      <c r="L46" s="146"/>
      <c r="M46" s="146"/>
      <c r="N46" s="146"/>
      <c r="O46" s="146"/>
      <c r="P46" s="174"/>
    </row>
    <row r="47" spans="1:16">
      <c r="B47" s="146" t="s">
        <v>96</v>
      </c>
      <c r="C47" s="178"/>
      <c r="D47" s="146"/>
      <c r="E47" s="146"/>
      <c r="F47" s="146"/>
      <c r="G47" s="146"/>
      <c r="H47" s="146"/>
      <c r="I47" s="146"/>
      <c r="J47" s="146"/>
      <c r="K47" s="146"/>
      <c r="L47" s="146"/>
      <c r="M47" s="146"/>
      <c r="N47" s="146"/>
      <c r="O47" s="146"/>
      <c r="P47" s="174">
        <f t="shared" ref="P47:P52" si="16">SUM(D47:O47)</f>
        <v>0</v>
      </c>
    </row>
    <row r="48" spans="1:16">
      <c r="B48" s="147" t="s">
        <v>665</v>
      </c>
      <c r="C48" s="178"/>
      <c r="D48" s="147"/>
      <c r="E48" s="147">
        <v>2500</v>
      </c>
      <c r="F48" s="147">
        <v>500</v>
      </c>
      <c r="G48" s="147">
        <v>1000</v>
      </c>
      <c r="H48" s="147">
        <v>1000</v>
      </c>
      <c r="I48" s="147">
        <v>1000</v>
      </c>
      <c r="J48" s="147">
        <v>1000</v>
      </c>
      <c r="K48" s="147">
        <v>1000</v>
      </c>
      <c r="L48" s="147">
        <v>1000</v>
      </c>
      <c r="M48" s="147">
        <v>1000</v>
      </c>
      <c r="N48" s="147">
        <v>1000</v>
      </c>
      <c r="O48" s="147">
        <v>1000</v>
      </c>
      <c r="P48" s="179">
        <f t="shared" si="16"/>
        <v>12000</v>
      </c>
    </row>
    <row r="49" spans="1:16">
      <c r="B49" s="147" t="s">
        <v>405</v>
      </c>
      <c r="C49" s="178">
        <v>955</v>
      </c>
      <c r="D49" s="147">
        <v>1128.52</v>
      </c>
      <c r="E49" s="147">
        <v>1128.52</v>
      </c>
      <c r="F49" s="147">
        <f t="shared" ref="F49:O49" si="17">$C49</f>
        <v>955</v>
      </c>
      <c r="G49" s="147">
        <f t="shared" si="17"/>
        <v>955</v>
      </c>
      <c r="H49" s="147">
        <f t="shared" si="17"/>
        <v>955</v>
      </c>
      <c r="I49" s="147">
        <f t="shared" si="17"/>
        <v>955</v>
      </c>
      <c r="J49" s="147">
        <f t="shared" si="17"/>
        <v>955</v>
      </c>
      <c r="K49" s="147">
        <f t="shared" si="17"/>
        <v>955</v>
      </c>
      <c r="L49" s="147">
        <f t="shared" si="17"/>
        <v>955</v>
      </c>
      <c r="M49" s="147">
        <f t="shared" si="17"/>
        <v>955</v>
      </c>
      <c r="N49" s="147">
        <f t="shared" si="17"/>
        <v>955</v>
      </c>
      <c r="O49" s="147">
        <f t="shared" si="17"/>
        <v>955</v>
      </c>
      <c r="P49" s="179">
        <f t="shared" si="16"/>
        <v>11807.04</v>
      </c>
    </row>
    <row r="50" spans="1:16">
      <c r="B50" s="184" t="s">
        <v>666</v>
      </c>
      <c r="C50" s="178">
        <v>1250</v>
      </c>
      <c r="D50" s="147">
        <f>$C50*2</f>
        <v>2500</v>
      </c>
      <c r="E50" s="147"/>
      <c r="F50" s="147"/>
      <c r="G50" s="147"/>
      <c r="H50" s="147"/>
      <c r="I50" s="147"/>
      <c r="J50" s="147"/>
      <c r="K50" s="147"/>
      <c r="L50" s="147"/>
      <c r="M50" s="147"/>
      <c r="N50" s="147"/>
      <c r="O50" s="147"/>
      <c r="P50" s="179">
        <f t="shared" si="16"/>
        <v>2500</v>
      </c>
    </row>
    <row r="51" spans="1:16">
      <c r="B51" s="184" t="s">
        <v>590</v>
      </c>
      <c r="C51" s="178">
        <v>2500</v>
      </c>
      <c r="D51" s="147"/>
      <c r="E51" s="147"/>
      <c r="F51" s="147"/>
      <c r="G51" s="147">
        <v>0</v>
      </c>
      <c r="H51" s="147"/>
      <c r="I51" s="147"/>
      <c r="J51" s="147"/>
      <c r="K51" s="147"/>
      <c r="L51" s="147"/>
      <c r="M51" s="147">
        <v>2500</v>
      </c>
      <c r="N51" s="147"/>
      <c r="O51" s="147"/>
      <c r="P51" s="179">
        <f t="shared" si="16"/>
        <v>2500</v>
      </c>
    </row>
    <row r="52" spans="1:16" ht="15.5">
      <c r="A52" s="180"/>
      <c r="B52" s="181" t="s">
        <v>667</v>
      </c>
      <c r="C52" s="181"/>
      <c r="D52" s="182">
        <f t="shared" ref="D52:O52" si="18">SUM(D48:D51)</f>
        <v>3628.52</v>
      </c>
      <c r="E52" s="182">
        <f t="shared" si="18"/>
        <v>3628.52</v>
      </c>
      <c r="F52" s="182">
        <f t="shared" si="18"/>
        <v>1455</v>
      </c>
      <c r="G52" s="182">
        <f t="shared" si="18"/>
        <v>1955</v>
      </c>
      <c r="H52" s="182">
        <f t="shared" si="18"/>
        <v>1955</v>
      </c>
      <c r="I52" s="182">
        <f t="shared" si="18"/>
        <v>1955</v>
      </c>
      <c r="J52" s="182">
        <f t="shared" si="18"/>
        <v>1955</v>
      </c>
      <c r="K52" s="182">
        <f t="shared" si="18"/>
        <v>1955</v>
      </c>
      <c r="L52" s="182">
        <f t="shared" si="18"/>
        <v>1955</v>
      </c>
      <c r="M52" s="182">
        <f t="shared" si="18"/>
        <v>4455</v>
      </c>
      <c r="N52" s="182">
        <f t="shared" si="18"/>
        <v>1955</v>
      </c>
      <c r="O52" s="182">
        <f t="shared" si="18"/>
        <v>1955</v>
      </c>
      <c r="P52" s="182">
        <f t="shared" si="16"/>
        <v>28807.040000000001</v>
      </c>
    </row>
    <row r="53" spans="1:16">
      <c r="B53" s="173"/>
      <c r="C53" s="173"/>
      <c r="D53" s="173"/>
      <c r="E53" s="173"/>
      <c r="F53" s="173"/>
      <c r="G53" s="173"/>
      <c r="H53" s="173"/>
      <c r="I53" s="173"/>
      <c r="J53" s="173"/>
      <c r="K53" s="173"/>
      <c r="L53" s="173"/>
      <c r="M53" s="173"/>
      <c r="N53" s="173"/>
      <c r="O53" s="173"/>
      <c r="P53" s="173"/>
    </row>
    <row r="54" spans="1:16">
      <c r="B54" s="173" t="s">
        <v>147</v>
      </c>
      <c r="C54" s="173"/>
      <c r="D54" s="173"/>
      <c r="E54" s="173"/>
      <c r="F54" s="173"/>
      <c r="G54" s="173"/>
      <c r="H54" s="173"/>
      <c r="I54" s="173"/>
      <c r="J54" s="173"/>
      <c r="K54" s="173"/>
      <c r="L54" s="173"/>
      <c r="M54" s="173"/>
      <c r="N54" s="173"/>
      <c r="O54" s="173"/>
      <c r="P54" s="179">
        <f>SUM(D54:O54)</f>
        <v>0</v>
      </c>
    </row>
    <row r="55" spans="1:16">
      <c r="B55" s="185"/>
      <c r="C55" s="185"/>
      <c r="D55" s="185"/>
      <c r="E55" s="185"/>
      <c r="F55" s="185"/>
      <c r="G55" s="185"/>
      <c r="H55" s="185"/>
      <c r="I55" s="185"/>
      <c r="J55" s="185"/>
      <c r="K55" s="185"/>
      <c r="L55" s="185"/>
      <c r="M55" s="185"/>
      <c r="N55" s="185"/>
      <c r="O55" s="185"/>
      <c r="P55" s="186">
        <f>SUM(D55:O55)</f>
        <v>0</v>
      </c>
    </row>
    <row r="56" spans="1:16">
      <c r="B56" s="147" t="s">
        <v>668</v>
      </c>
      <c r="C56" s="178">
        <v>8045.06</v>
      </c>
      <c r="D56" s="147">
        <v>11300</v>
      </c>
      <c r="E56" s="147">
        <f t="shared" ref="E56:O56" si="19">$C56</f>
        <v>8045.06</v>
      </c>
      <c r="F56" s="147">
        <f t="shared" si="19"/>
        <v>8045.06</v>
      </c>
      <c r="G56" s="147">
        <f t="shared" si="19"/>
        <v>8045.06</v>
      </c>
      <c r="H56" s="147">
        <f t="shared" si="19"/>
        <v>8045.06</v>
      </c>
      <c r="I56" s="147">
        <f t="shared" si="19"/>
        <v>8045.06</v>
      </c>
      <c r="J56" s="147">
        <f t="shared" si="19"/>
        <v>8045.06</v>
      </c>
      <c r="K56" s="147">
        <f t="shared" si="19"/>
        <v>8045.06</v>
      </c>
      <c r="L56" s="147">
        <f t="shared" si="19"/>
        <v>8045.06</v>
      </c>
      <c r="M56" s="147">
        <f t="shared" si="19"/>
        <v>8045.06</v>
      </c>
      <c r="N56" s="147">
        <f t="shared" si="19"/>
        <v>8045.06</v>
      </c>
      <c r="O56" s="147">
        <f t="shared" si="19"/>
        <v>8045.06</v>
      </c>
      <c r="P56" s="179">
        <f>SUM(D56:O56)</f>
        <v>99795.659999999989</v>
      </c>
    </row>
    <row r="57" spans="1:16">
      <c r="B57" s="146" t="s">
        <v>669</v>
      </c>
      <c r="C57" s="187">
        <v>4554.8900000000003</v>
      </c>
      <c r="D57" s="147">
        <v>16000</v>
      </c>
      <c r="E57" s="147">
        <f>$C57*2</f>
        <v>9109.7800000000007</v>
      </c>
      <c r="F57" s="147">
        <f>$C57*2</f>
        <v>9109.7800000000007</v>
      </c>
      <c r="G57" s="147">
        <f>$C57*2</f>
        <v>9109.7800000000007</v>
      </c>
      <c r="H57" s="147">
        <f>$C57*3</f>
        <v>13664.670000000002</v>
      </c>
      <c r="I57" s="147">
        <f>$C57*2</f>
        <v>9109.7800000000007</v>
      </c>
      <c r="J57" s="147">
        <f>$C57*2</f>
        <v>9109.7800000000007</v>
      </c>
      <c r="K57" s="147">
        <f>$C57*2</f>
        <v>9109.7800000000007</v>
      </c>
      <c r="L57" s="147">
        <f>$C57*2</f>
        <v>9109.7800000000007</v>
      </c>
      <c r="M57" s="147">
        <f>$C57*3</f>
        <v>13664.670000000002</v>
      </c>
      <c r="N57" s="147">
        <f>$C57*2</f>
        <v>9109.7800000000007</v>
      </c>
      <c r="O57" s="147">
        <f>$C57*2</f>
        <v>9109.7800000000007</v>
      </c>
      <c r="P57" s="179">
        <f>SUM(D57:O57)</f>
        <v>125317.35999999999</v>
      </c>
    </row>
    <row r="58" spans="1:16" ht="15.5">
      <c r="A58" s="180"/>
      <c r="B58" s="188" t="s">
        <v>670</v>
      </c>
      <c r="C58" s="181"/>
      <c r="D58" s="182">
        <f t="shared" ref="D58:O58" si="20">SUM(D56:D57)</f>
        <v>27300</v>
      </c>
      <c r="E58" s="182">
        <f t="shared" si="20"/>
        <v>17154.84</v>
      </c>
      <c r="F58" s="182">
        <f t="shared" si="20"/>
        <v>17154.84</v>
      </c>
      <c r="G58" s="182">
        <f t="shared" si="20"/>
        <v>17154.84</v>
      </c>
      <c r="H58" s="182">
        <f t="shared" si="20"/>
        <v>21709.730000000003</v>
      </c>
      <c r="I58" s="182">
        <f t="shared" si="20"/>
        <v>17154.84</v>
      </c>
      <c r="J58" s="182">
        <f t="shared" si="20"/>
        <v>17154.84</v>
      </c>
      <c r="K58" s="182">
        <f t="shared" si="20"/>
        <v>17154.84</v>
      </c>
      <c r="L58" s="182">
        <f t="shared" si="20"/>
        <v>17154.84</v>
      </c>
      <c r="M58" s="182">
        <f t="shared" si="20"/>
        <v>21709.730000000003</v>
      </c>
      <c r="N58" s="182">
        <f t="shared" si="20"/>
        <v>17154.84</v>
      </c>
      <c r="O58" s="182">
        <f t="shared" si="20"/>
        <v>17154.84</v>
      </c>
      <c r="P58" s="182">
        <f>SUM(D58:O58)</f>
        <v>225113.02</v>
      </c>
    </row>
    <row r="59" spans="1:16">
      <c r="B59" s="189"/>
      <c r="C59" s="190"/>
      <c r="D59" s="147"/>
      <c r="E59" s="147"/>
      <c r="F59" s="147"/>
      <c r="G59" s="147"/>
      <c r="H59" s="147"/>
      <c r="I59" s="147"/>
      <c r="J59" s="147"/>
      <c r="K59" s="147"/>
      <c r="L59" s="147"/>
      <c r="M59" s="147"/>
      <c r="N59" s="147"/>
      <c r="O59" s="147"/>
      <c r="P59" s="179"/>
    </row>
    <row r="60" spans="1:16">
      <c r="B60" s="173" t="s">
        <v>216</v>
      </c>
      <c r="C60" s="173"/>
      <c r="D60" s="173"/>
      <c r="E60" s="173"/>
      <c r="F60" s="173"/>
      <c r="G60" s="173"/>
      <c r="H60" s="173"/>
      <c r="I60" s="173"/>
      <c r="J60" s="173"/>
      <c r="K60" s="173"/>
      <c r="L60" s="173"/>
      <c r="M60" s="173"/>
      <c r="N60" s="173"/>
      <c r="O60" s="173"/>
      <c r="P60" s="179">
        <f t="shared" ref="P60:P90" si="21">SUM(D60:O60)</f>
        <v>0</v>
      </c>
    </row>
    <row r="61" spans="1:16">
      <c r="B61" s="146" t="s">
        <v>110</v>
      </c>
      <c r="C61" s="146"/>
      <c r="D61" s="146"/>
      <c r="E61" s="146"/>
      <c r="F61" s="146"/>
      <c r="G61" s="146"/>
      <c r="H61" s="146"/>
      <c r="I61" s="146"/>
      <c r="J61" s="146"/>
      <c r="K61" s="146"/>
      <c r="L61" s="146"/>
      <c r="M61" s="146"/>
      <c r="N61" s="146"/>
      <c r="O61" s="146"/>
      <c r="P61" s="179">
        <f t="shared" si="21"/>
        <v>0</v>
      </c>
    </row>
    <row r="62" spans="1:16">
      <c r="B62" s="147" t="s">
        <v>359</v>
      </c>
      <c r="C62" s="147"/>
      <c r="D62" s="147"/>
      <c r="E62" s="147"/>
      <c r="F62" s="147">
        <v>209</v>
      </c>
      <c r="G62" s="147"/>
      <c r="H62" s="147"/>
      <c r="I62" s="147">
        <v>209</v>
      </c>
      <c r="J62" s="147"/>
      <c r="K62" s="147"/>
      <c r="L62" s="147">
        <v>209</v>
      </c>
      <c r="M62" s="147"/>
      <c r="N62" s="147"/>
      <c r="O62" s="147">
        <v>209</v>
      </c>
      <c r="P62" s="179">
        <f t="shared" si="21"/>
        <v>836</v>
      </c>
    </row>
    <row r="63" spans="1:16">
      <c r="B63" s="147" t="s">
        <v>671</v>
      </c>
      <c r="C63" s="178">
        <v>2500</v>
      </c>
      <c r="D63" s="147">
        <f>$C63</f>
        <v>2500</v>
      </c>
      <c r="E63" s="147">
        <f>$C63</f>
        <v>2500</v>
      </c>
      <c r="F63" s="147">
        <f>$C63</f>
        <v>2500</v>
      </c>
      <c r="G63" s="147">
        <f t="shared" ref="G63:O63" si="22">$C63-500</f>
        <v>2000</v>
      </c>
      <c r="H63" s="147">
        <f t="shared" si="22"/>
        <v>2000</v>
      </c>
      <c r="I63" s="147">
        <f t="shared" si="22"/>
        <v>2000</v>
      </c>
      <c r="J63" s="147">
        <f t="shared" si="22"/>
        <v>2000</v>
      </c>
      <c r="K63" s="147">
        <f t="shared" si="22"/>
        <v>2000</v>
      </c>
      <c r="L63" s="147">
        <f t="shared" si="22"/>
        <v>2000</v>
      </c>
      <c r="M63" s="147">
        <f t="shared" si="22"/>
        <v>2000</v>
      </c>
      <c r="N63" s="147">
        <f t="shared" si="22"/>
        <v>2000</v>
      </c>
      <c r="O63" s="147">
        <f t="shared" si="22"/>
        <v>2000</v>
      </c>
      <c r="P63" s="179">
        <f t="shared" si="21"/>
        <v>25500</v>
      </c>
    </row>
    <row r="64" spans="1:16">
      <c r="B64" s="146" t="s">
        <v>114</v>
      </c>
      <c r="C64" s="178"/>
      <c r="D64" s="146"/>
      <c r="E64" s="146"/>
      <c r="F64" s="146"/>
      <c r="G64" s="146"/>
      <c r="H64" s="146"/>
      <c r="I64" s="146"/>
      <c r="J64" s="146"/>
      <c r="K64" s="146"/>
      <c r="L64" s="146"/>
      <c r="M64" s="146"/>
      <c r="N64" s="146"/>
      <c r="O64" s="146"/>
      <c r="P64" s="179">
        <f t="shared" si="21"/>
        <v>0</v>
      </c>
    </row>
    <row r="65" spans="1:16">
      <c r="B65" s="147" t="s">
        <v>672</v>
      </c>
      <c r="C65" s="178">
        <v>57</v>
      </c>
      <c r="D65" s="147">
        <f t="shared" ref="D65:O65" si="23">$C65</f>
        <v>57</v>
      </c>
      <c r="E65" s="147">
        <f t="shared" si="23"/>
        <v>57</v>
      </c>
      <c r="F65" s="147">
        <f t="shared" si="23"/>
        <v>57</v>
      </c>
      <c r="G65" s="147">
        <f t="shared" si="23"/>
        <v>57</v>
      </c>
      <c r="H65" s="147">
        <f t="shared" si="23"/>
        <v>57</v>
      </c>
      <c r="I65" s="147">
        <f t="shared" si="23"/>
        <v>57</v>
      </c>
      <c r="J65" s="147">
        <f t="shared" si="23"/>
        <v>57</v>
      </c>
      <c r="K65" s="147">
        <f t="shared" si="23"/>
        <v>57</v>
      </c>
      <c r="L65" s="147">
        <f t="shared" si="23"/>
        <v>57</v>
      </c>
      <c r="M65" s="147">
        <f t="shared" si="23"/>
        <v>57</v>
      </c>
      <c r="N65" s="147">
        <f t="shared" si="23"/>
        <v>57</v>
      </c>
      <c r="O65" s="147">
        <f t="shared" si="23"/>
        <v>57</v>
      </c>
      <c r="P65" s="179">
        <f t="shared" si="21"/>
        <v>684</v>
      </c>
    </row>
    <row r="66" spans="1:16">
      <c r="B66" s="146" t="s">
        <v>119</v>
      </c>
      <c r="C66" s="178"/>
      <c r="D66" s="146"/>
      <c r="E66" s="146"/>
      <c r="F66" s="146"/>
      <c r="G66" s="146"/>
      <c r="H66" s="146"/>
      <c r="I66" s="146"/>
      <c r="J66" s="146"/>
      <c r="K66" s="146"/>
      <c r="L66" s="146"/>
      <c r="M66" s="146"/>
      <c r="N66" s="146"/>
      <c r="O66" s="146"/>
      <c r="P66" s="179">
        <f t="shared" si="21"/>
        <v>0</v>
      </c>
    </row>
    <row r="67" spans="1:16">
      <c r="B67" s="146" t="s">
        <v>673</v>
      </c>
      <c r="C67" s="178">
        <v>5000</v>
      </c>
      <c r="D67" s="146">
        <f t="shared" ref="D67:O67" si="24">$C$67</f>
        <v>5000</v>
      </c>
      <c r="E67" s="146">
        <f t="shared" si="24"/>
        <v>5000</v>
      </c>
      <c r="F67" s="146">
        <f t="shared" si="24"/>
        <v>5000</v>
      </c>
      <c r="G67" s="146">
        <f t="shared" si="24"/>
        <v>5000</v>
      </c>
      <c r="H67" s="146">
        <f t="shared" si="24"/>
        <v>5000</v>
      </c>
      <c r="I67" s="146">
        <f t="shared" si="24"/>
        <v>5000</v>
      </c>
      <c r="J67" s="146">
        <f t="shared" si="24"/>
        <v>5000</v>
      </c>
      <c r="K67" s="146">
        <f t="shared" si="24"/>
        <v>5000</v>
      </c>
      <c r="L67" s="146">
        <f t="shared" si="24"/>
        <v>5000</v>
      </c>
      <c r="M67" s="146">
        <f t="shared" si="24"/>
        <v>5000</v>
      </c>
      <c r="N67" s="146">
        <f t="shared" si="24"/>
        <v>5000</v>
      </c>
      <c r="O67" s="146">
        <f t="shared" si="24"/>
        <v>5000</v>
      </c>
      <c r="P67" s="179">
        <f t="shared" si="21"/>
        <v>60000</v>
      </c>
    </row>
    <row r="68" spans="1:16">
      <c r="A68" s="121" t="s">
        <v>674</v>
      </c>
      <c r="B68" s="147" t="s">
        <v>675</v>
      </c>
      <c r="C68" s="178">
        <v>2500</v>
      </c>
      <c r="D68" s="147">
        <f t="shared" ref="D68:O68" si="25">$C68</f>
        <v>2500</v>
      </c>
      <c r="E68" s="147">
        <f t="shared" si="25"/>
        <v>2500</v>
      </c>
      <c r="F68" s="147">
        <f t="shared" si="25"/>
        <v>2500</v>
      </c>
      <c r="G68" s="147">
        <f t="shared" si="25"/>
        <v>2500</v>
      </c>
      <c r="H68" s="147">
        <f t="shared" si="25"/>
        <v>2500</v>
      </c>
      <c r="I68" s="147">
        <f t="shared" si="25"/>
        <v>2500</v>
      </c>
      <c r="J68" s="147">
        <f t="shared" si="25"/>
        <v>2500</v>
      </c>
      <c r="K68" s="147">
        <f t="shared" si="25"/>
        <v>2500</v>
      </c>
      <c r="L68" s="147">
        <f t="shared" si="25"/>
        <v>2500</v>
      </c>
      <c r="M68" s="147">
        <f t="shared" si="25"/>
        <v>2500</v>
      </c>
      <c r="N68" s="147">
        <f t="shared" si="25"/>
        <v>2500</v>
      </c>
      <c r="O68" s="147">
        <f t="shared" si="25"/>
        <v>2500</v>
      </c>
      <c r="P68" s="179">
        <f t="shared" si="21"/>
        <v>30000</v>
      </c>
    </row>
    <row r="69" spans="1:16">
      <c r="B69" s="147" t="s">
        <v>676</v>
      </c>
      <c r="C69" s="178">
        <v>0</v>
      </c>
      <c r="D69" s="147">
        <v>1521</v>
      </c>
      <c r="E69" s="147">
        <f t="shared" ref="E69:O73" si="26">$C69</f>
        <v>0</v>
      </c>
      <c r="F69" s="147">
        <f t="shared" si="26"/>
        <v>0</v>
      </c>
      <c r="G69" s="147">
        <f t="shared" si="26"/>
        <v>0</v>
      </c>
      <c r="H69" s="147">
        <f t="shared" si="26"/>
        <v>0</v>
      </c>
      <c r="I69" s="147">
        <f t="shared" si="26"/>
        <v>0</v>
      </c>
      <c r="J69" s="147">
        <f t="shared" si="26"/>
        <v>0</v>
      </c>
      <c r="K69" s="147">
        <f t="shared" si="26"/>
        <v>0</v>
      </c>
      <c r="L69" s="147">
        <f t="shared" si="26"/>
        <v>0</v>
      </c>
      <c r="M69" s="147">
        <f t="shared" si="26"/>
        <v>0</v>
      </c>
      <c r="N69" s="147">
        <f t="shared" si="26"/>
        <v>0</v>
      </c>
      <c r="O69" s="147">
        <f t="shared" si="26"/>
        <v>0</v>
      </c>
      <c r="P69" s="179">
        <f t="shared" si="21"/>
        <v>1521</v>
      </c>
    </row>
    <row r="70" spans="1:16">
      <c r="B70" s="147" t="s">
        <v>677</v>
      </c>
      <c r="C70" s="178">
        <v>2300</v>
      </c>
      <c r="D70" s="147">
        <f>$C70</f>
        <v>2300</v>
      </c>
      <c r="E70" s="147">
        <f t="shared" si="26"/>
        <v>2300</v>
      </c>
      <c r="F70" s="147">
        <f t="shared" si="26"/>
        <v>2300</v>
      </c>
      <c r="G70" s="147">
        <f t="shared" si="26"/>
        <v>2300</v>
      </c>
      <c r="H70" s="147">
        <f t="shared" si="26"/>
        <v>2300</v>
      </c>
      <c r="I70" s="147">
        <f t="shared" si="26"/>
        <v>2300</v>
      </c>
      <c r="J70" s="147">
        <f t="shared" si="26"/>
        <v>2300</v>
      </c>
      <c r="K70" s="147">
        <f t="shared" si="26"/>
        <v>2300</v>
      </c>
      <c r="L70" s="147">
        <f t="shared" si="26"/>
        <v>2300</v>
      </c>
      <c r="M70" s="147">
        <f t="shared" si="26"/>
        <v>2300</v>
      </c>
      <c r="N70" s="147">
        <f t="shared" si="26"/>
        <v>2300</v>
      </c>
      <c r="O70" s="147">
        <f t="shared" si="26"/>
        <v>2300</v>
      </c>
      <c r="P70" s="179">
        <f t="shared" si="21"/>
        <v>27600</v>
      </c>
    </row>
    <row r="71" spans="1:16">
      <c r="B71" s="147" t="s">
        <v>230</v>
      </c>
      <c r="C71" s="178">
        <v>30</v>
      </c>
      <c r="D71" s="147">
        <f>$C71</f>
        <v>30</v>
      </c>
      <c r="E71" s="147">
        <f t="shared" si="26"/>
        <v>30</v>
      </c>
      <c r="F71" s="147">
        <f t="shared" si="26"/>
        <v>30</v>
      </c>
      <c r="G71" s="147">
        <f t="shared" si="26"/>
        <v>30</v>
      </c>
      <c r="H71" s="147">
        <f t="shared" si="26"/>
        <v>30</v>
      </c>
      <c r="I71" s="147">
        <f t="shared" si="26"/>
        <v>30</v>
      </c>
      <c r="J71" s="147">
        <f t="shared" si="26"/>
        <v>30</v>
      </c>
      <c r="K71" s="147">
        <f t="shared" si="26"/>
        <v>30</v>
      </c>
      <c r="L71" s="147">
        <f t="shared" si="26"/>
        <v>30</v>
      </c>
      <c r="M71" s="147">
        <f t="shared" si="26"/>
        <v>30</v>
      </c>
      <c r="N71" s="147">
        <f t="shared" si="26"/>
        <v>30</v>
      </c>
      <c r="O71" s="147">
        <f t="shared" si="26"/>
        <v>30</v>
      </c>
      <c r="P71" s="179">
        <f t="shared" si="21"/>
        <v>360</v>
      </c>
    </row>
    <row r="72" spans="1:16">
      <c r="B72" s="147" t="s">
        <v>678</v>
      </c>
      <c r="C72" s="178">
        <v>17.5</v>
      </c>
      <c r="D72" s="147">
        <f>$C72</f>
        <v>17.5</v>
      </c>
      <c r="E72" s="147">
        <f t="shared" si="26"/>
        <v>17.5</v>
      </c>
      <c r="F72" s="147">
        <f t="shared" si="26"/>
        <v>17.5</v>
      </c>
      <c r="G72" s="147">
        <f t="shared" si="26"/>
        <v>17.5</v>
      </c>
      <c r="H72" s="147">
        <f t="shared" si="26"/>
        <v>17.5</v>
      </c>
      <c r="I72" s="147">
        <f t="shared" si="26"/>
        <v>17.5</v>
      </c>
      <c r="J72" s="147">
        <f t="shared" si="26"/>
        <v>17.5</v>
      </c>
      <c r="K72" s="147">
        <f t="shared" si="26"/>
        <v>17.5</v>
      </c>
      <c r="L72" s="147">
        <f t="shared" si="26"/>
        <v>17.5</v>
      </c>
      <c r="M72" s="147">
        <f t="shared" si="26"/>
        <v>17.5</v>
      </c>
      <c r="N72" s="147">
        <f t="shared" si="26"/>
        <v>17.5</v>
      </c>
      <c r="O72" s="147">
        <f t="shared" si="26"/>
        <v>17.5</v>
      </c>
      <c r="P72" s="179">
        <f t="shared" si="21"/>
        <v>210</v>
      </c>
    </row>
    <row r="73" spans="1:16">
      <c r="B73" s="146" t="s">
        <v>99</v>
      </c>
      <c r="C73" s="178"/>
      <c r="D73" s="147">
        <f>$C73</f>
        <v>0</v>
      </c>
      <c r="E73" s="147">
        <f t="shared" si="26"/>
        <v>0</v>
      </c>
      <c r="F73" s="147">
        <f t="shared" si="26"/>
        <v>0</v>
      </c>
      <c r="G73" s="147">
        <f t="shared" si="26"/>
        <v>0</v>
      </c>
      <c r="H73" s="147">
        <f t="shared" si="26"/>
        <v>0</v>
      </c>
      <c r="I73" s="147">
        <f t="shared" si="26"/>
        <v>0</v>
      </c>
      <c r="J73" s="147">
        <f t="shared" si="26"/>
        <v>0</v>
      </c>
      <c r="K73" s="147">
        <f t="shared" si="26"/>
        <v>0</v>
      </c>
      <c r="L73" s="147">
        <f t="shared" si="26"/>
        <v>0</v>
      </c>
      <c r="M73" s="147">
        <f t="shared" si="26"/>
        <v>0</v>
      </c>
      <c r="N73" s="147">
        <f t="shared" si="26"/>
        <v>0</v>
      </c>
      <c r="O73" s="147">
        <f t="shared" si="26"/>
        <v>0</v>
      </c>
      <c r="P73" s="179">
        <f t="shared" si="21"/>
        <v>0</v>
      </c>
    </row>
    <row r="74" spans="1:16">
      <c r="B74" s="147" t="s">
        <v>679</v>
      </c>
      <c r="C74" s="178">
        <v>320</v>
      </c>
      <c r="D74" s="147">
        <v>0</v>
      </c>
      <c r="E74" s="147">
        <v>250</v>
      </c>
      <c r="F74" s="147">
        <v>100</v>
      </c>
      <c r="G74" s="147"/>
      <c r="H74" s="147"/>
      <c r="I74" s="147">
        <f t="shared" ref="I74:O78" si="27">$C74</f>
        <v>320</v>
      </c>
      <c r="J74" s="147">
        <f t="shared" si="27"/>
        <v>320</v>
      </c>
      <c r="K74" s="147">
        <f t="shared" si="27"/>
        <v>320</v>
      </c>
      <c r="L74" s="147">
        <f t="shared" si="27"/>
        <v>320</v>
      </c>
      <c r="M74" s="147">
        <f t="shared" si="27"/>
        <v>320</v>
      </c>
      <c r="N74" s="147">
        <f t="shared" si="27"/>
        <v>320</v>
      </c>
      <c r="O74" s="147">
        <f t="shared" si="27"/>
        <v>320</v>
      </c>
      <c r="P74" s="179">
        <f t="shared" si="21"/>
        <v>2590</v>
      </c>
    </row>
    <row r="75" spans="1:16">
      <c r="B75" s="146" t="s">
        <v>115</v>
      </c>
      <c r="C75" s="146"/>
      <c r="D75" s="147">
        <f t="shared" ref="D75:H78" si="28">$C75</f>
        <v>0</v>
      </c>
      <c r="E75" s="147">
        <f t="shared" si="28"/>
        <v>0</v>
      </c>
      <c r="F75" s="147">
        <f t="shared" si="28"/>
        <v>0</v>
      </c>
      <c r="G75" s="147">
        <f t="shared" si="28"/>
        <v>0</v>
      </c>
      <c r="H75" s="147">
        <f t="shared" si="28"/>
        <v>0</v>
      </c>
      <c r="I75" s="147">
        <f t="shared" si="27"/>
        <v>0</v>
      </c>
      <c r="J75" s="147">
        <f t="shared" si="27"/>
        <v>0</v>
      </c>
      <c r="K75" s="147">
        <f t="shared" si="27"/>
        <v>0</v>
      </c>
      <c r="L75" s="147">
        <f t="shared" si="27"/>
        <v>0</v>
      </c>
      <c r="M75" s="147">
        <f t="shared" si="27"/>
        <v>0</v>
      </c>
      <c r="N75" s="147">
        <f t="shared" si="27"/>
        <v>0</v>
      </c>
      <c r="O75" s="147">
        <f t="shared" si="27"/>
        <v>0</v>
      </c>
      <c r="P75" s="179">
        <f t="shared" si="21"/>
        <v>0</v>
      </c>
    </row>
    <row r="76" spans="1:16">
      <c r="B76" s="191" t="s">
        <v>214</v>
      </c>
      <c r="C76" s="178">
        <v>3484</v>
      </c>
      <c r="D76" s="147">
        <f t="shared" si="28"/>
        <v>3484</v>
      </c>
      <c r="E76" s="147">
        <f t="shared" si="28"/>
        <v>3484</v>
      </c>
      <c r="F76" s="147">
        <f t="shared" si="28"/>
        <v>3484</v>
      </c>
      <c r="G76" s="147">
        <f t="shared" si="28"/>
        <v>3484</v>
      </c>
      <c r="H76" s="147">
        <f t="shared" si="28"/>
        <v>3484</v>
      </c>
      <c r="I76" s="147">
        <f t="shared" si="27"/>
        <v>3484</v>
      </c>
      <c r="J76" s="147">
        <f t="shared" si="27"/>
        <v>3484</v>
      </c>
      <c r="K76" s="147">
        <f t="shared" si="27"/>
        <v>3484</v>
      </c>
      <c r="L76" s="147">
        <f t="shared" si="27"/>
        <v>3484</v>
      </c>
      <c r="M76" s="147">
        <f t="shared" si="27"/>
        <v>3484</v>
      </c>
      <c r="N76" s="147">
        <f t="shared" si="27"/>
        <v>3484</v>
      </c>
      <c r="O76" s="147">
        <f t="shared" si="27"/>
        <v>3484</v>
      </c>
      <c r="P76" s="179">
        <f t="shared" si="21"/>
        <v>41808</v>
      </c>
    </row>
    <row r="77" spans="1:16">
      <c r="B77" s="146" t="s">
        <v>120</v>
      </c>
      <c r="C77" s="146"/>
      <c r="D77" s="147">
        <f t="shared" si="28"/>
        <v>0</v>
      </c>
      <c r="E77" s="147">
        <f t="shared" si="28"/>
        <v>0</v>
      </c>
      <c r="F77" s="147">
        <f t="shared" si="28"/>
        <v>0</v>
      </c>
      <c r="G77" s="147">
        <f t="shared" si="28"/>
        <v>0</v>
      </c>
      <c r="H77" s="147">
        <f t="shared" si="28"/>
        <v>0</v>
      </c>
      <c r="I77" s="147">
        <f t="shared" si="27"/>
        <v>0</v>
      </c>
      <c r="J77" s="147">
        <f t="shared" si="27"/>
        <v>0</v>
      </c>
      <c r="K77" s="147">
        <f t="shared" si="27"/>
        <v>0</v>
      </c>
      <c r="L77" s="147">
        <f t="shared" si="27"/>
        <v>0</v>
      </c>
      <c r="M77" s="147">
        <f t="shared" si="27"/>
        <v>0</v>
      </c>
      <c r="N77" s="147">
        <f t="shared" si="27"/>
        <v>0</v>
      </c>
      <c r="O77" s="147">
        <f t="shared" si="27"/>
        <v>0</v>
      </c>
      <c r="P77" s="179">
        <f t="shared" si="21"/>
        <v>0</v>
      </c>
    </row>
    <row r="78" spans="1:16">
      <c r="B78" s="147" t="s">
        <v>330</v>
      </c>
      <c r="C78" s="178">
        <v>17</v>
      </c>
      <c r="D78" s="147">
        <f t="shared" si="28"/>
        <v>17</v>
      </c>
      <c r="E78" s="147">
        <f t="shared" si="28"/>
        <v>17</v>
      </c>
      <c r="F78" s="147">
        <f t="shared" si="28"/>
        <v>17</v>
      </c>
      <c r="G78" s="147">
        <f t="shared" si="28"/>
        <v>17</v>
      </c>
      <c r="H78" s="147">
        <f t="shared" si="28"/>
        <v>17</v>
      </c>
      <c r="I78" s="147">
        <f t="shared" si="27"/>
        <v>17</v>
      </c>
      <c r="J78" s="147">
        <f t="shared" si="27"/>
        <v>17</v>
      </c>
      <c r="K78" s="147">
        <f t="shared" si="27"/>
        <v>17</v>
      </c>
      <c r="L78" s="147">
        <f t="shared" si="27"/>
        <v>17</v>
      </c>
      <c r="M78" s="147">
        <f t="shared" si="27"/>
        <v>17</v>
      </c>
      <c r="N78" s="147">
        <f t="shared" si="27"/>
        <v>17</v>
      </c>
      <c r="O78" s="147">
        <f t="shared" si="27"/>
        <v>17</v>
      </c>
      <c r="P78" s="179">
        <f t="shared" si="21"/>
        <v>204</v>
      </c>
    </row>
    <row r="79" spans="1:16">
      <c r="B79" s="146" t="s">
        <v>24</v>
      </c>
      <c r="C79" s="178"/>
      <c r="D79" s="146"/>
      <c r="E79" s="146"/>
      <c r="F79" s="146"/>
      <c r="G79" s="146"/>
      <c r="H79" s="146"/>
      <c r="I79" s="146"/>
      <c r="J79" s="146"/>
      <c r="K79" s="146"/>
      <c r="L79" s="146"/>
      <c r="M79" s="146"/>
      <c r="N79" s="146"/>
      <c r="O79" s="146"/>
      <c r="P79" s="179">
        <f t="shared" si="21"/>
        <v>0</v>
      </c>
    </row>
    <row r="80" spans="1:16">
      <c r="A80" s="121" t="s">
        <v>680</v>
      </c>
      <c r="B80" s="147" t="s">
        <v>332</v>
      </c>
      <c r="C80" s="178">
        <v>225</v>
      </c>
      <c r="D80" s="147">
        <f>$C80</f>
        <v>225</v>
      </c>
      <c r="E80" s="147"/>
      <c r="F80" s="147"/>
      <c r="G80" s="147"/>
      <c r="H80" s="147"/>
      <c r="I80" s="147"/>
      <c r="J80" s="147"/>
      <c r="K80" s="147"/>
      <c r="L80" s="147"/>
      <c r="M80" s="147"/>
      <c r="N80" s="147"/>
      <c r="O80" s="147"/>
      <c r="P80" s="179">
        <f t="shared" si="21"/>
        <v>225</v>
      </c>
    </row>
    <row r="81" spans="1:16">
      <c r="B81" s="146" t="s">
        <v>117</v>
      </c>
      <c r="C81" s="178"/>
      <c r="D81" s="146"/>
      <c r="E81" s="146"/>
      <c r="F81" s="146"/>
      <c r="G81" s="146"/>
      <c r="H81" s="146"/>
      <c r="I81" s="146"/>
      <c r="J81" s="146"/>
      <c r="K81" s="146"/>
      <c r="L81" s="146"/>
      <c r="M81" s="146"/>
      <c r="N81" s="146"/>
      <c r="O81" s="146"/>
      <c r="P81" s="179">
        <f t="shared" si="21"/>
        <v>0</v>
      </c>
    </row>
    <row r="82" spans="1:16">
      <c r="B82" s="147" t="s">
        <v>335</v>
      </c>
      <c r="C82" s="178">
        <v>25</v>
      </c>
      <c r="D82" s="147">
        <f t="shared" ref="D82:O82" si="29">$C82</f>
        <v>25</v>
      </c>
      <c r="E82" s="147">
        <f t="shared" si="29"/>
        <v>25</v>
      </c>
      <c r="F82" s="147">
        <f t="shared" si="29"/>
        <v>25</v>
      </c>
      <c r="G82" s="147">
        <f t="shared" si="29"/>
        <v>25</v>
      </c>
      <c r="H82" s="147">
        <f t="shared" si="29"/>
        <v>25</v>
      </c>
      <c r="I82" s="147">
        <f t="shared" si="29"/>
        <v>25</v>
      </c>
      <c r="J82" s="147">
        <f t="shared" si="29"/>
        <v>25</v>
      </c>
      <c r="K82" s="147">
        <f t="shared" si="29"/>
        <v>25</v>
      </c>
      <c r="L82" s="147">
        <f t="shared" si="29"/>
        <v>25</v>
      </c>
      <c r="M82" s="147">
        <f t="shared" si="29"/>
        <v>25</v>
      </c>
      <c r="N82" s="147">
        <f t="shared" si="29"/>
        <v>25</v>
      </c>
      <c r="O82" s="147">
        <f t="shared" si="29"/>
        <v>25</v>
      </c>
      <c r="P82" s="179">
        <f t="shared" si="21"/>
        <v>300</v>
      </c>
    </row>
    <row r="83" spans="1:16">
      <c r="B83" s="146" t="s">
        <v>145</v>
      </c>
      <c r="C83" s="178"/>
      <c r="D83" s="146"/>
      <c r="E83" s="146"/>
      <c r="F83" s="146"/>
      <c r="G83" s="146"/>
      <c r="H83" s="146"/>
      <c r="I83" s="146"/>
      <c r="J83" s="146"/>
      <c r="K83" s="146"/>
      <c r="L83" s="146"/>
      <c r="M83" s="146"/>
      <c r="N83" s="146"/>
      <c r="O83" s="146"/>
      <c r="P83" s="179">
        <f t="shared" si="21"/>
        <v>0</v>
      </c>
    </row>
    <row r="84" spans="1:16">
      <c r="B84" s="147" t="s">
        <v>340</v>
      </c>
      <c r="C84" s="178"/>
      <c r="D84" s="147">
        <f>700000/87</f>
        <v>8045.977011494253</v>
      </c>
      <c r="E84" s="147">
        <f>350000/87</f>
        <v>4022.9885057471265</v>
      </c>
      <c r="F84" s="147"/>
      <c r="G84" s="147"/>
      <c r="H84" s="147"/>
      <c r="I84" s="147"/>
      <c r="J84" s="147"/>
      <c r="K84" s="147"/>
      <c r="L84" s="147"/>
      <c r="M84" s="147"/>
      <c r="N84" s="147"/>
      <c r="O84" s="147"/>
      <c r="P84" s="179">
        <f t="shared" si="21"/>
        <v>12068.96551724138</v>
      </c>
    </row>
    <row r="85" spans="1:16">
      <c r="B85" s="147" t="s">
        <v>341</v>
      </c>
      <c r="C85" s="178">
        <v>455</v>
      </c>
      <c r="D85" s="147">
        <f t="shared" ref="D85:O85" si="30">$C85</f>
        <v>455</v>
      </c>
      <c r="E85" s="147">
        <f t="shared" si="30"/>
        <v>455</v>
      </c>
      <c r="F85" s="147">
        <f t="shared" si="30"/>
        <v>455</v>
      </c>
      <c r="G85" s="147">
        <f t="shared" si="30"/>
        <v>455</v>
      </c>
      <c r="H85" s="147">
        <f t="shared" si="30"/>
        <v>455</v>
      </c>
      <c r="I85" s="147">
        <f t="shared" si="30"/>
        <v>455</v>
      </c>
      <c r="J85" s="147">
        <f t="shared" si="30"/>
        <v>455</v>
      </c>
      <c r="K85" s="147">
        <f t="shared" si="30"/>
        <v>455</v>
      </c>
      <c r="L85" s="147">
        <f t="shared" si="30"/>
        <v>455</v>
      </c>
      <c r="M85" s="147">
        <f t="shared" si="30"/>
        <v>455</v>
      </c>
      <c r="N85" s="147">
        <f t="shared" si="30"/>
        <v>455</v>
      </c>
      <c r="O85" s="147">
        <f t="shared" si="30"/>
        <v>455</v>
      </c>
      <c r="P85" s="179">
        <f t="shared" si="21"/>
        <v>5460</v>
      </c>
    </row>
    <row r="86" spans="1:16">
      <c r="B86" s="146" t="s">
        <v>137</v>
      </c>
      <c r="C86" s="146"/>
      <c r="D86" s="146"/>
      <c r="E86" s="146"/>
      <c r="F86" s="146"/>
      <c r="G86" s="146"/>
      <c r="H86" s="146"/>
      <c r="I86" s="146"/>
      <c r="J86" s="146"/>
      <c r="K86" s="146"/>
      <c r="L86" s="146"/>
      <c r="M86" s="146"/>
      <c r="N86" s="146"/>
      <c r="O86" s="146"/>
      <c r="P86" s="179">
        <f t="shared" si="21"/>
        <v>0</v>
      </c>
    </row>
    <row r="87" spans="1:16">
      <c r="B87" s="147" t="s">
        <v>681</v>
      </c>
      <c r="C87" s="147"/>
      <c r="D87" s="147">
        <f t="shared" ref="D87:O87" si="31">$C87</f>
        <v>0</v>
      </c>
      <c r="E87" s="147">
        <f t="shared" si="31"/>
        <v>0</v>
      </c>
      <c r="F87" s="147">
        <f t="shared" si="31"/>
        <v>0</v>
      </c>
      <c r="G87" s="147">
        <f t="shared" si="31"/>
        <v>0</v>
      </c>
      <c r="H87" s="147">
        <f t="shared" si="31"/>
        <v>0</v>
      </c>
      <c r="I87" s="147">
        <f t="shared" si="31"/>
        <v>0</v>
      </c>
      <c r="J87" s="147">
        <f t="shared" si="31"/>
        <v>0</v>
      </c>
      <c r="K87" s="147">
        <f t="shared" si="31"/>
        <v>0</v>
      </c>
      <c r="L87" s="147">
        <f t="shared" si="31"/>
        <v>0</v>
      </c>
      <c r="M87" s="147">
        <f t="shared" si="31"/>
        <v>0</v>
      </c>
      <c r="N87" s="147">
        <f t="shared" si="31"/>
        <v>0</v>
      </c>
      <c r="O87" s="147">
        <f t="shared" si="31"/>
        <v>0</v>
      </c>
      <c r="P87" s="179">
        <f t="shared" si="21"/>
        <v>0</v>
      </c>
    </row>
    <row r="88" spans="1:16">
      <c r="B88" s="146" t="s">
        <v>116</v>
      </c>
      <c r="C88" s="146"/>
      <c r="D88" s="146"/>
      <c r="E88" s="146"/>
      <c r="F88" s="146"/>
      <c r="G88" s="146"/>
      <c r="H88" s="146"/>
      <c r="I88" s="146"/>
      <c r="J88" s="146"/>
      <c r="K88" s="146"/>
      <c r="L88" s="146"/>
      <c r="M88" s="146"/>
      <c r="N88" s="146"/>
      <c r="O88" s="146"/>
      <c r="P88" s="179">
        <f t="shared" si="21"/>
        <v>0</v>
      </c>
    </row>
    <row r="89" spans="1:16">
      <c r="B89" s="147" t="s">
        <v>116</v>
      </c>
      <c r="C89" s="147"/>
      <c r="D89" s="147">
        <f t="shared" ref="D89:O89" si="32">$C89</f>
        <v>0</v>
      </c>
      <c r="E89" s="147">
        <f t="shared" si="32"/>
        <v>0</v>
      </c>
      <c r="F89" s="147">
        <f t="shared" si="32"/>
        <v>0</v>
      </c>
      <c r="G89" s="147">
        <f t="shared" si="32"/>
        <v>0</v>
      </c>
      <c r="H89" s="147">
        <f t="shared" si="32"/>
        <v>0</v>
      </c>
      <c r="I89" s="147">
        <f t="shared" si="32"/>
        <v>0</v>
      </c>
      <c r="J89" s="147">
        <f t="shared" si="32"/>
        <v>0</v>
      </c>
      <c r="K89" s="147">
        <f t="shared" si="32"/>
        <v>0</v>
      </c>
      <c r="L89" s="147">
        <f t="shared" si="32"/>
        <v>0</v>
      </c>
      <c r="M89" s="147">
        <f t="shared" si="32"/>
        <v>0</v>
      </c>
      <c r="N89" s="147">
        <f t="shared" si="32"/>
        <v>0</v>
      </c>
      <c r="O89" s="147">
        <f t="shared" si="32"/>
        <v>0</v>
      </c>
      <c r="P89" s="179">
        <f t="shared" si="21"/>
        <v>0</v>
      </c>
    </row>
    <row r="90" spans="1:16" ht="15.5">
      <c r="A90" s="180"/>
      <c r="B90" s="181" t="s">
        <v>682</v>
      </c>
      <c r="C90" s="181"/>
      <c r="D90" s="182">
        <f t="shared" ref="D90:O90" si="33">SUM(D62:D89)</f>
        <v>26177.477011494251</v>
      </c>
      <c r="E90" s="182">
        <f t="shared" si="33"/>
        <v>20658.488505747126</v>
      </c>
      <c r="F90" s="182">
        <f t="shared" si="33"/>
        <v>16694.5</v>
      </c>
      <c r="G90" s="182">
        <f t="shared" si="33"/>
        <v>15885.5</v>
      </c>
      <c r="H90" s="182">
        <f t="shared" si="33"/>
        <v>15885.5</v>
      </c>
      <c r="I90" s="182">
        <f t="shared" si="33"/>
        <v>16414.5</v>
      </c>
      <c r="J90" s="182">
        <f t="shared" si="33"/>
        <v>16205.5</v>
      </c>
      <c r="K90" s="182">
        <f t="shared" si="33"/>
        <v>16205.5</v>
      </c>
      <c r="L90" s="182">
        <f t="shared" si="33"/>
        <v>16414.5</v>
      </c>
      <c r="M90" s="182">
        <f t="shared" si="33"/>
        <v>16205.5</v>
      </c>
      <c r="N90" s="182">
        <f t="shared" si="33"/>
        <v>16205.5</v>
      </c>
      <c r="O90" s="182">
        <f t="shared" si="33"/>
        <v>16414.5</v>
      </c>
      <c r="P90" s="182">
        <f t="shared" si="21"/>
        <v>209366.96551724139</v>
      </c>
    </row>
    <row r="91" spans="1:16">
      <c r="B91" s="147"/>
      <c r="C91" s="147"/>
      <c r="D91" s="147"/>
      <c r="E91" s="147"/>
      <c r="F91" s="147"/>
      <c r="G91" s="147"/>
      <c r="H91" s="147"/>
      <c r="I91" s="147"/>
      <c r="J91" s="147"/>
      <c r="K91" s="147"/>
      <c r="L91" s="147"/>
      <c r="M91" s="147"/>
      <c r="N91" s="147"/>
      <c r="O91" s="147"/>
      <c r="P91" s="179"/>
    </row>
    <row r="92" spans="1:16">
      <c r="B92" s="173" t="s">
        <v>23</v>
      </c>
      <c r="C92" s="173"/>
      <c r="D92" s="173"/>
      <c r="E92" s="173"/>
      <c r="F92" s="173"/>
      <c r="G92" s="173"/>
      <c r="H92" s="173"/>
      <c r="I92" s="173"/>
      <c r="J92" s="173"/>
      <c r="K92" s="173"/>
      <c r="L92" s="173"/>
      <c r="M92" s="173"/>
      <c r="N92" s="173"/>
      <c r="O92" s="173"/>
      <c r="P92" s="173">
        <f t="shared" ref="P92:P99" si="34">SUM(D92:O92)</f>
        <v>0</v>
      </c>
    </row>
    <row r="93" spans="1:16">
      <c r="B93" s="146" t="s">
        <v>149</v>
      </c>
      <c r="C93" s="146"/>
      <c r="D93" s="146"/>
      <c r="E93" s="146"/>
      <c r="F93" s="146"/>
      <c r="G93" s="146"/>
      <c r="H93" s="146"/>
      <c r="I93" s="146"/>
      <c r="J93" s="146"/>
      <c r="K93" s="146"/>
      <c r="L93" s="146"/>
      <c r="M93" s="146"/>
      <c r="N93" s="146"/>
      <c r="O93" s="146"/>
      <c r="P93" s="174">
        <f t="shared" si="34"/>
        <v>0</v>
      </c>
    </row>
    <row r="94" spans="1:16">
      <c r="B94" s="147" t="s">
        <v>332</v>
      </c>
      <c r="C94" s="178">
        <v>21</v>
      </c>
      <c r="D94" s="147">
        <f t="shared" ref="D94:O94" si="35">$C94</f>
        <v>21</v>
      </c>
      <c r="E94" s="147">
        <f t="shared" si="35"/>
        <v>21</v>
      </c>
      <c r="F94" s="147">
        <f t="shared" si="35"/>
        <v>21</v>
      </c>
      <c r="G94" s="147">
        <f t="shared" si="35"/>
        <v>21</v>
      </c>
      <c r="H94" s="147">
        <f t="shared" si="35"/>
        <v>21</v>
      </c>
      <c r="I94" s="147">
        <f t="shared" si="35"/>
        <v>21</v>
      </c>
      <c r="J94" s="147">
        <f t="shared" si="35"/>
        <v>21</v>
      </c>
      <c r="K94" s="147">
        <f t="shared" si="35"/>
        <v>21</v>
      </c>
      <c r="L94" s="147">
        <f t="shared" si="35"/>
        <v>21</v>
      </c>
      <c r="M94" s="147">
        <f t="shared" si="35"/>
        <v>21</v>
      </c>
      <c r="N94" s="147">
        <f t="shared" si="35"/>
        <v>21</v>
      </c>
      <c r="O94" s="147">
        <f t="shared" si="35"/>
        <v>21</v>
      </c>
      <c r="P94" s="179">
        <f t="shared" si="34"/>
        <v>252</v>
      </c>
    </row>
    <row r="95" spans="1:16">
      <c r="B95" s="146" t="s">
        <v>154</v>
      </c>
      <c r="C95" s="178"/>
      <c r="D95" s="146"/>
      <c r="E95" s="146"/>
      <c r="F95" s="146"/>
      <c r="G95" s="146"/>
      <c r="H95" s="146"/>
      <c r="I95" s="146"/>
      <c r="J95" s="146"/>
      <c r="K95" s="146"/>
      <c r="L95" s="146"/>
      <c r="M95" s="146"/>
      <c r="N95" s="146"/>
      <c r="O95" s="146"/>
      <c r="P95" s="174">
        <f t="shared" si="34"/>
        <v>0</v>
      </c>
    </row>
    <row r="96" spans="1:16">
      <c r="B96" s="147" t="s">
        <v>332</v>
      </c>
      <c r="C96" s="178">
        <v>171</v>
      </c>
      <c r="D96" s="147">
        <f t="shared" ref="D96:O96" si="36">$C96</f>
        <v>171</v>
      </c>
      <c r="E96" s="147">
        <f t="shared" si="36"/>
        <v>171</v>
      </c>
      <c r="F96" s="147">
        <f t="shared" si="36"/>
        <v>171</v>
      </c>
      <c r="G96" s="147">
        <f t="shared" si="36"/>
        <v>171</v>
      </c>
      <c r="H96" s="147">
        <f t="shared" si="36"/>
        <v>171</v>
      </c>
      <c r="I96" s="147">
        <f t="shared" si="36"/>
        <v>171</v>
      </c>
      <c r="J96" s="147">
        <f t="shared" si="36"/>
        <v>171</v>
      </c>
      <c r="K96" s="147">
        <f t="shared" si="36"/>
        <v>171</v>
      </c>
      <c r="L96" s="147">
        <f t="shared" si="36"/>
        <v>171</v>
      </c>
      <c r="M96" s="147">
        <f t="shared" si="36"/>
        <v>171</v>
      </c>
      <c r="N96" s="147">
        <f t="shared" si="36"/>
        <v>171</v>
      </c>
      <c r="O96" s="147">
        <f t="shared" si="36"/>
        <v>171</v>
      </c>
      <c r="P96" s="179">
        <f t="shared" si="34"/>
        <v>2052</v>
      </c>
    </row>
    <row r="97" spans="1:16">
      <c r="B97" s="146" t="s">
        <v>153</v>
      </c>
      <c r="C97" s="178"/>
      <c r="D97" s="146"/>
      <c r="E97" s="146"/>
      <c r="F97" s="146"/>
      <c r="G97" s="146"/>
      <c r="H97" s="146"/>
      <c r="I97" s="146"/>
      <c r="J97" s="146"/>
      <c r="K97" s="146"/>
      <c r="L97" s="146"/>
      <c r="M97" s="146"/>
      <c r="N97" s="146"/>
      <c r="O97" s="146"/>
      <c r="P97" s="174">
        <f t="shared" si="34"/>
        <v>0</v>
      </c>
    </row>
    <row r="98" spans="1:16">
      <c r="A98" s="121" t="s">
        <v>683</v>
      </c>
      <c r="B98" s="147" t="s">
        <v>684</v>
      </c>
      <c r="C98" s="178">
        <v>2360.4</v>
      </c>
      <c r="D98" s="147">
        <f t="shared" ref="D98:K98" si="37">$C98</f>
        <v>2360.4</v>
      </c>
      <c r="E98" s="147">
        <f t="shared" si="37"/>
        <v>2360.4</v>
      </c>
      <c r="F98" s="147">
        <f t="shared" si="37"/>
        <v>2360.4</v>
      </c>
      <c r="G98" s="147">
        <f t="shared" si="37"/>
        <v>2360.4</v>
      </c>
      <c r="H98" s="147">
        <f t="shared" si="37"/>
        <v>2360.4</v>
      </c>
      <c r="I98" s="147">
        <f t="shared" si="37"/>
        <v>2360.4</v>
      </c>
      <c r="J98" s="147">
        <f t="shared" si="37"/>
        <v>2360.4</v>
      </c>
      <c r="K98" s="147">
        <f t="shared" si="37"/>
        <v>2360.4</v>
      </c>
      <c r="L98" s="147"/>
      <c r="M98" s="147"/>
      <c r="N98" s="147"/>
      <c r="O98" s="147"/>
      <c r="P98" s="179">
        <f t="shared" si="34"/>
        <v>18883.2</v>
      </c>
    </row>
    <row r="99" spans="1:16" ht="15.5">
      <c r="A99" s="180"/>
      <c r="B99" s="192" t="s">
        <v>685</v>
      </c>
      <c r="C99" s="192"/>
      <c r="D99" s="180">
        <f t="shared" ref="D99:O99" si="38">SUM(D93:D98)</f>
        <v>2552.4</v>
      </c>
      <c r="E99" s="180">
        <f t="shared" si="38"/>
        <v>2552.4</v>
      </c>
      <c r="F99" s="180">
        <f t="shared" si="38"/>
        <v>2552.4</v>
      </c>
      <c r="G99" s="180">
        <f t="shared" si="38"/>
        <v>2552.4</v>
      </c>
      <c r="H99" s="180">
        <f t="shared" si="38"/>
        <v>2552.4</v>
      </c>
      <c r="I99" s="180">
        <f t="shared" si="38"/>
        <v>2552.4</v>
      </c>
      <c r="J99" s="180">
        <f t="shared" si="38"/>
        <v>2552.4</v>
      </c>
      <c r="K99" s="180">
        <f t="shared" si="38"/>
        <v>2552.4</v>
      </c>
      <c r="L99" s="180">
        <f t="shared" si="38"/>
        <v>192</v>
      </c>
      <c r="M99" s="180">
        <f t="shared" si="38"/>
        <v>192</v>
      </c>
      <c r="N99" s="180">
        <f t="shared" si="38"/>
        <v>192</v>
      </c>
      <c r="O99" s="180">
        <f t="shared" si="38"/>
        <v>192</v>
      </c>
      <c r="P99" s="180">
        <f t="shared" si="34"/>
        <v>21187.200000000001</v>
      </c>
    </row>
    <row r="100" spans="1:16">
      <c r="B100" s="147"/>
      <c r="C100" s="178"/>
      <c r="D100" s="147"/>
      <c r="E100" s="147"/>
      <c r="F100" s="147"/>
      <c r="G100" s="147"/>
      <c r="H100" s="147"/>
      <c r="I100" s="147"/>
      <c r="J100" s="147"/>
      <c r="K100" s="147"/>
      <c r="L100" s="147"/>
      <c r="M100" s="147"/>
      <c r="N100" s="147"/>
      <c r="O100" s="147"/>
      <c r="P100" s="179"/>
    </row>
    <row r="101" spans="1:16">
      <c r="B101" s="193" t="s">
        <v>416</v>
      </c>
      <c r="C101" s="193"/>
      <c r="D101" s="193">
        <f t="shared" ref="D101:O101" si="39">D90+D52+D39+D24+D6+D58+D8+D45</f>
        <v>252230.06547517425</v>
      </c>
      <c r="E101" s="193">
        <f t="shared" si="39"/>
        <v>226195.57214184114</v>
      </c>
      <c r="F101" s="193">
        <f t="shared" si="39"/>
        <v>192031.362070684</v>
      </c>
      <c r="G101" s="193">
        <f t="shared" si="39"/>
        <v>193322.93678332699</v>
      </c>
      <c r="H101" s="193">
        <f t="shared" si="39"/>
        <v>204124.10889177801</v>
      </c>
      <c r="I101" s="193">
        <f t="shared" si="39"/>
        <v>198694.621190629</v>
      </c>
      <c r="J101" s="193">
        <f t="shared" si="39"/>
        <v>200350.874064192</v>
      </c>
      <c r="K101" s="193">
        <f t="shared" si="39"/>
        <v>195390.94302970901</v>
      </c>
      <c r="L101" s="193">
        <f t="shared" si="39"/>
        <v>198728.88119062898</v>
      </c>
      <c r="M101" s="193">
        <f t="shared" si="39"/>
        <v>223288.85237590602</v>
      </c>
      <c r="N101" s="193">
        <f t="shared" si="39"/>
        <v>206615.13478969902</v>
      </c>
      <c r="O101" s="193">
        <f t="shared" si="39"/>
        <v>206832.75547935499</v>
      </c>
      <c r="P101" s="193">
        <f>SUM(D101:O101)</f>
        <v>2497806.1074829232</v>
      </c>
    </row>
    <row r="103" spans="1:16">
      <c r="D103" s="160">
        <f t="shared" ref="D103:O103" si="40">D90+D58+D52+D45+D39+D24+D8</f>
        <v>96754.257011494235</v>
      </c>
      <c r="E103" s="160">
        <f t="shared" si="40"/>
        <v>66330.108505747121</v>
      </c>
      <c r="F103" s="160">
        <f t="shared" si="40"/>
        <v>48098.6</v>
      </c>
      <c r="G103" s="160">
        <f t="shared" si="40"/>
        <v>47789.599999999999</v>
      </c>
      <c r="H103" s="160">
        <f t="shared" si="40"/>
        <v>52296.490000000005</v>
      </c>
      <c r="I103" s="160">
        <f t="shared" si="40"/>
        <v>48270.6</v>
      </c>
      <c r="J103" s="160">
        <f t="shared" si="40"/>
        <v>45950.6</v>
      </c>
      <c r="K103" s="160">
        <f t="shared" si="40"/>
        <v>45950.6</v>
      </c>
      <c r="L103" s="160">
        <f t="shared" si="40"/>
        <v>46371.859999999993</v>
      </c>
      <c r="M103" s="160">
        <f t="shared" si="40"/>
        <v>53005.490000000005</v>
      </c>
      <c r="N103" s="160">
        <f t="shared" si="40"/>
        <v>45950.6</v>
      </c>
      <c r="O103" s="160">
        <f t="shared" si="40"/>
        <v>46159.6</v>
      </c>
    </row>
  </sheetData>
  <conditionalFormatting sqref="B45">
    <cfRule type="duplicateValues" dxfId="20" priority="1"/>
  </conditionalFormatting>
  <conditionalFormatting sqref="B50:B63 B13:B23 B4:C7 B12:C12 B9:C10 B8 B11 B38:B40 B25:B34">
    <cfRule type="duplicateValues" dxfId="19" priority="18"/>
  </conditionalFormatting>
  <conditionalFormatting sqref="B90">
    <cfRule type="duplicateValues" dxfId="18" priority="3"/>
  </conditionalFormatting>
  <conditionalFormatting sqref="B99">
    <cfRule type="duplicateValues" dxfId="17" priority="2"/>
  </conditionalFormatting>
  <conditionalFormatting sqref="C57 C53:C55 C59:C62">
    <cfRule type="duplicateValues" dxfId="16" priority="4"/>
  </conditionalFormatting>
  <conditionalFormatting sqref="D60:D62 D4:D5 D7 D53:D55 D12 D9:D10">
    <cfRule type="duplicateValues" dxfId="15" priority="17"/>
  </conditionalFormatting>
  <conditionalFormatting sqref="E60:E62 E4:E5 E7 E53:E55 E12 E9:E10">
    <cfRule type="duplicateValues" dxfId="14" priority="16"/>
  </conditionalFormatting>
  <conditionalFormatting sqref="F60:F62 F4:F5 F7 F53:F55 F12 F9:F10">
    <cfRule type="duplicateValues" dxfId="13" priority="15"/>
  </conditionalFormatting>
  <conditionalFormatting sqref="G60:G62 G4:G5 G7 G53:G55 G12 G9:G10">
    <cfRule type="duplicateValues" dxfId="12" priority="14"/>
  </conditionalFormatting>
  <conditionalFormatting sqref="H60:H62 H4:H5 H7 H53:H55 H12 H9:H10">
    <cfRule type="duplicateValues" dxfId="11" priority="13"/>
  </conditionalFormatting>
  <conditionalFormatting sqref="I60:I62 I4:I5 I7 I53:I55 I12 I9:I10">
    <cfRule type="duplicateValues" dxfId="10" priority="12"/>
  </conditionalFormatting>
  <conditionalFormatting sqref="J60:J62 J4:J5 J7 J53:J55 J12 J9:J10">
    <cfRule type="duplicateValues" dxfId="9" priority="11"/>
  </conditionalFormatting>
  <conditionalFormatting sqref="K60:K62 K4:K5 K7 K53:K55 K12 K9:K10">
    <cfRule type="duplicateValues" dxfId="8" priority="10"/>
  </conditionalFormatting>
  <conditionalFormatting sqref="L60:L62 L4:L5 L7 L53:L55 L12 L9:L10">
    <cfRule type="duplicateValues" dxfId="7" priority="9"/>
  </conditionalFormatting>
  <conditionalFormatting sqref="M60:M62 M4:M5 M7 M53:M55 M12 M9:M10">
    <cfRule type="duplicateValues" dxfId="6" priority="8"/>
  </conditionalFormatting>
  <conditionalFormatting sqref="N60:N62 N4:N5 N7 N53:N55 N12 N9:N10">
    <cfRule type="duplicateValues" dxfId="5" priority="7"/>
  </conditionalFormatting>
  <conditionalFormatting sqref="O60:O62 O4:O5 O7 O53:O55 O12 O9:O10">
    <cfRule type="duplicateValues" dxfId="4" priority="6"/>
  </conditionalFormatting>
  <conditionalFormatting sqref="P53 P12">
    <cfRule type="duplicateValues" dxfId="3" priority="5"/>
  </conditionalFormatting>
  <pageMargins left="0.7" right="0.7" top="0.75" bottom="0.75" header="0.3" footer="0.3"/>
  <pageSetup paperSize="9" orientation="portrait" horizontalDpi="4294967293" verticalDpi="4294967293"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347D-55F0-442A-A50E-B1BD0AC7133C}">
  <dimension ref="A1:XEW529"/>
  <sheetViews>
    <sheetView showGridLines="0" topLeftCell="A17" zoomScale="90" zoomScaleNormal="90" workbookViewId="0">
      <selection activeCell="D28" sqref="D28"/>
    </sheetView>
  </sheetViews>
  <sheetFormatPr defaultColWidth="7.75" defaultRowHeight="13"/>
  <cols>
    <col min="1" max="1" width="21.25" style="238" customWidth="1"/>
    <col min="2" max="2" width="26.33203125" style="238" customWidth="1"/>
    <col min="3" max="3" width="34.08203125" style="238" customWidth="1"/>
    <col min="4" max="4" width="19.4140625" style="238" customWidth="1"/>
    <col min="5" max="5" width="9.9140625" style="171" customWidth="1"/>
    <col min="6" max="6" width="11.4140625" style="171" customWidth="1"/>
    <col min="7" max="10" width="9.9140625" style="171" customWidth="1"/>
    <col min="11" max="16" width="9.9140625" style="171" bestFit="1" customWidth="1"/>
    <col min="17" max="17" width="12.33203125" style="171" bestFit="1" customWidth="1"/>
    <col min="18" max="18" width="10.58203125" style="171" customWidth="1"/>
    <col min="19" max="19" width="11.1640625" style="171" customWidth="1"/>
    <col min="20" max="20" width="8.6640625" style="171" bestFit="1" customWidth="1"/>
    <col min="21" max="21" width="7.75" style="171"/>
    <col min="22" max="22" width="8.6640625" style="171" bestFit="1" customWidth="1"/>
    <col min="23" max="16384" width="7.75" style="171"/>
  </cols>
  <sheetData>
    <row r="1" spans="1:19 16377:16377" ht="13.5" thickBot="1">
      <c r="A1" s="194" t="s">
        <v>686</v>
      </c>
      <c r="B1" s="194"/>
      <c r="C1" s="194"/>
      <c r="D1" s="194"/>
      <c r="E1" s="195"/>
      <c r="F1" s="195"/>
      <c r="G1" s="195"/>
      <c r="H1" s="195"/>
      <c r="I1" s="195"/>
      <c r="J1" s="195"/>
      <c r="K1" s="195"/>
      <c r="L1" s="195"/>
      <c r="M1" s="195"/>
      <c r="N1" s="195"/>
      <c r="O1" s="195"/>
      <c r="P1" s="195"/>
      <c r="Q1" s="196"/>
      <c r="R1" s="171">
        <v>87</v>
      </c>
      <c r="S1" s="197" t="s">
        <v>687</v>
      </c>
      <c r="XEW1" s="171" t="s">
        <v>687</v>
      </c>
    </row>
    <row r="2" spans="1:19 16377:16377">
      <c r="A2" s="171"/>
      <c r="B2" s="171"/>
      <c r="C2" s="198"/>
      <c r="D2" s="198"/>
      <c r="E2" s="199"/>
      <c r="F2" s="199"/>
      <c r="G2" s="199"/>
      <c r="H2" s="199"/>
      <c r="I2" s="199"/>
      <c r="J2" s="199"/>
      <c r="K2" s="199"/>
      <c r="L2" s="199"/>
      <c r="M2" s="199"/>
      <c r="N2" s="199"/>
      <c r="O2" s="199"/>
      <c r="P2" s="199"/>
      <c r="Q2" s="199"/>
      <c r="XEW2" s="171" t="s">
        <v>688</v>
      </c>
    </row>
    <row r="3" spans="1:19 16377:16377">
      <c r="A3" s="200" t="s">
        <v>689</v>
      </c>
      <c r="B3" s="200"/>
      <c r="C3" s="200"/>
      <c r="D3" s="200"/>
      <c r="E3" s="201">
        <f>300-13</f>
        <v>287</v>
      </c>
      <c r="F3" s="201">
        <f>300-13</f>
        <v>287</v>
      </c>
      <c r="G3" s="201">
        <f t="shared" ref="G3:P3" si="0">300-41</f>
        <v>259</v>
      </c>
      <c r="H3" s="201">
        <f t="shared" si="0"/>
        <v>259</v>
      </c>
      <c r="I3" s="201">
        <f t="shared" si="0"/>
        <v>259</v>
      </c>
      <c r="J3" s="201">
        <f t="shared" si="0"/>
        <v>259</v>
      </c>
      <c r="K3" s="201">
        <f t="shared" si="0"/>
        <v>259</v>
      </c>
      <c r="L3" s="201">
        <f t="shared" si="0"/>
        <v>259</v>
      </c>
      <c r="M3" s="201">
        <f t="shared" si="0"/>
        <v>259</v>
      </c>
      <c r="N3" s="201">
        <f t="shared" si="0"/>
        <v>259</v>
      </c>
      <c r="O3" s="201">
        <f t="shared" si="0"/>
        <v>259</v>
      </c>
      <c r="P3" s="201">
        <f t="shared" si="0"/>
        <v>259</v>
      </c>
      <c r="Q3" s="201"/>
    </row>
    <row r="4" spans="1:19 16377:16377">
      <c r="A4" s="198" t="s">
        <v>690</v>
      </c>
      <c r="B4" s="198"/>
      <c r="C4" s="198"/>
      <c r="D4" s="198"/>
      <c r="E4" s="199">
        <v>19</v>
      </c>
      <c r="F4" s="199">
        <v>19</v>
      </c>
      <c r="G4" s="199">
        <v>19</v>
      </c>
      <c r="H4" s="199">
        <v>19</v>
      </c>
      <c r="I4" s="199">
        <v>19</v>
      </c>
      <c r="J4" s="199">
        <v>19</v>
      </c>
      <c r="K4" s="199">
        <v>19</v>
      </c>
      <c r="L4" s="199">
        <v>19</v>
      </c>
      <c r="M4" s="199">
        <v>19</v>
      </c>
      <c r="N4" s="199">
        <v>19</v>
      </c>
      <c r="O4" s="199">
        <v>19</v>
      </c>
      <c r="P4" s="199">
        <v>19</v>
      </c>
      <c r="Q4" s="199"/>
    </row>
    <row r="5" spans="1:19 16377:16377">
      <c r="A5" s="202" t="s">
        <v>691</v>
      </c>
      <c r="B5" s="202"/>
      <c r="C5" s="202"/>
      <c r="D5" s="202"/>
      <c r="E5" s="203">
        <f t="shared" ref="E5:P5" si="1">SUM(E3:E4)</f>
        <v>306</v>
      </c>
      <c r="F5" s="203">
        <f t="shared" si="1"/>
        <v>306</v>
      </c>
      <c r="G5" s="203">
        <f t="shared" si="1"/>
        <v>278</v>
      </c>
      <c r="H5" s="203">
        <f t="shared" si="1"/>
        <v>278</v>
      </c>
      <c r="I5" s="203">
        <f t="shared" si="1"/>
        <v>278</v>
      </c>
      <c r="J5" s="203">
        <f t="shared" si="1"/>
        <v>278</v>
      </c>
      <c r="K5" s="203">
        <f t="shared" si="1"/>
        <v>278</v>
      </c>
      <c r="L5" s="203">
        <f t="shared" si="1"/>
        <v>278</v>
      </c>
      <c r="M5" s="203">
        <f t="shared" si="1"/>
        <v>278</v>
      </c>
      <c r="N5" s="203">
        <f t="shared" si="1"/>
        <v>278</v>
      </c>
      <c r="O5" s="203">
        <f t="shared" si="1"/>
        <v>278</v>
      </c>
      <c r="P5" s="203">
        <f t="shared" si="1"/>
        <v>278</v>
      </c>
      <c r="Q5" s="203"/>
    </row>
    <row r="6" spans="1:19 16377:16377">
      <c r="A6" s="198"/>
      <c r="B6" s="198"/>
      <c r="C6" s="198"/>
      <c r="D6" s="198"/>
      <c r="E6" s="199"/>
      <c r="F6" s="199"/>
      <c r="G6" s="199"/>
      <c r="H6" s="199"/>
      <c r="I6" s="199"/>
      <c r="J6" s="199"/>
      <c r="K6" s="199"/>
      <c r="L6" s="199"/>
      <c r="M6" s="199"/>
      <c r="N6" s="199"/>
      <c r="O6" s="199"/>
      <c r="P6" s="199"/>
      <c r="Q6" s="199"/>
    </row>
    <row r="7" spans="1:19 16377:16377">
      <c r="A7" s="198" t="s">
        <v>692</v>
      </c>
      <c r="B7" s="198"/>
      <c r="C7" s="198" t="s">
        <v>693</v>
      </c>
      <c r="D7" s="198"/>
      <c r="E7" s="199">
        <v>30</v>
      </c>
      <c r="F7" s="199">
        <v>30</v>
      </c>
      <c r="G7" s="199">
        <v>30</v>
      </c>
      <c r="H7" s="199">
        <v>30</v>
      </c>
      <c r="I7" s="199">
        <v>30</v>
      </c>
      <c r="J7" s="199">
        <v>30</v>
      </c>
      <c r="K7" s="199">
        <v>30</v>
      </c>
      <c r="L7" s="199">
        <v>30</v>
      </c>
      <c r="M7" s="199">
        <v>30</v>
      </c>
      <c r="N7" s="199">
        <v>30</v>
      </c>
      <c r="O7" s="199">
        <v>30</v>
      </c>
      <c r="P7" s="199">
        <v>30</v>
      </c>
      <c r="Q7" s="199"/>
    </row>
    <row r="8" spans="1:19 16377:16377">
      <c r="A8" s="198"/>
      <c r="B8" s="198"/>
      <c r="C8" s="198" t="s">
        <v>694</v>
      </c>
      <c r="D8" s="198"/>
      <c r="E8" s="199">
        <v>12</v>
      </c>
      <c r="F8" s="199">
        <v>12</v>
      </c>
      <c r="G8" s="199">
        <v>12</v>
      </c>
      <c r="H8" s="199">
        <v>12</v>
      </c>
      <c r="I8" s="199">
        <v>12</v>
      </c>
      <c r="J8" s="199">
        <v>12</v>
      </c>
      <c r="K8" s="199">
        <v>12</v>
      </c>
      <c r="L8" s="199">
        <v>12</v>
      </c>
      <c r="M8" s="199">
        <v>12</v>
      </c>
      <c r="N8" s="199">
        <v>12</v>
      </c>
      <c r="O8" s="199">
        <v>12</v>
      </c>
      <c r="P8" s="199">
        <v>12</v>
      </c>
      <c r="Q8" s="199"/>
    </row>
    <row r="9" spans="1:19 16377:16377">
      <c r="A9" s="198"/>
      <c r="B9" s="198"/>
      <c r="C9" s="198" t="s">
        <v>695</v>
      </c>
      <c r="D9" s="198"/>
      <c r="E9" s="199">
        <f t="shared" ref="E9:P9" si="2">E7-E8</f>
        <v>18</v>
      </c>
      <c r="F9" s="199">
        <f t="shared" si="2"/>
        <v>18</v>
      </c>
      <c r="G9" s="199">
        <f t="shared" si="2"/>
        <v>18</v>
      </c>
      <c r="H9" s="199">
        <f t="shared" si="2"/>
        <v>18</v>
      </c>
      <c r="I9" s="199">
        <f t="shared" si="2"/>
        <v>18</v>
      </c>
      <c r="J9" s="199">
        <f t="shared" si="2"/>
        <v>18</v>
      </c>
      <c r="K9" s="199">
        <f t="shared" si="2"/>
        <v>18</v>
      </c>
      <c r="L9" s="199">
        <f t="shared" si="2"/>
        <v>18</v>
      </c>
      <c r="M9" s="199">
        <f t="shared" si="2"/>
        <v>18</v>
      </c>
      <c r="N9" s="199">
        <f t="shared" si="2"/>
        <v>18</v>
      </c>
      <c r="O9" s="199">
        <f t="shared" si="2"/>
        <v>18</v>
      </c>
      <c r="P9" s="199">
        <f t="shared" si="2"/>
        <v>18</v>
      </c>
      <c r="Q9" s="199"/>
    </row>
    <row r="10" spans="1:19 16377:16377">
      <c r="A10" s="198"/>
      <c r="B10" s="198"/>
      <c r="C10" s="198"/>
      <c r="D10" s="198"/>
      <c r="E10" s="199"/>
      <c r="F10" s="199"/>
      <c r="G10" s="199"/>
      <c r="H10" s="199"/>
      <c r="I10" s="199"/>
      <c r="J10" s="199"/>
      <c r="K10" s="199"/>
      <c r="L10" s="199"/>
      <c r="M10" s="199"/>
      <c r="N10" s="199"/>
      <c r="O10" s="199"/>
      <c r="P10" s="199"/>
      <c r="Q10" s="199"/>
    </row>
    <row r="11" spans="1:19 16377:16377">
      <c r="A11" s="198" t="s">
        <v>696</v>
      </c>
      <c r="B11" s="198"/>
      <c r="C11" s="198"/>
      <c r="D11" s="198"/>
      <c r="E11" s="199">
        <f t="shared" ref="E11:P11" si="3">E13+E14+4+15+7+$C$89+$C$90+$C$91+$C$92+$C$103</f>
        <v>273</v>
      </c>
      <c r="F11" s="199">
        <f t="shared" si="3"/>
        <v>273</v>
      </c>
      <c r="G11" s="199">
        <f t="shared" si="3"/>
        <v>249</v>
      </c>
      <c r="H11" s="199">
        <f t="shared" si="3"/>
        <v>249</v>
      </c>
      <c r="I11" s="204">
        <f t="shared" si="3"/>
        <v>258.33333333333331</v>
      </c>
      <c r="J11" s="204">
        <f t="shared" si="3"/>
        <v>258.33333333333331</v>
      </c>
      <c r="K11" s="204">
        <f t="shared" si="3"/>
        <v>258.33333333333331</v>
      </c>
      <c r="L11" s="204">
        <f t="shared" si="3"/>
        <v>258.33333333333331</v>
      </c>
      <c r="M11" s="204">
        <f t="shared" si="3"/>
        <v>258.33333333333331</v>
      </c>
      <c r="N11" s="204">
        <f t="shared" si="3"/>
        <v>282.33333333333331</v>
      </c>
      <c r="O11" s="204">
        <f t="shared" si="3"/>
        <v>282.33333333333331</v>
      </c>
      <c r="P11" s="204">
        <f t="shared" si="3"/>
        <v>282.33333333333331</v>
      </c>
      <c r="Q11" s="199"/>
    </row>
    <row r="12" spans="1:19 16377:16377">
      <c r="A12" s="168" t="s">
        <v>5</v>
      </c>
      <c r="B12" s="168"/>
      <c r="C12" s="168" t="s">
        <v>697</v>
      </c>
      <c r="D12" s="168" t="s">
        <v>654</v>
      </c>
      <c r="E12" s="169">
        <v>46023</v>
      </c>
      <c r="F12" s="169">
        <v>46054</v>
      </c>
      <c r="G12" s="169">
        <v>46082</v>
      </c>
      <c r="H12" s="169">
        <v>46113</v>
      </c>
      <c r="I12" s="169">
        <v>46143</v>
      </c>
      <c r="J12" s="169">
        <v>46174</v>
      </c>
      <c r="K12" s="169">
        <v>46204</v>
      </c>
      <c r="L12" s="169">
        <v>46235</v>
      </c>
      <c r="M12" s="169">
        <v>46266</v>
      </c>
      <c r="N12" s="169">
        <v>46296</v>
      </c>
      <c r="O12" s="169">
        <v>46327</v>
      </c>
      <c r="P12" s="169">
        <v>46357</v>
      </c>
      <c r="Q12" s="170" t="s">
        <v>698</v>
      </c>
    </row>
    <row r="13" spans="1:19 16377:16377">
      <c r="A13" s="198" t="s">
        <v>699</v>
      </c>
      <c r="B13" s="198"/>
      <c r="C13" s="198"/>
      <c r="D13" s="198"/>
      <c r="E13" s="199">
        <f>IF($S$1="Without",184,184-E9)</f>
        <v>166</v>
      </c>
      <c r="F13" s="199">
        <f>IF($S$1="Without",184,184-F9)</f>
        <v>166</v>
      </c>
      <c r="G13" s="199">
        <f>IF($S$1="Without",175,175-G9)</f>
        <v>157</v>
      </c>
      <c r="H13" s="199">
        <f>IF($S$1="Without",175,175-H9)</f>
        <v>157</v>
      </c>
      <c r="I13" s="204">
        <v>164</v>
      </c>
      <c r="J13" s="204">
        <v>164</v>
      </c>
      <c r="K13" s="204">
        <v>164</v>
      </c>
      <c r="L13" s="204">
        <v>164</v>
      </c>
      <c r="M13" s="204">
        <v>164</v>
      </c>
      <c r="N13" s="204">
        <v>182</v>
      </c>
      <c r="O13" s="204">
        <v>182</v>
      </c>
      <c r="P13" s="204">
        <v>182</v>
      </c>
      <c r="Q13" s="199"/>
    </row>
    <row r="14" spans="1:19 16377:16377">
      <c r="A14" s="198" t="s">
        <v>700</v>
      </c>
      <c r="B14" s="198"/>
      <c r="C14" s="198"/>
      <c r="D14" s="198"/>
      <c r="E14" s="199">
        <f>63-3</f>
        <v>60</v>
      </c>
      <c r="F14" s="199">
        <f>63-3</f>
        <v>60</v>
      </c>
      <c r="G14" s="199">
        <f>45</f>
        <v>45</v>
      </c>
      <c r="H14" s="199">
        <f>45</f>
        <v>45</v>
      </c>
      <c r="I14" s="204">
        <v>47.3333333333333</v>
      </c>
      <c r="J14" s="204">
        <v>47.3333333333333</v>
      </c>
      <c r="K14" s="204">
        <v>47.3333333333333</v>
      </c>
      <c r="L14" s="204">
        <v>47.3333333333333</v>
      </c>
      <c r="M14" s="204">
        <v>47.3333333333333</v>
      </c>
      <c r="N14" s="204">
        <v>53.3333333333333</v>
      </c>
      <c r="O14" s="204">
        <v>53.3333333333333</v>
      </c>
      <c r="P14" s="204">
        <v>53.3333333333333</v>
      </c>
      <c r="Q14" s="199"/>
    </row>
    <row r="15" spans="1:19 16377:16377" ht="15.5">
      <c r="A15" s="205" t="s">
        <v>420</v>
      </c>
      <c r="B15" s="205"/>
      <c r="C15" s="206" t="s">
        <v>421</v>
      </c>
      <c r="D15" s="178">
        <v>350</v>
      </c>
      <c r="E15" s="207">
        <f t="shared" ref="E15:P15" si="4">SUMPRODUCT(E$13,$D15)</f>
        <v>58100</v>
      </c>
      <c r="F15" s="207">
        <f t="shared" si="4"/>
        <v>58100</v>
      </c>
      <c r="G15" s="207">
        <f t="shared" si="4"/>
        <v>54950</v>
      </c>
      <c r="H15" s="207">
        <f t="shared" si="4"/>
        <v>54950</v>
      </c>
      <c r="I15" s="207">
        <f t="shared" si="4"/>
        <v>57400</v>
      </c>
      <c r="J15" s="207">
        <f t="shared" si="4"/>
        <v>57400</v>
      </c>
      <c r="K15" s="207">
        <f t="shared" si="4"/>
        <v>57400</v>
      </c>
      <c r="L15" s="207">
        <f t="shared" si="4"/>
        <v>57400</v>
      </c>
      <c r="M15" s="207">
        <f t="shared" si="4"/>
        <v>57400</v>
      </c>
      <c r="N15" s="207">
        <f t="shared" si="4"/>
        <v>63700</v>
      </c>
      <c r="O15" s="207">
        <f t="shared" si="4"/>
        <v>63700</v>
      </c>
      <c r="P15" s="207">
        <f t="shared" si="4"/>
        <v>63700</v>
      </c>
      <c r="Q15" s="208">
        <f t="shared" ref="Q15:Q30" si="5">SUM(E15:P15)</f>
        <v>704200</v>
      </c>
    </row>
    <row r="16" spans="1:19 16377:16377" ht="15.5">
      <c r="A16" s="205"/>
      <c r="B16" s="205"/>
      <c r="C16" s="206" t="s">
        <v>51</v>
      </c>
      <c r="D16" s="178">
        <v>550</v>
      </c>
      <c r="E16" s="207">
        <f t="shared" ref="E16:P16" si="6">SUMPRODUCT(E$14,$D16)</f>
        <v>33000</v>
      </c>
      <c r="F16" s="207">
        <f t="shared" si="6"/>
        <v>33000</v>
      </c>
      <c r="G16" s="207">
        <f t="shared" si="6"/>
        <v>24750</v>
      </c>
      <c r="H16" s="207">
        <f t="shared" si="6"/>
        <v>24750</v>
      </c>
      <c r="I16" s="207">
        <f t="shared" si="6"/>
        <v>26033.333333333314</v>
      </c>
      <c r="J16" s="207">
        <f t="shared" si="6"/>
        <v>26033.333333333314</v>
      </c>
      <c r="K16" s="207">
        <f t="shared" si="6"/>
        <v>26033.333333333314</v>
      </c>
      <c r="L16" s="207">
        <f t="shared" si="6"/>
        <v>26033.333333333314</v>
      </c>
      <c r="M16" s="207">
        <f t="shared" si="6"/>
        <v>26033.333333333314</v>
      </c>
      <c r="N16" s="207">
        <f t="shared" si="6"/>
        <v>29333.333333333314</v>
      </c>
      <c r="O16" s="207">
        <f t="shared" si="6"/>
        <v>29333.333333333314</v>
      </c>
      <c r="P16" s="207">
        <f t="shared" si="6"/>
        <v>29333.333333333314</v>
      </c>
      <c r="Q16" s="208">
        <f t="shared" si="5"/>
        <v>333666.66666666651</v>
      </c>
    </row>
    <row r="17" spans="1:19" ht="15.5">
      <c r="A17" s="205"/>
      <c r="B17" s="205"/>
      <c r="C17" s="206" t="s">
        <v>701</v>
      </c>
      <c r="D17" s="209">
        <f>45000*4</f>
        <v>180000</v>
      </c>
      <c r="E17" s="210">
        <f t="shared" ref="E17:P18" si="7">($D17/$R$1)</f>
        <v>2068.9655172413795</v>
      </c>
      <c r="F17" s="210">
        <f t="shared" si="7"/>
        <v>2068.9655172413795</v>
      </c>
      <c r="G17" s="210">
        <f t="shared" si="7"/>
        <v>2068.9655172413795</v>
      </c>
      <c r="H17" s="210">
        <f t="shared" si="7"/>
        <v>2068.9655172413795</v>
      </c>
      <c r="I17" s="210">
        <f t="shared" si="7"/>
        <v>2068.9655172413795</v>
      </c>
      <c r="J17" s="210">
        <f t="shared" si="7"/>
        <v>2068.9655172413795</v>
      </c>
      <c r="K17" s="210">
        <f t="shared" si="7"/>
        <v>2068.9655172413795</v>
      </c>
      <c r="L17" s="210">
        <f t="shared" si="7"/>
        <v>2068.9655172413795</v>
      </c>
      <c r="M17" s="210">
        <f t="shared" si="7"/>
        <v>2068.9655172413795</v>
      </c>
      <c r="N17" s="210">
        <f t="shared" si="7"/>
        <v>2068.9655172413795</v>
      </c>
      <c r="O17" s="210">
        <f t="shared" si="7"/>
        <v>2068.9655172413795</v>
      </c>
      <c r="P17" s="210">
        <f t="shared" si="7"/>
        <v>2068.9655172413795</v>
      </c>
      <c r="Q17" s="208">
        <f t="shared" si="5"/>
        <v>24827.586206896562</v>
      </c>
    </row>
    <row r="18" spans="1:19" ht="15.5">
      <c r="A18" s="205"/>
      <c r="B18" s="205"/>
      <c r="C18" s="206" t="s">
        <v>702</v>
      </c>
      <c r="D18" s="209">
        <f>18000*15</f>
        <v>270000</v>
      </c>
      <c r="E18" s="210">
        <f t="shared" si="7"/>
        <v>3103.4482758620688</v>
      </c>
      <c r="F18" s="210">
        <f t="shared" si="7"/>
        <v>3103.4482758620688</v>
      </c>
      <c r="G18" s="210">
        <f t="shared" si="7"/>
        <v>3103.4482758620688</v>
      </c>
      <c r="H18" s="210">
        <f t="shared" si="7"/>
        <v>3103.4482758620688</v>
      </c>
      <c r="I18" s="210">
        <f t="shared" si="7"/>
        <v>3103.4482758620688</v>
      </c>
      <c r="J18" s="210">
        <f t="shared" si="7"/>
        <v>3103.4482758620688</v>
      </c>
      <c r="K18" s="210">
        <f t="shared" si="7"/>
        <v>3103.4482758620688</v>
      </c>
      <c r="L18" s="210">
        <f t="shared" si="7"/>
        <v>3103.4482758620688</v>
      </c>
      <c r="M18" s="210">
        <f t="shared" si="7"/>
        <v>3103.4482758620688</v>
      </c>
      <c r="N18" s="210">
        <f t="shared" si="7"/>
        <v>3103.4482758620688</v>
      </c>
      <c r="O18" s="210">
        <f t="shared" si="7"/>
        <v>3103.4482758620688</v>
      </c>
      <c r="P18" s="210">
        <f t="shared" si="7"/>
        <v>3103.4482758620688</v>
      </c>
      <c r="Q18" s="208">
        <f t="shared" si="5"/>
        <v>37241.379310344826</v>
      </c>
    </row>
    <row r="19" spans="1:19" ht="15.5">
      <c r="A19" s="205"/>
      <c r="B19" s="205"/>
      <c r="C19" s="206" t="s">
        <v>703</v>
      </c>
      <c r="D19" s="209">
        <v>35000</v>
      </c>
      <c r="E19" s="210"/>
      <c r="F19" s="210"/>
      <c r="G19" s="210">
        <f t="shared" ref="G19:P19" si="8">($D19*7)/$R$1</f>
        <v>2816.0919540229884</v>
      </c>
      <c r="H19" s="210">
        <f t="shared" si="8"/>
        <v>2816.0919540229884</v>
      </c>
      <c r="I19" s="210">
        <f t="shared" si="8"/>
        <v>2816.0919540229884</v>
      </c>
      <c r="J19" s="210">
        <f t="shared" si="8"/>
        <v>2816.0919540229884</v>
      </c>
      <c r="K19" s="210">
        <f t="shared" si="8"/>
        <v>2816.0919540229884</v>
      </c>
      <c r="L19" s="210">
        <f t="shared" si="8"/>
        <v>2816.0919540229884</v>
      </c>
      <c r="M19" s="210">
        <f t="shared" si="8"/>
        <v>2816.0919540229884</v>
      </c>
      <c r="N19" s="210">
        <f t="shared" si="8"/>
        <v>2816.0919540229884</v>
      </c>
      <c r="O19" s="210">
        <f t="shared" si="8"/>
        <v>2816.0919540229884</v>
      </c>
      <c r="P19" s="210">
        <f t="shared" si="8"/>
        <v>2816.0919540229884</v>
      </c>
      <c r="Q19" s="208">
        <f t="shared" si="5"/>
        <v>28160.919540229883</v>
      </c>
    </row>
    <row r="20" spans="1:19" ht="15.5">
      <c r="A20" s="205"/>
      <c r="B20" s="205"/>
      <c r="C20" s="206" t="s">
        <v>59</v>
      </c>
      <c r="D20" s="211">
        <v>0.05</v>
      </c>
      <c r="E20" s="207">
        <f t="shared" ref="E20:P21" si="9">$D20*(E$15+E$16)</f>
        <v>4555</v>
      </c>
      <c r="F20" s="207">
        <f t="shared" si="9"/>
        <v>4555</v>
      </c>
      <c r="G20" s="207">
        <f t="shared" si="9"/>
        <v>3985</v>
      </c>
      <c r="H20" s="207">
        <f t="shared" si="9"/>
        <v>3985</v>
      </c>
      <c r="I20" s="207">
        <f t="shared" si="9"/>
        <v>4171.6666666666661</v>
      </c>
      <c r="J20" s="207">
        <f t="shared" si="9"/>
        <v>4171.6666666666661</v>
      </c>
      <c r="K20" s="207">
        <f t="shared" si="9"/>
        <v>4171.6666666666661</v>
      </c>
      <c r="L20" s="207">
        <f t="shared" si="9"/>
        <v>4171.6666666666661</v>
      </c>
      <c r="M20" s="207">
        <f t="shared" si="9"/>
        <v>4171.6666666666661</v>
      </c>
      <c r="N20" s="207">
        <f t="shared" si="9"/>
        <v>4651.6666666666661</v>
      </c>
      <c r="O20" s="207">
        <f t="shared" si="9"/>
        <v>4651.6666666666661</v>
      </c>
      <c r="P20" s="207">
        <f t="shared" si="9"/>
        <v>4651.6666666666661</v>
      </c>
      <c r="Q20" s="208">
        <f t="shared" si="5"/>
        <v>51893.333333333314</v>
      </c>
    </row>
    <row r="21" spans="1:19" ht="15.5">
      <c r="A21" s="205"/>
      <c r="B21" s="205"/>
      <c r="C21" s="206" t="s">
        <v>57</v>
      </c>
      <c r="D21" s="211">
        <v>0.05</v>
      </c>
      <c r="E21" s="207">
        <f t="shared" si="9"/>
        <v>4555</v>
      </c>
      <c r="F21" s="207">
        <f t="shared" si="9"/>
        <v>4555</v>
      </c>
      <c r="G21" s="207">
        <f t="shared" si="9"/>
        <v>3985</v>
      </c>
      <c r="H21" s="207">
        <f t="shared" si="9"/>
        <v>3985</v>
      </c>
      <c r="I21" s="207">
        <f t="shared" si="9"/>
        <v>4171.6666666666661</v>
      </c>
      <c r="J21" s="207">
        <f t="shared" si="9"/>
        <v>4171.6666666666661</v>
      </c>
      <c r="K21" s="207">
        <f t="shared" si="9"/>
        <v>4171.6666666666661</v>
      </c>
      <c r="L21" s="207">
        <f t="shared" si="9"/>
        <v>4171.6666666666661</v>
      </c>
      <c r="M21" s="207">
        <f t="shared" si="9"/>
        <v>4171.6666666666661</v>
      </c>
      <c r="N21" s="207">
        <f t="shared" si="9"/>
        <v>4651.6666666666661</v>
      </c>
      <c r="O21" s="207">
        <f t="shared" si="9"/>
        <v>4651.6666666666661</v>
      </c>
      <c r="P21" s="207">
        <f t="shared" si="9"/>
        <v>4651.6666666666661</v>
      </c>
      <c r="Q21" s="208">
        <f t="shared" si="5"/>
        <v>51893.333333333314</v>
      </c>
    </row>
    <row r="22" spans="1:19" ht="15.5">
      <c r="A22" s="205"/>
      <c r="B22" s="205"/>
      <c r="C22" s="206" t="s">
        <v>704</v>
      </c>
      <c r="D22" s="211">
        <v>0.05</v>
      </c>
      <c r="E22" s="207">
        <f t="shared" ref="E22:P23" si="10">$D22*(E$17+E$18+E$19)</f>
        <v>258.62068965517244</v>
      </c>
      <c r="F22" s="207">
        <f t="shared" si="10"/>
        <v>258.62068965517244</v>
      </c>
      <c r="G22" s="207">
        <f t="shared" si="10"/>
        <v>399.42528735632186</v>
      </c>
      <c r="H22" s="207">
        <f t="shared" si="10"/>
        <v>399.42528735632186</v>
      </c>
      <c r="I22" s="207">
        <f t="shared" si="10"/>
        <v>399.42528735632186</v>
      </c>
      <c r="J22" s="207">
        <f t="shared" si="10"/>
        <v>399.42528735632186</v>
      </c>
      <c r="K22" s="207">
        <f t="shared" si="10"/>
        <v>399.42528735632186</v>
      </c>
      <c r="L22" s="207">
        <f t="shared" si="10"/>
        <v>399.42528735632186</v>
      </c>
      <c r="M22" s="207">
        <f t="shared" si="10"/>
        <v>399.42528735632186</v>
      </c>
      <c r="N22" s="207">
        <f t="shared" si="10"/>
        <v>399.42528735632186</v>
      </c>
      <c r="O22" s="207">
        <f t="shared" si="10"/>
        <v>399.42528735632186</v>
      </c>
      <c r="P22" s="207">
        <f t="shared" si="10"/>
        <v>399.42528735632186</v>
      </c>
      <c r="Q22" s="208">
        <f t="shared" si="5"/>
        <v>4511.4942528735637</v>
      </c>
    </row>
    <row r="23" spans="1:19" ht="15.5">
      <c r="A23" s="205"/>
      <c r="B23" s="205"/>
      <c r="C23" s="206" t="s">
        <v>705</v>
      </c>
      <c r="D23" s="211">
        <v>0.05</v>
      </c>
      <c r="E23" s="207">
        <f t="shared" si="10"/>
        <v>258.62068965517244</v>
      </c>
      <c r="F23" s="207">
        <f t="shared" si="10"/>
        <v>258.62068965517244</v>
      </c>
      <c r="G23" s="207">
        <f t="shared" si="10"/>
        <v>399.42528735632186</v>
      </c>
      <c r="H23" s="207">
        <f t="shared" si="10"/>
        <v>399.42528735632186</v>
      </c>
      <c r="I23" s="207">
        <f t="shared" si="10"/>
        <v>399.42528735632186</v>
      </c>
      <c r="J23" s="207">
        <f t="shared" si="10"/>
        <v>399.42528735632186</v>
      </c>
      <c r="K23" s="207">
        <f t="shared" si="10"/>
        <v>399.42528735632186</v>
      </c>
      <c r="L23" s="207">
        <f t="shared" si="10"/>
        <v>399.42528735632186</v>
      </c>
      <c r="M23" s="207">
        <f t="shared" si="10"/>
        <v>399.42528735632186</v>
      </c>
      <c r="N23" s="207">
        <f t="shared" si="10"/>
        <v>399.42528735632186</v>
      </c>
      <c r="O23" s="207">
        <f t="shared" si="10"/>
        <v>399.42528735632186</v>
      </c>
      <c r="P23" s="207">
        <f t="shared" si="10"/>
        <v>399.42528735632186</v>
      </c>
      <c r="Q23" s="208">
        <f t="shared" si="5"/>
        <v>4511.4942528735637</v>
      </c>
    </row>
    <row r="24" spans="1:19" ht="15.5">
      <c r="A24" s="205"/>
      <c r="B24" s="205"/>
      <c r="C24" s="206" t="s">
        <v>148</v>
      </c>
      <c r="D24" s="211"/>
      <c r="E24" s="207"/>
      <c r="F24" s="207"/>
      <c r="G24" s="207"/>
      <c r="H24" s="207"/>
      <c r="I24" s="207"/>
      <c r="J24" s="207"/>
      <c r="K24" s="207"/>
      <c r="L24" s="207"/>
      <c r="M24" s="207"/>
      <c r="N24" s="207"/>
      <c r="O24" s="207"/>
      <c r="P24" s="207"/>
      <c r="Q24" s="208">
        <f t="shared" si="5"/>
        <v>0</v>
      </c>
    </row>
    <row r="25" spans="1:19" ht="15.5">
      <c r="A25" s="205"/>
      <c r="B25" s="205"/>
      <c r="C25" s="206" t="s">
        <v>496</v>
      </c>
      <c r="D25" s="211">
        <v>0.01</v>
      </c>
      <c r="E25" s="207">
        <f t="shared" ref="E25:P28" si="11">$D25*(E$15+E$16+E$17+E$18+E$19)</f>
        <v>962.72413793103453</v>
      </c>
      <c r="F25" s="207">
        <f t="shared" si="11"/>
        <v>962.72413793103453</v>
      </c>
      <c r="G25" s="207">
        <f t="shared" si="11"/>
        <v>876.88505747126442</v>
      </c>
      <c r="H25" s="207">
        <f t="shared" si="11"/>
        <v>876.88505747126442</v>
      </c>
      <c r="I25" s="207">
        <f t="shared" si="11"/>
        <v>914.21839080459756</v>
      </c>
      <c r="J25" s="207">
        <f t="shared" si="11"/>
        <v>914.21839080459756</v>
      </c>
      <c r="K25" s="207">
        <f t="shared" si="11"/>
        <v>914.21839080459756</v>
      </c>
      <c r="L25" s="207">
        <f t="shared" si="11"/>
        <v>914.21839080459756</v>
      </c>
      <c r="M25" s="207">
        <f t="shared" si="11"/>
        <v>914.21839080459756</v>
      </c>
      <c r="N25" s="207">
        <f t="shared" si="11"/>
        <v>1010.2183908045976</v>
      </c>
      <c r="O25" s="207">
        <f t="shared" si="11"/>
        <v>1010.2183908045976</v>
      </c>
      <c r="P25" s="207">
        <f t="shared" si="11"/>
        <v>1010.2183908045976</v>
      </c>
      <c r="Q25" s="208">
        <f t="shared" si="5"/>
        <v>11280.965517241377</v>
      </c>
    </row>
    <row r="26" spans="1:19" ht="15.5">
      <c r="A26" s="205"/>
      <c r="B26" s="205"/>
      <c r="C26" s="206" t="s">
        <v>58</v>
      </c>
      <c r="D26" s="211">
        <v>2.0911508615978698E-3</v>
      </c>
      <c r="E26" s="207">
        <f t="shared" si="11"/>
        <v>201.32014105155491</v>
      </c>
      <c r="F26" s="207">
        <f t="shared" si="11"/>
        <v>201.32014105155491</v>
      </c>
      <c r="G26" s="207">
        <f t="shared" si="11"/>
        <v>183.36989434533322</v>
      </c>
      <c r="H26" s="207">
        <f t="shared" si="11"/>
        <v>183.36989434533322</v>
      </c>
      <c r="I26" s="207">
        <f t="shared" si="11"/>
        <v>191.17685756196522</v>
      </c>
      <c r="J26" s="207">
        <f t="shared" si="11"/>
        <v>191.17685756196522</v>
      </c>
      <c r="K26" s="207">
        <f t="shared" si="11"/>
        <v>191.17685756196522</v>
      </c>
      <c r="L26" s="207">
        <f t="shared" si="11"/>
        <v>191.17685756196522</v>
      </c>
      <c r="M26" s="207">
        <f t="shared" si="11"/>
        <v>191.17685756196522</v>
      </c>
      <c r="N26" s="207">
        <f t="shared" si="11"/>
        <v>211.25190583330479</v>
      </c>
      <c r="O26" s="207">
        <f t="shared" si="11"/>
        <v>211.25190583330479</v>
      </c>
      <c r="P26" s="207">
        <f t="shared" si="11"/>
        <v>211.25190583330479</v>
      </c>
      <c r="Q26" s="208">
        <f t="shared" si="5"/>
        <v>2359.0200761035171</v>
      </c>
    </row>
    <row r="27" spans="1:19" ht="15.5">
      <c r="A27" s="205"/>
      <c r="B27" s="205"/>
      <c r="C27" s="206" t="s">
        <v>56</v>
      </c>
      <c r="D27" s="211">
        <v>3.72168464203178E-3</v>
      </c>
      <c r="E27" s="207">
        <f t="shared" si="11"/>
        <v>358.29556386512161</v>
      </c>
      <c r="F27" s="207">
        <f t="shared" si="11"/>
        <v>358.29556386512161</v>
      </c>
      <c r="G27" s="207">
        <f t="shared" si="11"/>
        <v>326.34896512179597</v>
      </c>
      <c r="H27" s="207">
        <f t="shared" si="11"/>
        <v>326.34896512179597</v>
      </c>
      <c r="I27" s="207">
        <f t="shared" si="11"/>
        <v>340.24325445204789</v>
      </c>
      <c r="J27" s="207">
        <f t="shared" si="11"/>
        <v>340.24325445204789</v>
      </c>
      <c r="K27" s="207">
        <f t="shared" si="11"/>
        <v>340.24325445204789</v>
      </c>
      <c r="L27" s="207">
        <f t="shared" si="11"/>
        <v>340.24325445204789</v>
      </c>
      <c r="M27" s="207">
        <f t="shared" si="11"/>
        <v>340.24325445204789</v>
      </c>
      <c r="N27" s="207">
        <f t="shared" si="11"/>
        <v>375.97142701555293</v>
      </c>
      <c r="O27" s="207">
        <f t="shared" si="11"/>
        <v>375.97142701555293</v>
      </c>
      <c r="P27" s="207">
        <f t="shared" si="11"/>
        <v>375.97142701555293</v>
      </c>
      <c r="Q27" s="208">
        <f t="shared" si="5"/>
        <v>4198.4196112807331</v>
      </c>
    </row>
    <row r="28" spans="1:19" ht="15.5">
      <c r="A28" s="212"/>
      <c r="B28" s="205"/>
      <c r="C28" s="206" t="s">
        <v>55</v>
      </c>
      <c r="D28" s="211">
        <v>4.84798949936668E-4</v>
      </c>
      <c r="E28" s="207">
        <f t="shared" si="11"/>
        <v>46.672765114764942</v>
      </c>
      <c r="F28" s="207">
        <f t="shared" si="11"/>
        <v>46.672765114764942</v>
      </c>
      <c r="G28" s="207">
        <f t="shared" si="11"/>
        <v>42.51129550772238</v>
      </c>
      <c r="H28" s="207">
        <f t="shared" si="11"/>
        <v>42.51129550772238</v>
      </c>
      <c r="I28" s="207">
        <f t="shared" si="11"/>
        <v>44.321211587485926</v>
      </c>
      <c r="J28" s="207">
        <f t="shared" si="11"/>
        <v>44.321211587485926</v>
      </c>
      <c r="K28" s="207">
        <f t="shared" si="11"/>
        <v>44.321211587485926</v>
      </c>
      <c r="L28" s="207">
        <f t="shared" si="11"/>
        <v>44.321211587485926</v>
      </c>
      <c r="M28" s="207">
        <f t="shared" si="11"/>
        <v>44.321211587485926</v>
      </c>
      <c r="N28" s="207">
        <f t="shared" si="11"/>
        <v>48.975281506877941</v>
      </c>
      <c r="O28" s="207">
        <f t="shared" si="11"/>
        <v>48.975281506877941</v>
      </c>
      <c r="P28" s="207">
        <f t="shared" si="11"/>
        <v>48.975281506877941</v>
      </c>
      <c r="Q28" s="208">
        <f t="shared" si="5"/>
        <v>546.90002370303819</v>
      </c>
    </row>
    <row r="29" spans="1:19" ht="15.5">
      <c r="A29" s="205"/>
      <c r="B29" s="205"/>
      <c r="C29" s="206"/>
      <c r="D29" s="178"/>
      <c r="E29" s="207"/>
      <c r="F29" s="207"/>
      <c r="G29" s="207"/>
      <c r="H29" s="207"/>
      <c r="I29" s="207"/>
      <c r="J29" s="207"/>
      <c r="K29" s="207"/>
      <c r="L29" s="207"/>
      <c r="M29" s="207"/>
      <c r="N29" s="207"/>
      <c r="O29" s="207"/>
      <c r="P29" s="207"/>
      <c r="Q29" s="208">
        <f t="shared" si="5"/>
        <v>0</v>
      </c>
    </row>
    <row r="30" spans="1:19" ht="15.5">
      <c r="A30" s="192" t="s">
        <v>424</v>
      </c>
      <c r="B30" s="192"/>
      <c r="C30" s="192"/>
      <c r="D30" s="192"/>
      <c r="E30" s="180">
        <f t="shared" ref="E30:P30" si="12">SUM(E15:E29)</f>
        <v>107468.66778037627</v>
      </c>
      <c r="F30" s="180">
        <f t="shared" si="12"/>
        <v>107468.66778037627</v>
      </c>
      <c r="G30" s="180">
        <f t="shared" si="12"/>
        <v>97886.471534285214</v>
      </c>
      <c r="H30" s="180">
        <f t="shared" si="12"/>
        <v>97886.471534285214</v>
      </c>
      <c r="I30" s="180">
        <f t="shared" si="12"/>
        <v>102053.98270291185</v>
      </c>
      <c r="J30" s="180">
        <f t="shared" si="12"/>
        <v>102053.98270291185</v>
      </c>
      <c r="K30" s="180">
        <f t="shared" si="12"/>
        <v>102053.98270291185</v>
      </c>
      <c r="L30" s="180">
        <f t="shared" si="12"/>
        <v>102053.98270291185</v>
      </c>
      <c r="M30" s="180">
        <f t="shared" si="12"/>
        <v>102053.98270291185</v>
      </c>
      <c r="N30" s="180">
        <f t="shared" si="12"/>
        <v>112770.43999366608</v>
      </c>
      <c r="O30" s="180">
        <f t="shared" si="12"/>
        <v>112770.43999366608</v>
      </c>
      <c r="P30" s="180">
        <f t="shared" si="12"/>
        <v>112770.43999366608</v>
      </c>
      <c r="Q30" s="180">
        <f t="shared" si="5"/>
        <v>1259291.5121248802</v>
      </c>
      <c r="S30" s="213"/>
    </row>
    <row r="31" spans="1:19">
      <c r="A31" s="198"/>
      <c r="B31" s="198"/>
      <c r="C31" s="198"/>
      <c r="D31" s="198"/>
      <c r="E31" s="199"/>
      <c r="F31" s="199"/>
      <c r="G31" s="199"/>
      <c r="H31" s="199"/>
      <c r="I31" s="199"/>
      <c r="J31" s="199"/>
      <c r="K31" s="199"/>
      <c r="L31" s="199"/>
      <c r="M31" s="199"/>
      <c r="N31" s="199"/>
      <c r="O31" s="199"/>
      <c r="P31" s="199"/>
      <c r="Q31" s="199"/>
    </row>
    <row r="32" spans="1:19" ht="15.5">
      <c r="A32" s="205" t="s">
        <v>425</v>
      </c>
      <c r="B32" s="205"/>
      <c r="C32" s="206" t="s">
        <v>426</v>
      </c>
      <c r="D32" s="198"/>
      <c r="E32" s="214">
        <v>4549.06896551724</v>
      </c>
      <c r="F32" s="214">
        <v>4549.06896551724</v>
      </c>
      <c r="G32" s="214">
        <v>4549.06896551724</v>
      </c>
      <c r="H32" s="214">
        <v>4549.06896551724</v>
      </c>
      <c r="I32" s="214">
        <v>4549.06896551724</v>
      </c>
      <c r="J32" s="214">
        <v>4549.06896551724</v>
      </c>
      <c r="K32" s="214"/>
      <c r="L32" s="214"/>
      <c r="M32" s="214"/>
      <c r="N32" s="214"/>
      <c r="O32" s="214"/>
      <c r="P32" s="214"/>
      <c r="Q32" s="208">
        <f t="shared" ref="Q32:Q42" si="13">SUM(E32:P32)</f>
        <v>27294.413793103438</v>
      </c>
    </row>
    <row r="33" spans="1:17">
      <c r="A33" s="198"/>
      <c r="B33" s="198"/>
      <c r="C33" s="206" t="s">
        <v>428</v>
      </c>
      <c r="D33" s="198"/>
      <c r="E33" s="214">
        <v>3196.2298850574698</v>
      </c>
      <c r="F33" s="214">
        <v>3196.2298850574698</v>
      </c>
      <c r="G33" s="214">
        <v>3196.2298850574698</v>
      </c>
      <c r="H33" s="214">
        <v>3196.2298850574698</v>
      </c>
      <c r="I33" s="214">
        <v>3196.2298850574698</v>
      </c>
      <c r="J33" s="214">
        <v>3196.2298850574698</v>
      </c>
      <c r="K33" s="214">
        <v>3196.2298850574698</v>
      </c>
      <c r="L33" s="214">
        <v>3196.2298850574698</v>
      </c>
      <c r="M33" s="214">
        <v>3196.2298850574698</v>
      </c>
      <c r="N33" s="214">
        <v>3196.2298850574698</v>
      </c>
      <c r="O33" s="214">
        <v>3196.2298850574698</v>
      </c>
      <c r="P33" s="214">
        <v>3196.2298850574698</v>
      </c>
      <c r="Q33" s="208">
        <f t="shared" si="13"/>
        <v>38354.758620689638</v>
      </c>
    </row>
    <row r="34" spans="1:17">
      <c r="A34" s="198"/>
      <c r="B34" s="198"/>
      <c r="C34" s="206" t="s">
        <v>430</v>
      </c>
      <c r="D34" s="198"/>
      <c r="E34" s="214">
        <v>1830.4608045977</v>
      </c>
      <c r="F34" s="214">
        <v>1830.4608045977</v>
      </c>
      <c r="G34" s="214">
        <v>1830.4608045977</v>
      </c>
      <c r="H34" s="214">
        <v>1830.4608045977</v>
      </c>
      <c r="I34" s="214">
        <v>1830.4608045977</v>
      </c>
      <c r="J34" s="214">
        <v>1830.4608045977</v>
      </c>
      <c r="K34" s="214">
        <v>1830.4608045977</v>
      </c>
      <c r="L34" s="214">
        <v>1830.4608045977</v>
      </c>
      <c r="M34" s="214">
        <v>1830.4608045977</v>
      </c>
      <c r="N34" s="214">
        <v>1830.4608045977</v>
      </c>
      <c r="O34" s="214">
        <v>1830.4608045977</v>
      </c>
      <c r="P34" s="214">
        <v>1830.4608045977</v>
      </c>
      <c r="Q34" s="208">
        <f t="shared" si="13"/>
        <v>21965.529655172399</v>
      </c>
    </row>
    <row r="35" spans="1:17">
      <c r="A35" s="198"/>
      <c r="B35" s="198"/>
      <c r="C35" s="206" t="s">
        <v>427</v>
      </c>
      <c r="D35" s="198"/>
      <c r="E35" s="214">
        <v>4597.7011494252902</v>
      </c>
      <c r="F35" s="214">
        <v>4597.7011494252902</v>
      </c>
      <c r="G35" s="214">
        <v>4597.7011494252902</v>
      </c>
      <c r="H35" s="214">
        <v>4597.7011494252902</v>
      </c>
      <c r="I35" s="214">
        <v>4597.7011494252902</v>
      </c>
      <c r="J35" s="214">
        <v>4597.7011494252902</v>
      </c>
      <c r="K35" s="214">
        <v>4597.7011494252902</v>
      </c>
      <c r="L35" s="214">
        <v>4597.7011494252902</v>
      </c>
      <c r="M35" s="214">
        <v>4597.7011494252902</v>
      </c>
      <c r="N35" s="214">
        <v>4597.7011494252902</v>
      </c>
      <c r="O35" s="214">
        <v>4597.7011494252902</v>
      </c>
      <c r="P35" s="214">
        <v>4597.7011494252902</v>
      </c>
      <c r="Q35" s="208">
        <f t="shared" si="13"/>
        <v>55172.413793103471</v>
      </c>
    </row>
    <row r="36" spans="1:17">
      <c r="A36" s="198"/>
      <c r="B36" s="198"/>
      <c r="C36" s="206" t="s">
        <v>426</v>
      </c>
      <c r="D36" s="198"/>
      <c r="E36" s="214">
        <v>785.74712643678197</v>
      </c>
      <c r="F36" s="214">
        <v>785.74712643678197</v>
      </c>
      <c r="G36" s="214">
        <v>785.74712643678197</v>
      </c>
      <c r="H36" s="214">
        <v>785.74712643678197</v>
      </c>
      <c r="I36" s="214">
        <v>785.74712643678197</v>
      </c>
      <c r="J36" s="214">
        <v>785.74712643678197</v>
      </c>
      <c r="K36" s="214"/>
      <c r="L36" s="214"/>
      <c r="M36" s="214"/>
      <c r="N36" s="214"/>
      <c r="O36" s="214"/>
      <c r="P36" s="214"/>
      <c r="Q36" s="208">
        <f t="shared" si="13"/>
        <v>4714.482758620692</v>
      </c>
    </row>
    <row r="37" spans="1:17">
      <c r="A37" s="198"/>
      <c r="B37" s="198"/>
      <c r="C37" s="206" t="s">
        <v>431</v>
      </c>
      <c r="D37" s="198"/>
      <c r="E37" s="214">
        <v>301.72413793103402</v>
      </c>
      <c r="F37" s="214">
        <v>301.72413793103402</v>
      </c>
      <c r="G37" s="214">
        <v>301.72413793103402</v>
      </c>
      <c r="H37" s="214">
        <v>301.72413793103402</v>
      </c>
      <c r="I37" s="214">
        <v>301.72413793103402</v>
      </c>
      <c r="J37" s="214">
        <v>301.72413793103402</v>
      </c>
      <c r="K37" s="214">
        <v>301.72413793103402</v>
      </c>
      <c r="L37" s="214">
        <v>301.72413793103402</v>
      </c>
      <c r="M37" s="214">
        <v>301.72413793103402</v>
      </c>
      <c r="N37" s="214">
        <v>301.72413793103402</v>
      </c>
      <c r="O37" s="214">
        <v>301.72413793103402</v>
      </c>
      <c r="P37" s="214">
        <v>301.72413793103402</v>
      </c>
      <c r="Q37" s="208">
        <f t="shared" si="13"/>
        <v>3620.689655172408</v>
      </c>
    </row>
    <row r="38" spans="1:17">
      <c r="A38" s="198"/>
      <c r="B38" s="198"/>
      <c r="C38" s="206" t="s">
        <v>429</v>
      </c>
      <c r="D38" s="178">
        <v>290</v>
      </c>
      <c r="E38" s="214">
        <v>290</v>
      </c>
      <c r="F38" s="214">
        <v>290</v>
      </c>
      <c r="G38" s="214">
        <v>290</v>
      </c>
      <c r="H38" s="214">
        <v>290</v>
      </c>
      <c r="I38" s="214">
        <v>290</v>
      </c>
      <c r="J38" s="214">
        <v>290</v>
      </c>
      <c r="K38" s="214">
        <v>290</v>
      </c>
      <c r="L38" s="214">
        <v>290</v>
      </c>
      <c r="M38" s="214">
        <v>290</v>
      </c>
      <c r="N38" s="214">
        <v>290</v>
      </c>
      <c r="O38" s="214">
        <v>290</v>
      </c>
      <c r="P38" s="214">
        <v>290</v>
      </c>
      <c r="Q38" s="208">
        <f t="shared" si="13"/>
        <v>3480</v>
      </c>
    </row>
    <row r="39" spans="1:17">
      <c r="A39" s="198"/>
      <c r="B39" s="198"/>
      <c r="C39" s="206" t="s">
        <v>706</v>
      </c>
      <c r="D39" s="209">
        <v>800000</v>
      </c>
      <c r="E39" s="199"/>
      <c r="F39" s="199"/>
      <c r="G39" s="210"/>
      <c r="H39" s="214"/>
      <c r="I39" s="214"/>
      <c r="J39" s="214"/>
      <c r="K39" s="214">
        <v>5000</v>
      </c>
      <c r="L39" s="214">
        <v>5000</v>
      </c>
      <c r="M39" s="214">
        <v>5000</v>
      </c>
      <c r="N39" s="214">
        <v>5000</v>
      </c>
      <c r="O39" s="214">
        <v>5000</v>
      </c>
      <c r="P39" s="214">
        <v>5000</v>
      </c>
      <c r="Q39" s="208">
        <f t="shared" si="13"/>
        <v>30000</v>
      </c>
    </row>
    <row r="40" spans="1:17">
      <c r="A40" s="198"/>
      <c r="B40" s="198"/>
      <c r="C40" s="206" t="s">
        <v>707</v>
      </c>
      <c r="D40" s="198"/>
      <c r="E40" s="199"/>
      <c r="F40" s="199"/>
      <c r="G40" s="199"/>
      <c r="H40" s="214"/>
      <c r="I40" s="214"/>
      <c r="J40" s="214"/>
      <c r="K40" s="214">
        <v>800</v>
      </c>
      <c r="L40" s="214">
        <v>800</v>
      </c>
      <c r="M40" s="214">
        <v>800</v>
      </c>
      <c r="N40" s="214">
        <v>800</v>
      </c>
      <c r="O40" s="214">
        <v>800</v>
      </c>
      <c r="P40" s="214">
        <v>800</v>
      </c>
      <c r="Q40" s="208">
        <f t="shared" si="13"/>
        <v>4800</v>
      </c>
    </row>
    <row r="41" spans="1:17">
      <c r="A41" s="198"/>
      <c r="B41" s="198"/>
      <c r="C41" s="198"/>
      <c r="D41" s="198"/>
      <c r="E41" s="199"/>
      <c r="F41" s="199"/>
      <c r="G41" s="199"/>
      <c r="H41" s="199"/>
      <c r="I41" s="199"/>
      <c r="J41" s="199"/>
      <c r="K41" s="199"/>
      <c r="L41" s="199"/>
      <c r="M41" s="199"/>
      <c r="N41" s="199"/>
      <c r="O41" s="199"/>
      <c r="P41" s="199"/>
      <c r="Q41" s="208">
        <f t="shared" si="13"/>
        <v>0</v>
      </c>
    </row>
    <row r="42" spans="1:17" ht="15.5">
      <c r="A42" s="181" t="s">
        <v>708</v>
      </c>
      <c r="B42" s="181"/>
      <c r="C42" s="181"/>
      <c r="D42" s="181"/>
      <c r="E42" s="182">
        <f t="shared" ref="E42:P42" si="14">SUM(E32:E41)</f>
        <v>15550.932068965516</v>
      </c>
      <c r="F42" s="182">
        <f t="shared" si="14"/>
        <v>15550.932068965516</v>
      </c>
      <c r="G42" s="182">
        <f t="shared" si="14"/>
        <v>15550.932068965516</v>
      </c>
      <c r="H42" s="182">
        <f t="shared" si="14"/>
        <v>15550.932068965516</v>
      </c>
      <c r="I42" s="182">
        <f t="shared" si="14"/>
        <v>15550.932068965516</v>
      </c>
      <c r="J42" s="182">
        <f t="shared" si="14"/>
        <v>15550.932068965516</v>
      </c>
      <c r="K42" s="182">
        <f t="shared" si="14"/>
        <v>16016.115977011495</v>
      </c>
      <c r="L42" s="182">
        <f t="shared" si="14"/>
        <v>16016.115977011495</v>
      </c>
      <c r="M42" s="182">
        <f t="shared" si="14"/>
        <v>16016.115977011495</v>
      </c>
      <c r="N42" s="182">
        <f t="shared" si="14"/>
        <v>16016.115977011495</v>
      </c>
      <c r="O42" s="182">
        <f t="shared" si="14"/>
        <v>16016.115977011495</v>
      </c>
      <c r="P42" s="182">
        <f t="shared" si="14"/>
        <v>16016.115977011495</v>
      </c>
      <c r="Q42" s="182">
        <f t="shared" si="13"/>
        <v>189402.28827586208</v>
      </c>
    </row>
    <row r="43" spans="1:17">
      <c r="A43" s="198"/>
      <c r="B43" s="198"/>
      <c r="C43" s="198"/>
      <c r="D43" s="198"/>
      <c r="E43" s="199"/>
      <c r="F43" s="215"/>
      <c r="G43" s="199"/>
      <c r="H43" s="199"/>
      <c r="I43" s="199"/>
      <c r="J43" s="199"/>
      <c r="K43" s="199"/>
      <c r="L43" s="199"/>
      <c r="M43" s="199"/>
      <c r="N43" s="199"/>
      <c r="O43" s="199"/>
      <c r="P43" s="199"/>
      <c r="Q43" s="199"/>
    </row>
    <row r="44" spans="1:17" ht="15.5">
      <c r="A44" s="205" t="s">
        <v>434</v>
      </c>
      <c r="B44" s="216"/>
      <c r="C44" s="206"/>
      <c r="D44" s="217"/>
      <c r="E44" s="210"/>
      <c r="F44" s="210"/>
      <c r="G44" s="210"/>
      <c r="H44" s="210"/>
      <c r="I44" s="210"/>
      <c r="J44" s="210"/>
      <c r="K44" s="210"/>
      <c r="L44" s="210"/>
      <c r="M44" s="210"/>
      <c r="N44" s="210"/>
      <c r="O44" s="210"/>
      <c r="P44" s="210"/>
      <c r="Q44" s="208"/>
    </row>
    <row r="45" spans="1:17">
      <c r="A45" s="198"/>
      <c r="B45" s="216" t="s">
        <v>709</v>
      </c>
      <c r="C45" s="218" t="s">
        <v>710</v>
      </c>
      <c r="D45" s="219">
        <v>283.83155080213902</v>
      </c>
      <c r="E45" s="210">
        <f>($D45*E$11)/$R$1</f>
        <v>890.64383182740175</v>
      </c>
      <c r="F45" s="210">
        <f>($D45*F$11)/$R$1</f>
        <v>890.64383182740175</v>
      </c>
      <c r="G45" s="210"/>
      <c r="H45" s="210"/>
      <c r="I45" s="210"/>
      <c r="J45" s="210"/>
      <c r="K45" s="210"/>
      <c r="L45" s="210"/>
      <c r="M45" s="210"/>
      <c r="N45" s="210"/>
      <c r="O45" s="210"/>
      <c r="P45" s="210"/>
      <c r="Q45" s="208">
        <f t="shared" ref="Q45:Q51" si="15">SUM(E45:P45)</f>
        <v>1781.2876636548035</v>
      </c>
    </row>
    <row r="46" spans="1:17">
      <c r="A46" s="198"/>
      <c r="B46" s="216"/>
      <c r="C46" s="218" t="s">
        <v>711</v>
      </c>
      <c r="D46" s="209">
        <v>33000</v>
      </c>
      <c r="E46" s="210">
        <f>($D46/$R$1)</f>
        <v>379.31034482758622</v>
      </c>
      <c r="F46" s="210">
        <f>($D46/$R$1)</f>
        <v>379.31034482758622</v>
      </c>
      <c r="G46" s="210">
        <f>($D46/$R$1)</f>
        <v>379.31034482758622</v>
      </c>
      <c r="H46" s="210">
        <f>($D46/$R$1)</f>
        <v>379.31034482758622</v>
      </c>
      <c r="I46" s="210">
        <f>($D46/$R$1)</f>
        <v>379.31034482758622</v>
      </c>
      <c r="J46" s="210">
        <f t="shared" ref="J46:P46" si="16">($D46/$R$1)*130%</f>
        <v>493.10344827586209</v>
      </c>
      <c r="K46" s="210">
        <f t="shared" si="16"/>
        <v>493.10344827586209</v>
      </c>
      <c r="L46" s="210">
        <f t="shared" si="16"/>
        <v>493.10344827586209</v>
      </c>
      <c r="M46" s="210">
        <f t="shared" si="16"/>
        <v>493.10344827586209</v>
      </c>
      <c r="N46" s="210">
        <f t="shared" si="16"/>
        <v>493.10344827586209</v>
      </c>
      <c r="O46" s="210">
        <f t="shared" si="16"/>
        <v>493.10344827586209</v>
      </c>
      <c r="P46" s="210">
        <f t="shared" si="16"/>
        <v>493.10344827586209</v>
      </c>
      <c r="Q46" s="208">
        <f t="shared" si="15"/>
        <v>5348.2758620689674</v>
      </c>
    </row>
    <row r="47" spans="1:17">
      <c r="A47" s="198"/>
      <c r="B47" s="216" t="s">
        <v>79</v>
      </c>
      <c r="C47" s="206"/>
      <c r="D47" s="219"/>
      <c r="E47" s="210"/>
      <c r="F47" s="210"/>
      <c r="G47" s="210"/>
      <c r="H47" s="210"/>
      <c r="I47" s="210"/>
      <c r="J47" s="210"/>
      <c r="K47" s="210"/>
      <c r="L47" s="210"/>
      <c r="M47" s="210"/>
      <c r="N47" s="210"/>
      <c r="O47" s="210"/>
      <c r="P47" s="210"/>
      <c r="Q47" s="208">
        <f t="shared" si="15"/>
        <v>0</v>
      </c>
    </row>
    <row r="48" spans="1:17">
      <c r="A48" s="198"/>
      <c r="B48" s="216"/>
      <c r="C48" s="206" t="s">
        <v>443</v>
      </c>
      <c r="D48" s="220"/>
      <c r="E48" s="210">
        <f t="shared" ref="E48:P48" si="17">($D48*E$13)/$R$1</f>
        <v>0</v>
      </c>
      <c r="F48" s="210">
        <f t="shared" si="17"/>
        <v>0</v>
      </c>
      <c r="G48" s="210">
        <f t="shared" si="17"/>
        <v>0</v>
      </c>
      <c r="H48" s="210">
        <f t="shared" si="17"/>
        <v>0</v>
      </c>
      <c r="I48" s="210">
        <f t="shared" si="17"/>
        <v>0</v>
      </c>
      <c r="J48" s="210">
        <f t="shared" si="17"/>
        <v>0</v>
      </c>
      <c r="K48" s="210">
        <f t="shared" si="17"/>
        <v>0</v>
      </c>
      <c r="L48" s="210">
        <f t="shared" si="17"/>
        <v>0</v>
      </c>
      <c r="M48" s="210">
        <f t="shared" si="17"/>
        <v>0</v>
      </c>
      <c r="N48" s="210">
        <f t="shared" si="17"/>
        <v>0</v>
      </c>
      <c r="O48" s="210">
        <f t="shared" si="17"/>
        <v>0</v>
      </c>
      <c r="P48" s="210">
        <f t="shared" si="17"/>
        <v>0</v>
      </c>
      <c r="Q48" s="208">
        <f t="shared" si="15"/>
        <v>0</v>
      </c>
    </row>
    <row r="49" spans="1:18">
      <c r="A49" s="198"/>
      <c r="B49" s="216"/>
      <c r="C49" s="206" t="s">
        <v>444</v>
      </c>
      <c r="D49" s="209">
        <v>152000</v>
      </c>
      <c r="E49" s="210">
        <f>($D49/$R$1)/3</f>
        <v>582.37547892720306</v>
      </c>
      <c r="F49" s="210">
        <f>($D49/$R$1)/3</f>
        <v>582.37547892720306</v>
      </c>
      <c r="G49" s="210">
        <f>($D49/$R$1)/3</f>
        <v>582.37547892720306</v>
      </c>
      <c r="H49" s="210">
        <f>($D49/$R$1)/3</f>
        <v>582.37547892720306</v>
      </c>
      <c r="I49" s="210">
        <f>($D49/$R$1)/3</f>
        <v>582.37547892720306</v>
      </c>
      <c r="J49" s="210">
        <f t="shared" ref="J49:P49" si="18">(($D49/$R$1)/3)*130%</f>
        <v>757.08812260536399</v>
      </c>
      <c r="K49" s="210">
        <f t="shared" si="18"/>
        <v>757.08812260536399</v>
      </c>
      <c r="L49" s="210">
        <f t="shared" si="18"/>
        <v>757.08812260536399</v>
      </c>
      <c r="M49" s="210">
        <f t="shared" si="18"/>
        <v>757.08812260536399</v>
      </c>
      <c r="N49" s="210">
        <f t="shared" si="18"/>
        <v>757.08812260536399</v>
      </c>
      <c r="O49" s="210">
        <f t="shared" si="18"/>
        <v>757.08812260536399</v>
      </c>
      <c r="P49" s="210">
        <f t="shared" si="18"/>
        <v>757.08812260536399</v>
      </c>
      <c r="Q49" s="208">
        <f t="shared" si="15"/>
        <v>8211.4942528735646</v>
      </c>
      <c r="R49" s="221"/>
    </row>
    <row r="50" spans="1:18">
      <c r="A50" s="198"/>
      <c r="B50" s="216" t="s">
        <v>80</v>
      </c>
      <c r="C50" s="206" t="s">
        <v>451</v>
      </c>
      <c r="D50" s="209">
        <v>20000</v>
      </c>
      <c r="E50" s="210">
        <f t="shared" ref="E50:I51" si="19">($D50/$R$1)</f>
        <v>229.88505747126436</v>
      </c>
      <c r="F50" s="210">
        <f t="shared" si="19"/>
        <v>229.88505747126436</v>
      </c>
      <c r="G50" s="210">
        <f t="shared" si="19"/>
        <v>229.88505747126436</v>
      </c>
      <c r="H50" s="210">
        <f t="shared" si="19"/>
        <v>229.88505747126436</v>
      </c>
      <c r="I50" s="210">
        <f t="shared" si="19"/>
        <v>229.88505747126436</v>
      </c>
      <c r="J50" s="210">
        <f t="shared" ref="J50:P50" si="20">($D50/$R$1)*130%</f>
        <v>298.85057471264366</v>
      </c>
      <c r="K50" s="210">
        <f t="shared" si="20"/>
        <v>298.85057471264366</v>
      </c>
      <c r="L50" s="210">
        <f t="shared" si="20"/>
        <v>298.85057471264366</v>
      </c>
      <c r="M50" s="210">
        <f t="shared" si="20"/>
        <v>298.85057471264366</v>
      </c>
      <c r="N50" s="210">
        <f t="shared" si="20"/>
        <v>298.85057471264366</v>
      </c>
      <c r="O50" s="210">
        <f t="shared" si="20"/>
        <v>298.85057471264366</v>
      </c>
      <c r="P50" s="210">
        <f t="shared" si="20"/>
        <v>298.85057471264366</v>
      </c>
      <c r="Q50" s="208">
        <f t="shared" si="15"/>
        <v>3241.3793103448279</v>
      </c>
    </row>
    <row r="51" spans="1:18">
      <c r="A51" s="198"/>
      <c r="B51" s="216" t="s">
        <v>74</v>
      </c>
      <c r="C51" s="206" t="s">
        <v>452</v>
      </c>
      <c r="D51" s="209">
        <v>2500</v>
      </c>
      <c r="E51" s="210">
        <f t="shared" si="19"/>
        <v>28.735632183908045</v>
      </c>
      <c r="F51" s="210">
        <f t="shared" si="19"/>
        <v>28.735632183908045</v>
      </c>
      <c r="G51" s="210">
        <f t="shared" si="19"/>
        <v>28.735632183908045</v>
      </c>
      <c r="H51" s="210">
        <f t="shared" si="19"/>
        <v>28.735632183908045</v>
      </c>
      <c r="I51" s="210">
        <f t="shared" si="19"/>
        <v>28.735632183908045</v>
      </c>
      <c r="J51" s="210">
        <f t="shared" ref="J51:P51" si="21">($D51/$R$1)</f>
        <v>28.735632183908045</v>
      </c>
      <c r="K51" s="210">
        <f t="shared" si="21"/>
        <v>28.735632183908045</v>
      </c>
      <c r="L51" s="210">
        <f t="shared" si="21"/>
        <v>28.735632183908045</v>
      </c>
      <c r="M51" s="210">
        <f t="shared" si="21"/>
        <v>28.735632183908045</v>
      </c>
      <c r="N51" s="210">
        <f t="shared" si="21"/>
        <v>28.735632183908045</v>
      </c>
      <c r="O51" s="210">
        <f t="shared" si="21"/>
        <v>28.735632183908045</v>
      </c>
      <c r="P51" s="210">
        <f t="shared" si="21"/>
        <v>28.735632183908045</v>
      </c>
      <c r="Q51" s="208">
        <f t="shared" si="15"/>
        <v>344.82758620689651</v>
      </c>
    </row>
    <row r="52" spans="1:18">
      <c r="A52" s="198"/>
      <c r="B52" s="198"/>
      <c r="C52" s="198"/>
      <c r="D52" s="198"/>
      <c r="E52" s="199"/>
      <c r="F52" s="199"/>
      <c r="G52" s="199"/>
      <c r="H52" s="199"/>
      <c r="I52" s="199"/>
      <c r="J52" s="199"/>
      <c r="K52" s="199"/>
      <c r="L52" s="199"/>
      <c r="M52" s="199"/>
      <c r="N52" s="199"/>
      <c r="O52" s="199"/>
      <c r="P52" s="199"/>
      <c r="Q52" s="199"/>
    </row>
    <row r="53" spans="1:18" ht="15.5">
      <c r="A53" s="181" t="s">
        <v>434</v>
      </c>
      <c r="B53" s="181"/>
      <c r="C53" s="181"/>
      <c r="D53" s="181"/>
      <c r="E53" s="182">
        <f t="shared" ref="E53:P53" si="22">SUM(E44:E52)</f>
        <v>2110.9503452373633</v>
      </c>
      <c r="F53" s="182">
        <f t="shared" si="22"/>
        <v>2110.9503452373633</v>
      </c>
      <c r="G53" s="182">
        <f t="shared" si="22"/>
        <v>1220.3065134099618</v>
      </c>
      <c r="H53" s="182">
        <f t="shared" si="22"/>
        <v>1220.3065134099618</v>
      </c>
      <c r="I53" s="182">
        <f t="shared" si="22"/>
        <v>1220.3065134099618</v>
      </c>
      <c r="J53" s="182">
        <f t="shared" si="22"/>
        <v>1577.7777777777781</v>
      </c>
      <c r="K53" s="182">
        <f t="shared" si="22"/>
        <v>1577.7777777777781</v>
      </c>
      <c r="L53" s="182">
        <f t="shared" si="22"/>
        <v>1577.7777777777781</v>
      </c>
      <c r="M53" s="182">
        <f t="shared" si="22"/>
        <v>1577.7777777777781</v>
      </c>
      <c r="N53" s="182">
        <f t="shared" si="22"/>
        <v>1577.7777777777781</v>
      </c>
      <c r="O53" s="182">
        <f t="shared" si="22"/>
        <v>1577.7777777777781</v>
      </c>
      <c r="P53" s="182">
        <f t="shared" si="22"/>
        <v>1577.7777777777781</v>
      </c>
      <c r="Q53" s="182">
        <f>SUM(E53:P53)</f>
        <v>18927.264675149054</v>
      </c>
    </row>
    <row r="54" spans="1:18">
      <c r="A54" s="198"/>
      <c r="B54" s="198"/>
      <c r="C54" s="198"/>
      <c r="D54" s="198"/>
      <c r="E54" s="199"/>
      <c r="F54" s="215"/>
      <c r="G54" s="215"/>
      <c r="H54" s="199"/>
      <c r="I54" s="199"/>
      <c r="J54" s="199"/>
      <c r="K54" s="199"/>
      <c r="L54" s="199"/>
      <c r="M54" s="199"/>
      <c r="N54" s="199"/>
      <c r="O54" s="199"/>
      <c r="P54" s="199"/>
      <c r="Q54" s="199"/>
    </row>
    <row r="55" spans="1:18" ht="15.5">
      <c r="A55" s="205" t="s">
        <v>712</v>
      </c>
      <c r="B55" s="198"/>
      <c r="C55" s="198"/>
      <c r="D55" s="222"/>
      <c r="E55" s="222"/>
      <c r="F55" s="199"/>
      <c r="G55" s="199"/>
      <c r="H55" s="199"/>
      <c r="I55" s="199"/>
      <c r="J55" s="199"/>
      <c r="K55" s="199"/>
      <c r="L55" s="199"/>
      <c r="M55" s="199"/>
      <c r="N55" s="199"/>
      <c r="O55" s="199"/>
      <c r="P55" s="199"/>
      <c r="Q55" s="199"/>
    </row>
    <row r="56" spans="1:18">
      <c r="A56" s="198"/>
      <c r="B56" s="216" t="s">
        <v>78</v>
      </c>
      <c r="C56" s="206" t="s">
        <v>435</v>
      </c>
      <c r="D56" s="209">
        <v>51.383565062388598</v>
      </c>
      <c r="E56" s="210">
        <f t="shared" ref="E56:P56" si="23">($D56*(E$11-E$14))/$R$1</f>
        <v>125.80114204929623</v>
      </c>
      <c r="F56" s="210">
        <f t="shared" si="23"/>
        <v>125.80114204929623</v>
      </c>
      <c r="G56" s="210">
        <f t="shared" si="23"/>
        <v>120.48560083594568</v>
      </c>
      <c r="H56" s="210">
        <f t="shared" si="23"/>
        <v>120.48560083594568</v>
      </c>
      <c r="I56" s="210">
        <f t="shared" si="23"/>
        <v>124.61991066855165</v>
      </c>
      <c r="J56" s="210">
        <f t="shared" si="23"/>
        <v>124.61991066855165</v>
      </c>
      <c r="K56" s="210">
        <f t="shared" si="23"/>
        <v>124.61991066855165</v>
      </c>
      <c r="L56" s="210">
        <f t="shared" si="23"/>
        <v>124.61991066855165</v>
      </c>
      <c r="M56" s="210">
        <f t="shared" si="23"/>
        <v>124.61991066855165</v>
      </c>
      <c r="N56" s="210">
        <f t="shared" si="23"/>
        <v>135.25099309525274</v>
      </c>
      <c r="O56" s="210">
        <f t="shared" si="23"/>
        <v>135.25099309525274</v>
      </c>
      <c r="P56" s="210">
        <f t="shared" si="23"/>
        <v>135.25099309525274</v>
      </c>
      <c r="Q56" s="208">
        <f t="shared" ref="Q56:Q66" si="24">SUM(E56:P56)</f>
        <v>1521.4260183990009</v>
      </c>
    </row>
    <row r="57" spans="1:18">
      <c r="A57" s="198"/>
      <c r="B57" s="198"/>
      <c r="C57" s="206" t="s">
        <v>439</v>
      </c>
      <c r="D57" s="209">
        <v>6500</v>
      </c>
      <c r="E57" s="210">
        <f t="shared" ref="E57:P57" si="25">($D57)/$R$1</f>
        <v>74.712643678160916</v>
      </c>
      <c r="F57" s="210">
        <f t="shared" si="25"/>
        <v>74.712643678160916</v>
      </c>
      <c r="G57" s="210">
        <f t="shared" si="25"/>
        <v>74.712643678160916</v>
      </c>
      <c r="H57" s="210">
        <f t="shared" si="25"/>
        <v>74.712643678160916</v>
      </c>
      <c r="I57" s="210">
        <f t="shared" si="25"/>
        <v>74.712643678160916</v>
      </c>
      <c r="J57" s="210">
        <f t="shared" si="25"/>
        <v>74.712643678160916</v>
      </c>
      <c r="K57" s="210">
        <f t="shared" si="25"/>
        <v>74.712643678160916</v>
      </c>
      <c r="L57" s="210">
        <f t="shared" si="25"/>
        <v>74.712643678160916</v>
      </c>
      <c r="M57" s="210">
        <f t="shared" si="25"/>
        <v>74.712643678160916</v>
      </c>
      <c r="N57" s="210">
        <f t="shared" si="25"/>
        <v>74.712643678160916</v>
      </c>
      <c r="O57" s="210">
        <f t="shared" si="25"/>
        <v>74.712643678160916</v>
      </c>
      <c r="P57" s="210">
        <f t="shared" si="25"/>
        <v>74.712643678160916</v>
      </c>
      <c r="Q57" s="208">
        <f t="shared" si="24"/>
        <v>896.55172413793105</v>
      </c>
    </row>
    <row r="58" spans="1:18">
      <c r="A58" s="198"/>
      <c r="B58" s="198"/>
      <c r="C58" s="206" t="s">
        <v>78</v>
      </c>
      <c r="D58" s="219">
        <v>169.72192513369001</v>
      </c>
      <c r="E58" s="210">
        <f t="shared" ref="E58:P58" si="26">($D58*(E$11-E$14))/$R$1</f>
        <v>415.52609256868931</v>
      </c>
      <c r="F58" s="210">
        <f t="shared" si="26"/>
        <v>415.52609256868931</v>
      </c>
      <c r="G58" s="210">
        <f t="shared" si="26"/>
        <v>397.96865203761797</v>
      </c>
      <c r="H58" s="210">
        <f t="shared" si="26"/>
        <v>397.96865203761797</v>
      </c>
      <c r="I58" s="210">
        <f t="shared" si="26"/>
        <v>411.6244391173401</v>
      </c>
      <c r="J58" s="210">
        <f t="shared" si="26"/>
        <v>411.6244391173401</v>
      </c>
      <c r="K58" s="210">
        <f t="shared" si="26"/>
        <v>411.6244391173401</v>
      </c>
      <c r="L58" s="210">
        <f t="shared" si="26"/>
        <v>411.6244391173401</v>
      </c>
      <c r="M58" s="210">
        <f t="shared" si="26"/>
        <v>411.6244391173401</v>
      </c>
      <c r="N58" s="210">
        <f t="shared" si="26"/>
        <v>446.73932017948289</v>
      </c>
      <c r="O58" s="210">
        <f t="shared" si="26"/>
        <v>446.73932017948289</v>
      </c>
      <c r="P58" s="210">
        <f t="shared" si="26"/>
        <v>446.73932017948289</v>
      </c>
      <c r="Q58" s="208">
        <f t="shared" si="24"/>
        <v>5025.3296453377634</v>
      </c>
    </row>
    <row r="59" spans="1:18">
      <c r="A59" s="198"/>
      <c r="B59" s="216" t="s">
        <v>88</v>
      </c>
      <c r="C59" s="206" t="s">
        <v>351</v>
      </c>
      <c r="D59" s="217"/>
      <c r="E59" s="210">
        <f t="shared" ref="E59:P59" si="27">($D59*(E$13+E$4))/$R$1</f>
        <v>0</v>
      </c>
      <c r="F59" s="210">
        <f t="shared" si="27"/>
        <v>0</v>
      </c>
      <c r="G59" s="210">
        <f t="shared" si="27"/>
        <v>0</v>
      </c>
      <c r="H59" s="210">
        <f t="shared" si="27"/>
        <v>0</v>
      </c>
      <c r="I59" s="210">
        <f t="shared" si="27"/>
        <v>0</v>
      </c>
      <c r="J59" s="210">
        <f t="shared" si="27"/>
        <v>0</v>
      </c>
      <c r="K59" s="210">
        <f t="shared" si="27"/>
        <v>0</v>
      </c>
      <c r="L59" s="210">
        <f t="shared" si="27"/>
        <v>0</v>
      </c>
      <c r="M59" s="210">
        <f t="shared" si="27"/>
        <v>0</v>
      </c>
      <c r="N59" s="210">
        <f t="shared" si="27"/>
        <v>0</v>
      </c>
      <c r="O59" s="210">
        <f t="shared" si="27"/>
        <v>0</v>
      </c>
      <c r="P59" s="210">
        <f t="shared" si="27"/>
        <v>0</v>
      </c>
      <c r="Q59" s="208">
        <f t="shared" si="24"/>
        <v>0</v>
      </c>
    </row>
    <row r="60" spans="1:18">
      <c r="A60" s="198"/>
      <c r="B60" s="198"/>
      <c r="C60" s="206" t="s">
        <v>447</v>
      </c>
      <c r="D60" s="209">
        <v>15000</v>
      </c>
      <c r="E60" s="210">
        <f t="shared" ref="E60:P60" si="28">($D60/$R$1)</f>
        <v>172.41379310344828</v>
      </c>
      <c r="F60" s="210">
        <f t="shared" si="28"/>
        <v>172.41379310344828</v>
      </c>
      <c r="G60" s="210">
        <f t="shared" si="28"/>
        <v>172.41379310344828</v>
      </c>
      <c r="H60" s="210">
        <f t="shared" si="28"/>
        <v>172.41379310344828</v>
      </c>
      <c r="I60" s="210">
        <f t="shared" si="28"/>
        <v>172.41379310344828</v>
      </c>
      <c r="J60" s="210">
        <f t="shared" si="28"/>
        <v>172.41379310344828</v>
      </c>
      <c r="K60" s="210">
        <f t="shared" si="28"/>
        <v>172.41379310344828</v>
      </c>
      <c r="L60" s="210">
        <f t="shared" si="28"/>
        <v>172.41379310344828</v>
      </c>
      <c r="M60" s="210">
        <f t="shared" si="28"/>
        <v>172.41379310344828</v>
      </c>
      <c r="N60" s="210">
        <f t="shared" si="28"/>
        <v>172.41379310344828</v>
      </c>
      <c r="O60" s="210">
        <f t="shared" si="28"/>
        <v>172.41379310344828</v>
      </c>
      <c r="P60" s="210">
        <f t="shared" si="28"/>
        <v>172.41379310344828</v>
      </c>
      <c r="Q60" s="208">
        <f t="shared" si="24"/>
        <v>2068.96551724138</v>
      </c>
    </row>
    <row r="61" spans="1:18">
      <c r="A61" s="198"/>
      <c r="B61" s="198"/>
      <c r="C61" s="206" t="s">
        <v>448</v>
      </c>
      <c r="D61" s="217"/>
      <c r="E61" s="210">
        <f t="shared" ref="E61:P61" si="29">($D61*(E$13+E$4))/$R$1</f>
        <v>0</v>
      </c>
      <c r="F61" s="210">
        <f t="shared" si="29"/>
        <v>0</v>
      </c>
      <c r="G61" s="210">
        <f t="shared" si="29"/>
        <v>0</v>
      </c>
      <c r="H61" s="210">
        <f t="shared" si="29"/>
        <v>0</v>
      </c>
      <c r="I61" s="210">
        <f t="shared" si="29"/>
        <v>0</v>
      </c>
      <c r="J61" s="210">
        <f t="shared" si="29"/>
        <v>0</v>
      </c>
      <c r="K61" s="210">
        <f t="shared" si="29"/>
        <v>0</v>
      </c>
      <c r="L61" s="210">
        <f t="shared" si="29"/>
        <v>0</v>
      </c>
      <c r="M61" s="210">
        <f t="shared" si="29"/>
        <v>0</v>
      </c>
      <c r="N61" s="210">
        <f t="shared" si="29"/>
        <v>0</v>
      </c>
      <c r="O61" s="210">
        <f t="shared" si="29"/>
        <v>0</v>
      </c>
      <c r="P61" s="210">
        <f t="shared" si="29"/>
        <v>0</v>
      </c>
      <c r="Q61" s="208">
        <f t="shared" si="24"/>
        <v>0</v>
      </c>
    </row>
    <row r="62" spans="1:18">
      <c r="A62" s="198"/>
      <c r="B62" s="198"/>
      <c r="C62" s="206" t="s">
        <v>88</v>
      </c>
      <c r="D62" s="209">
        <v>1000</v>
      </c>
      <c r="E62" s="210">
        <f t="shared" ref="E62:P62" si="30">($D62/$R$1)</f>
        <v>11.494252873563218</v>
      </c>
      <c r="F62" s="210">
        <f t="shared" si="30"/>
        <v>11.494252873563218</v>
      </c>
      <c r="G62" s="210">
        <f t="shared" si="30"/>
        <v>11.494252873563218</v>
      </c>
      <c r="H62" s="210">
        <f t="shared" si="30"/>
        <v>11.494252873563218</v>
      </c>
      <c r="I62" s="210">
        <f t="shared" si="30"/>
        <v>11.494252873563218</v>
      </c>
      <c r="J62" s="210">
        <f t="shared" si="30"/>
        <v>11.494252873563218</v>
      </c>
      <c r="K62" s="210">
        <f t="shared" si="30"/>
        <v>11.494252873563218</v>
      </c>
      <c r="L62" s="210">
        <f t="shared" si="30"/>
        <v>11.494252873563218</v>
      </c>
      <c r="M62" s="210">
        <f t="shared" si="30"/>
        <v>11.494252873563218</v>
      </c>
      <c r="N62" s="210">
        <f t="shared" si="30"/>
        <v>11.494252873563218</v>
      </c>
      <c r="O62" s="210">
        <f t="shared" si="30"/>
        <v>11.494252873563218</v>
      </c>
      <c r="P62" s="210">
        <f t="shared" si="30"/>
        <v>11.494252873563218</v>
      </c>
      <c r="Q62" s="208">
        <f t="shared" si="24"/>
        <v>137.93103448275858</v>
      </c>
    </row>
    <row r="63" spans="1:18">
      <c r="A63" s="198"/>
      <c r="B63" s="198"/>
      <c r="C63" s="206" t="s">
        <v>450</v>
      </c>
      <c r="D63" s="209">
        <v>22787</v>
      </c>
      <c r="E63" s="210"/>
      <c r="F63" s="210"/>
      <c r="G63" s="210"/>
      <c r="H63" s="210"/>
      <c r="I63" s="210"/>
      <c r="J63" s="210">
        <f>($D63/$R$1)</f>
        <v>261.91954022988506</v>
      </c>
      <c r="K63" s="210"/>
      <c r="L63" s="210"/>
      <c r="M63" s="210"/>
      <c r="N63" s="210"/>
      <c r="O63" s="210"/>
      <c r="P63" s="210"/>
      <c r="Q63" s="208">
        <f t="shared" si="24"/>
        <v>261.91954022988506</v>
      </c>
    </row>
    <row r="64" spans="1:18">
      <c r="A64" s="198"/>
      <c r="B64" s="198"/>
      <c r="C64" s="206" t="s">
        <v>713</v>
      </c>
      <c r="D64" s="209"/>
      <c r="E64" s="210">
        <v>1150</v>
      </c>
      <c r="F64" s="210">
        <v>1150</v>
      </c>
      <c r="G64" s="210"/>
      <c r="H64" s="210"/>
      <c r="I64" s="210"/>
      <c r="J64" s="210"/>
      <c r="K64" s="210"/>
      <c r="L64" s="210"/>
      <c r="M64" s="210"/>
      <c r="N64" s="210"/>
      <c r="O64" s="210"/>
      <c r="P64" s="210"/>
      <c r="Q64" s="208">
        <f t="shared" si="24"/>
        <v>2300</v>
      </c>
    </row>
    <row r="65" spans="1:18">
      <c r="A65" s="198"/>
      <c r="B65" s="198"/>
      <c r="C65" s="206" t="s">
        <v>714</v>
      </c>
      <c r="D65" s="178">
        <v>3400</v>
      </c>
      <c r="E65" s="210"/>
      <c r="F65" s="210">
        <f>$D65/2</f>
        <v>1700</v>
      </c>
      <c r="G65" s="210">
        <f t="shared" ref="G65:P65" si="31">$D65</f>
        <v>3400</v>
      </c>
      <c r="H65" s="210">
        <f t="shared" si="31"/>
        <v>3400</v>
      </c>
      <c r="I65" s="210">
        <f t="shared" si="31"/>
        <v>3400</v>
      </c>
      <c r="J65" s="210">
        <f t="shared" si="31"/>
        <v>3400</v>
      </c>
      <c r="K65" s="210">
        <f t="shared" si="31"/>
        <v>3400</v>
      </c>
      <c r="L65" s="210">
        <f t="shared" si="31"/>
        <v>3400</v>
      </c>
      <c r="M65" s="210">
        <f t="shared" si="31"/>
        <v>3400</v>
      </c>
      <c r="N65" s="210">
        <f t="shared" si="31"/>
        <v>3400</v>
      </c>
      <c r="O65" s="210">
        <f t="shared" si="31"/>
        <v>3400</v>
      </c>
      <c r="P65" s="210">
        <f t="shared" si="31"/>
        <v>3400</v>
      </c>
      <c r="Q65" s="208">
        <f t="shared" si="24"/>
        <v>35700</v>
      </c>
    </row>
    <row r="66" spans="1:18">
      <c r="A66" s="198"/>
      <c r="B66" s="198"/>
      <c r="C66" s="206" t="s">
        <v>715</v>
      </c>
      <c r="D66" s="209"/>
      <c r="E66" s="210">
        <f t="shared" ref="E66:P66" si="32">($D66*(E$13+E$4))/$R$1</f>
        <v>0</v>
      </c>
      <c r="F66" s="210">
        <f t="shared" si="32"/>
        <v>0</v>
      </c>
      <c r="G66" s="210">
        <f t="shared" si="32"/>
        <v>0</v>
      </c>
      <c r="H66" s="210">
        <f t="shared" si="32"/>
        <v>0</v>
      </c>
      <c r="I66" s="210">
        <f t="shared" si="32"/>
        <v>0</v>
      </c>
      <c r="J66" s="210">
        <f t="shared" si="32"/>
        <v>0</v>
      </c>
      <c r="K66" s="210">
        <f t="shared" si="32"/>
        <v>0</v>
      </c>
      <c r="L66" s="210">
        <f t="shared" si="32"/>
        <v>0</v>
      </c>
      <c r="M66" s="210">
        <f t="shared" si="32"/>
        <v>0</v>
      </c>
      <c r="N66" s="210">
        <f t="shared" si="32"/>
        <v>0</v>
      </c>
      <c r="O66" s="210">
        <f t="shared" si="32"/>
        <v>0</v>
      </c>
      <c r="P66" s="210">
        <f t="shared" si="32"/>
        <v>0</v>
      </c>
      <c r="Q66" s="208">
        <f t="shared" si="24"/>
        <v>0</v>
      </c>
    </row>
    <row r="67" spans="1:18">
      <c r="A67" s="198"/>
      <c r="B67" s="216"/>
      <c r="C67" s="206"/>
      <c r="D67" s="217"/>
      <c r="E67" s="210"/>
      <c r="F67" s="210"/>
      <c r="G67" s="210"/>
      <c r="H67" s="210"/>
      <c r="I67" s="210"/>
      <c r="J67" s="210"/>
      <c r="K67" s="210"/>
      <c r="L67" s="210"/>
      <c r="M67" s="210"/>
      <c r="N67" s="210"/>
      <c r="O67" s="210"/>
      <c r="P67" s="210"/>
      <c r="Q67" s="208"/>
    </row>
    <row r="68" spans="1:18">
      <c r="A68" s="198"/>
      <c r="B68" s="198"/>
      <c r="C68" s="198"/>
      <c r="D68" s="222"/>
      <c r="E68" s="199"/>
      <c r="F68" s="199"/>
      <c r="G68" s="199"/>
      <c r="H68" s="199"/>
      <c r="I68" s="199"/>
      <c r="J68" s="199"/>
      <c r="K68" s="199"/>
      <c r="L68" s="199"/>
      <c r="M68" s="199"/>
      <c r="N68" s="199"/>
      <c r="O68" s="199"/>
      <c r="P68" s="199"/>
      <c r="Q68" s="199"/>
    </row>
    <row r="69" spans="1:18" ht="15.5">
      <c r="A69" s="181" t="s">
        <v>712</v>
      </c>
      <c r="B69" s="181"/>
      <c r="C69" s="181"/>
      <c r="D69" s="181"/>
      <c r="E69" s="182">
        <f t="shared" ref="E69:P69" si="33">SUM(E56:E68)</f>
        <v>1949.9479242731582</v>
      </c>
      <c r="F69" s="182">
        <f t="shared" si="33"/>
        <v>3649.9479242731582</v>
      </c>
      <c r="G69" s="182">
        <f t="shared" si="33"/>
        <v>4177.0749425287358</v>
      </c>
      <c r="H69" s="182">
        <f t="shared" si="33"/>
        <v>4177.0749425287358</v>
      </c>
      <c r="I69" s="182">
        <f t="shared" si="33"/>
        <v>4194.8650394410643</v>
      </c>
      <c r="J69" s="182">
        <f t="shared" si="33"/>
        <v>4456.7845796709489</v>
      </c>
      <c r="K69" s="182">
        <f t="shared" si="33"/>
        <v>4194.8650394410643</v>
      </c>
      <c r="L69" s="182">
        <f t="shared" si="33"/>
        <v>4194.8650394410643</v>
      </c>
      <c r="M69" s="182">
        <f t="shared" si="33"/>
        <v>4194.8650394410643</v>
      </c>
      <c r="N69" s="182">
        <f t="shared" si="33"/>
        <v>4240.611002929908</v>
      </c>
      <c r="O69" s="182">
        <f t="shared" si="33"/>
        <v>4240.611002929908</v>
      </c>
      <c r="P69" s="182">
        <f t="shared" si="33"/>
        <v>4240.611002929908</v>
      </c>
      <c r="Q69" s="182">
        <f>SUM(E69:P69)</f>
        <v>47912.123479828719</v>
      </c>
    </row>
    <row r="70" spans="1:18">
      <c r="A70" s="198"/>
      <c r="B70" s="198" t="s">
        <v>716</v>
      </c>
      <c r="C70" s="198"/>
      <c r="D70" s="198"/>
      <c r="E70" s="223">
        <v>196</v>
      </c>
      <c r="F70" s="223">
        <v>196</v>
      </c>
      <c r="G70" s="223">
        <v>196</v>
      </c>
      <c r="H70" s="223">
        <v>196</v>
      </c>
      <c r="I70" s="223">
        <v>196</v>
      </c>
      <c r="J70" s="223">
        <v>196</v>
      </c>
      <c r="K70" s="223">
        <v>196</v>
      </c>
      <c r="L70" s="223">
        <v>196</v>
      </c>
      <c r="M70" s="223">
        <v>196</v>
      </c>
      <c r="N70" s="223">
        <v>196</v>
      </c>
      <c r="O70" s="223">
        <v>196</v>
      </c>
      <c r="P70" s="223">
        <v>196</v>
      </c>
      <c r="Q70" s="199"/>
    </row>
    <row r="71" spans="1:18">
      <c r="A71" s="198"/>
      <c r="B71" s="198" t="s">
        <v>717</v>
      </c>
      <c r="C71" s="198"/>
      <c r="D71" s="198"/>
      <c r="E71" s="223">
        <v>68</v>
      </c>
      <c r="F71" s="223">
        <v>68</v>
      </c>
      <c r="G71" s="223">
        <v>68</v>
      </c>
      <c r="H71" s="223">
        <v>68</v>
      </c>
      <c r="I71" s="223">
        <v>68</v>
      </c>
      <c r="J71" s="223">
        <v>68</v>
      </c>
      <c r="K71" s="223">
        <v>68</v>
      </c>
      <c r="L71" s="223">
        <v>68</v>
      </c>
      <c r="M71" s="223">
        <v>68</v>
      </c>
      <c r="N71" s="223">
        <v>68</v>
      </c>
      <c r="O71" s="223">
        <v>68</v>
      </c>
      <c r="P71" s="223">
        <v>68</v>
      </c>
      <c r="Q71" s="199"/>
    </row>
    <row r="72" spans="1:18" ht="15.5">
      <c r="A72" s="205" t="s">
        <v>718</v>
      </c>
      <c r="B72" s="198" t="s">
        <v>719</v>
      </c>
      <c r="C72" s="121" t="s">
        <v>455</v>
      </c>
      <c r="D72" s="224">
        <v>1000</v>
      </c>
      <c r="E72" s="223">
        <f>($D72*E$70)/$R$1</f>
        <v>2252.8735632183907</v>
      </c>
      <c r="F72" s="223">
        <f>($D72*F$70)/$R$1</f>
        <v>2252.8735632183907</v>
      </c>
      <c r="G72" s="223">
        <f>($D72*G$70)/$R$1</f>
        <v>2252.8735632183907</v>
      </c>
      <c r="H72" s="223">
        <f>($D72*H$70)/$R$1</f>
        <v>2252.8735632183907</v>
      </c>
      <c r="I72" s="223">
        <f t="shared" ref="I72:P72" si="34">(($D72*I$70)/$R$1)*130%</f>
        <v>2928.7356321839079</v>
      </c>
      <c r="J72" s="223">
        <f t="shared" si="34"/>
        <v>2928.7356321839079</v>
      </c>
      <c r="K72" s="223">
        <f t="shared" si="34"/>
        <v>2928.7356321839079</v>
      </c>
      <c r="L72" s="223">
        <f t="shared" si="34"/>
        <v>2928.7356321839079</v>
      </c>
      <c r="M72" s="223">
        <f t="shared" si="34"/>
        <v>2928.7356321839079</v>
      </c>
      <c r="N72" s="223">
        <f t="shared" si="34"/>
        <v>2928.7356321839079</v>
      </c>
      <c r="O72" s="223">
        <f t="shared" si="34"/>
        <v>2928.7356321839079</v>
      </c>
      <c r="P72" s="223">
        <f t="shared" si="34"/>
        <v>2928.7356321839079</v>
      </c>
      <c r="Q72" s="208">
        <f>SUM(E72:P72)</f>
        <v>32441.379310344819</v>
      </c>
    </row>
    <row r="73" spans="1:18" ht="14.5">
      <c r="A73" s="198"/>
      <c r="B73" s="198" t="s">
        <v>720</v>
      </c>
      <c r="C73" s="121" t="s">
        <v>721</v>
      </c>
      <c r="D73" s="224">
        <v>1000</v>
      </c>
      <c r="E73" s="223">
        <f>($D73*E$71)/$R$1</f>
        <v>781.60919540229884</v>
      </c>
      <c r="F73" s="223">
        <f>($D73*F$71)/$R$1</f>
        <v>781.60919540229884</v>
      </c>
      <c r="G73" s="223">
        <f>($D73*G$71)/$R$1</f>
        <v>781.60919540229884</v>
      </c>
      <c r="H73" s="223">
        <f>($D73*H$71)/$R$1</f>
        <v>781.60919540229884</v>
      </c>
      <c r="I73" s="223">
        <f t="shared" ref="I73:P73" si="35">(($D73*I$71)/$R$1)*130%</f>
        <v>1016.0919540229885</v>
      </c>
      <c r="J73" s="223">
        <f t="shared" si="35"/>
        <v>1016.0919540229885</v>
      </c>
      <c r="K73" s="223">
        <f t="shared" si="35"/>
        <v>1016.0919540229885</v>
      </c>
      <c r="L73" s="223">
        <f t="shared" si="35"/>
        <v>1016.0919540229885</v>
      </c>
      <c r="M73" s="223">
        <f t="shared" si="35"/>
        <v>1016.0919540229885</v>
      </c>
      <c r="N73" s="223">
        <f t="shared" si="35"/>
        <v>1016.0919540229885</v>
      </c>
      <c r="O73" s="223">
        <f t="shared" si="35"/>
        <v>1016.0919540229885</v>
      </c>
      <c r="P73" s="223">
        <f t="shared" si="35"/>
        <v>1016.0919540229885</v>
      </c>
      <c r="Q73" s="208">
        <f>SUM(E73:P73)</f>
        <v>11255.172413793103</v>
      </c>
    </row>
    <row r="74" spans="1:18" ht="15.5">
      <c r="A74" s="181" t="s">
        <v>718</v>
      </c>
      <c r="B74" s="181"/>
      <c r="C74" s="181"/>
      <c r="D74" s="181"/>
      <c r="E74" s="182">
        <f t="shared" ref="E74:P74" si="36">SUM(E72:E73)</f>
        <v>3034.4827586206893</v>
      </c>
      <c r="F74" s="182">
        <f t="shared" si="36"/>
        <v>3034.4827586206893</v>
      </c>
      <c r="G74" s="182">
        <f t="shared" si="36"/>
        <v>3034.4827586206893</v>
      </c>
      <c r="H74" s="182">
        <f t="shared" si="36"/>
        <v>3034.4827586206893</v>
      </c>
      <c r="I74" s="182">
        <f t="shared" si="36"/>
        <v>3944.8275862068963</v>
      </c>
      <c r="J74" s="182">
        <f t="shared" si="36"/>
        <v>3944.8275862068963</v>
      </c>
      <c r="K74" s="182">
        <f t="shared" si="36"/>
        <v>3944.8275862068963</v>
      </c>
      <c r="L74" s="182">
        <f t="shared" si="36"/>
        <v>3944.8275862068963</v>
      </c>
      <c r="M74" s="182">
        <f t="shared" si="36"/>
        <v>3944.8275862068963</v>
      </c>
      <c r="N74" s="182">
        <f t="shared" si="36"/>
        <v>3944.8275862068963</v>
      </c>
      <c r="O74" s="182">
        <f t="shared" si="36"/>
        <v>3944.8275862068963</v>
      </c>
      <c r="P74" s="182">
        <f t="shared" si="36"/>
        <v>3944.8275862068963</v>
      </c>
      <c r="Q74" s="182">
        <f>SUM(E74:P74)</f>
        <v>43696.551724137928</v>
      </c>
    </row>
    <row r="75" spans="1:18">
      <c r="A75" s="198"/>
      <c r="B75" s="198"/>
      <c r="C75" s="198"/>
      <c r="D75" s="198"/>
      <c r="E75" s="199"/>
      <c r="F75" s="199"/>
      <c r="G75" s="199"/>
      <c r="H75" s="199"/>
      <c r="I75" s="199"/>
      <c r="J75" s="199"/>
      <c r="K75" s="199"/>
      <c r="L75" s="199"/>
      <c r="M75" s="199"/>
      <c r="N75" s="199"/>
      <c r="O75" s="199"/>
      <c r="P75" s="199"/>
      <c r="Q75" s="199"/>
    </row>
    <row r="76" spans="1:18" ht="15.5">
      <c r="A76" s="205" t="s">
        <v>661</v>
      </c>
      <c r="B76" s="225" t="s">
        <v>95</v>
      </c>
      <c r="C76" s="198"/>
      <c r="D76" s="178">
        <f>1200/87</f>
        <v>13.793103448275861</v>
      </c>
      <c r="E76" s="226">
        <f>$D76*E11</f>
        <v>3765.5172413793102</v>
      </c>
      <c r="F76" s="226">
        <f>$D76*F11</f>
        <v>3765.5172413793102</v>
      </c>
      <c r="G76" s="226">
        <f>$D76*G11</f>
        <v>3434.4827586206893</v>
      </c>
      <c r="H76" s="226">
        <f>$D76*H11</f>
        <v>3434.4827586206893</v>
      </c>
      <c r="I76" s="226">
        <f t="shared" ref="I76:P76" si="37">($D76*I11)*130%</f>
        <v>4632.1839080459768</v>
      </c>
      <c r="J76" s="226">
        <f t="shared" si="37"/>
        <v>4632.1839080459768</v>
      </c>
      <c r="K76" s="226">
        <f t="shared" si="37"/>
        <v>4632.1839080459768</v>
      </c>
      <c r="L76" s="226">
        <f t="shared" si="37"/>
        <v>4632.1839080459768</v>
      </c>
      <c r="M76" s="226">
        <f t="shared" si="37"/>
        <v>4632.1839080459768</v>
      </c>
      <c r="N76" s="226">
        <f t="shared" si="37"/>
        <v>5062.5287356321833</v>
      </c>
      <c r="O76" s="226">
        <f t="shared" si="37"/>
        <v>5062.5287356321833</v>
      </c>
      <c r="P76" s="226">
        <f t="shared" si="37"/>
        <v>5062.5287356321833</v>
      </c>
      <c r="Q76" s="208">
        <f t="shared" ref="Q76:Q86" si="38">SUM(E76:P76)</f>
        <v>52748.505747126437</v>
      </c>
    </row>
    <row r="77" spans="1:18" ht="14.5">
      <c r="A77" s="198"/>
      <c r="B77" s="225" t="s">
        <v>91</v>
      </c>
      <c r="C77" s="198" t="s">
        <v>722</v>
      </c>
      <c r="D77" s="227">
        <v>0.01</v>
      </c>
      <c r="E77" s="207">
        <f t="shared" ref="E77:P77" si="39">$D77*(E$15+E$16+E$17+E$18)</f>
        <v>962.72413793103453</v>
      </c>
      <c r="F77" s="207">
        <f t="shared" si="39"/>
        <v>962.72413793103453</v>
      </c>
      <c r="G77" s="207">
        <f t="shared" si="39"/>
        <v>848.72413793103453</v>
      </c>
      <c r="H77" s="207">
        <f t="shared" si="39"/>
        <v>848.72413793103453</v>
      </c>
      <c r="I77" s="207">
        <f t="shared" si="39"/>
        <v>886.05747126436768</v>
      </c>
      <c r="J77" s="207">
        <f t="shared" si="39"/>
        <v>886.05747126436768</v>
      </c>
      <c r="K77" s="207">
        <f t="shared" si="39"/>
        <v>886.05747126436768</v>
      </c>
      <c r="L77" s="207">
        <f t="shared" si="39"/>
        <v>886.05747126436768</v>
      </c>
      <c r="M77" s="207">
        <f t="shared" si="39"/>
        <v>886.05747126436768</v>
      </c>
      <c r="N77" s="207">
        <f t="shared" si="39"/>
        <v>982.05747126436768</v>
      </c>
      <c r="O77" s="207">
        <f t="shared" si="39"/>
        <v>982.05747126436768</v>
      </c>
      <c r="P77" s="207">
        <f t="shared" si="39"/>
        <v>982.05747126436768</v>
      </c>
      <c r="Q77" s="208">
        <f t="shared" si="38"/>
        <v>10999.356321839081</v>
      </c>
      <c r="R77" s="221"/>
    </row>
    <row r="78" spans="1:18" ht="14.5">
      <c r="A78" s="198"/>
      <c r="B78" s="225" t="s">
        <v>85</v>
      </c>
      <c r="C78" s="198" t="s">
        <v>723</v>
      </c>
      <c r="D78" s="209">
        <v>836838</v>
      </c>
      <c r="E78" s="199"/>
      <c r="F78" s="199"/>
      <c r="G78" s="199"/>
      <c r="H78" s="199"/>
      <c r="I78" s="199"/>
      <c r="J78" s="199"/>
      <c r="K78" s="199"/>
      <c r="L78" s="199"/>
      <c r="M78" s="199"/>
      <c r="N78" s="228">
        <f>D78/$R$1</f>
        <v>9618.8275862068967</v>
      </c>
      <c r="O78" s="199"/>
      <c r="P78" s="199"/>
      <c r="Q78" s="208">
        <f t="shared" si="38"/>
        <v>9618.8275862068967</v>
      </c>
    </row>
    <row r="79" spans="1:18" ht="14.5">
      <c r="A79" s="198"/>
      <c r="B79" s="225" t="s">
        <v>90</v>
      </c>
      <c r="C79" s="198" t="s">
        <v>724</v>
      </c>
      <c r="D79" s="229">
        <v>750</v>
      </c>
      <c r="E79" s="210"/>
      <c r="F79" s="210"/>
      <c r="G79" s="210">
        <f>($D79*G$11/$R$1)</f>
        <v>2146.5517241379312</v>
      </c>
      <c r="H79" s="210"/>
      <c r="I79" s="210"/>
      <c r="J79" s="210">
        <f>($D79*J$11/$R$1)</f>
        <v>2227.0114942528735</v>
      </c>
      <c r="K79" s="210"/>
      <c r="L79" s="210"/>
      <c r="M79" s="210">
        <f>($D79*M$11/$R$1)</f>
        <v>2227.0114942528735</v>
      </c>
      <c r="N79" s="210"/>
      <c r="O79" s="210"/>
      <c r="P79" s="210">
        <f>($D79/$R$1)</f>
        <v>8.6206896551724146</v>
      </c>
      <c r="Q79" s="208">
        <f t="shared" si="38"/>
        <v>6609.1954022988502</v>
      </c>
    </row>
    <row r="80" spans="1:18" ht="14.5">
      <c r="A80" s="198"/>
      <c r="B80" s="225" t="s">
        <v>475</v>
      </c>
      <c r="C80" s="198" t="s">
        <v>725</v>
      </c>
      <c r="D80" s="229">
        <v>100</v>
      </c>
      <c r="E80" s="210">
        <f>($D80*E$11/$R$1)</f>
        <v>313.79310344827587</v>
      </c>
      <c r="F80" s="228">
        <f>($D80*F$11/$R$1)</f>
        <v>313.79310344827587</v>
      </c>
      <c r="G80" s="228">
        <f>($D80*G$11/$R$1)</f>
        <v>286.20689655172413</v>
      </c>
      <c r="H80" s="228">
        <f>($D80*H$11/$R$1)</f>
        <v>286.20689655172413</v>
      </c>
      <c r="I80" s="228">
        <f>($D80*I$11/$R$1)</f>
        <v>296.9348659003831</v>
      </c>
      <c r="J80" s="228">
        <f>($D80*J$11/$R$1)</f>
        <v>296.9348659003831</v>
      </c>
      <c r="K80" s="228">
        <f>($D80*K$11/$R$1)</f>
        <v>296.9348659003831</v>
      </c>
      <c r="L80" s="228">
        <f>($D80*L$11/$R$1)</f>
        <v>296.9348659003831</v>
      </c>
      <c r="M80" s="228">
        <f>($D80*M$11/$R$1)</f>
        <v>296.9348659003831</v>
      </c>
      <c r="N80" s="228">
        <f>($D80*N$11/$R$1)</f>
        <v>324.52107279693485</v>
      </c>
      <c r="O80" s="228">
        <f>($D80*O$11/$R$1)</f>
        <v>324.52107279693485</v>
      </c>
      <c r="P80" s="228">
        <f>($D80*P$11/$R$1)</f>
        <v>324.52107279693485</v>
      </c>
      <c r="Q80" s="208">
        <f t="shared" si="38"/>
        <v>3658.2375478927197</v>
      </c>
    </row>
    <row r="81" spans="1:17" ht="14.5">
      <c r="A81" s="198"/>
      <c r="B81" s="225" t="s">
        <v>86</v>
      </c>
      <c r="C81" s="198" t="s">
        <v>726</v>
      </c>
      <c r="D81" s="209">
        <v>10000</v>
      </c>
      <c r="E81" s="199"/>
      <c r="F81" s="199"/>
      <c r="G81" s="199"/>
      <c r="H81" s="199"/>
      <c r="I81" s="199"/>
      <c r="J81" s="199"/>
      <c r="K81" s="199"/>
      <c r="L81" s="228">
        <f>D81/$R$1</f>
        <v>114.94252873563218</v>
      </c>
      <c r="M81" s="199"/>
      <c r="N81" s="199"/>
      <c r="O81" s="199"/>
      <c r="P81" s="199"/>
      <c r="Q81" s="208">
        <f t="shared" si="38"/>
        <v>114.94252873563218</v>
      </c>
    </row>
    <row r="82" spans="1:17" ht="14.5">
      <c r="A82" s="198"/>
      <c r="B82" s="225" t="s">
        <v>84</v>
      </c>
      <c r="C82" s="198" t="s">
        <v>727</v>
      </c>
      <c r="D82" s="209">
        <v>68000</v>
      </c>
      <c r="E82" s="199"/>
      <c r="F82" s="199"/>
      <c r="G82" s="199"/>
      <c r="H82" s="199"/>
      <c r="I82" s="199"/>
      <c r="J82" s="199"/>
      <c r="K82" s="199"/>
      <c r="L82" s="199"/>
      <c r="M82" s="228">
        <f>D82/R1</f>
        <v>781.60919540229884</v>
      </c>
      <c r="N82" s="199"/>
      <c r="O82" s="199"/>
      <c r="P82" s="199"/>
      <c r="Q82" s="208">
        <f t="shared" si="38"/>
        <v>781.60919540229884</v>
      </c>
    </row>
    <row r="83" spans="1:17" ht="14.5">
      <c r="A83" s="198"/>
      <c r="B83" s="225" t="s">
        <v>93</v>
      </c>
      <c r="C83" s="198"/>
      <c r="D83" s="198"/>
      <c r="E83" s="199"/>
      <c r="F83" s="199"/>
      <c r="G83" s="199"/>
      <c r="H83" s="199"/>
      <c r="I83" s="199"/>
      <c r="J83" s="199"/>
      <c r="K83" s="199"/>
      <c r="L83" s="199"/>
      <c r="M83" s="199"/>
      <c r="N83" s="199"/>
      <c r="O83" s="199"/>
      <c r="P83" s="199"/>
      <c r="Q83" s="208">
        <f t="shared" si="38"/>
        <v>0</v>
      </c>
    </row>
    <row r="84" spans="1:17" ht="14.5">
      <c r="A84" s="198"/>
      <c r="B84" s="225" t="s">
        <v>61</v>
      </c>
      <c r="C84" s="198"/>
      <c r="D84" s="198"/>
      <c r="E84" s="199"/>
      <c r="F84" s="199"/>
      <c r="G84" s="199"/>
      <c r="H84" s="199"/>
      <c r="I84" s="199"/>
      <c r="J84" s="199"/>
      <c r="K84" s="199"/>
      <c r="L84" s="199"/>
      <c r="M84" s="199"/>
      <c r="N84" s="199"/>
      <c r="O84" s="199"/>
      <c r="P84" s="199"/>
      <c r="Q84" s="208">
        <f t="shared" si="38"/>
        <v>0</v>
      </c>
    </row>
    <row r="85" spans="1:17">
      <c r="A85" s="198"/>
      <c r="B85" s="198"/>
      <c r="C85" s="198"/>
      <c r="D85" s="198"/>
      <c r="E85" s="199"/>
      <c r="F85" s="199"/>
      <c r="G85" s="199"/>
      <c r="H85" s="199"/>
      <c r="I85" s="199"/>
      <c r="J85" s="199"/>
      <c r="K85" s="199"/>
      <c r="L85" s="199"/>
      <c r="M85" s="199"/>
      <c r="N85" s="199"/>
      <c r="O85" s="199"/>
      <c r="P85" s="199"/>
      <c r="Q85" s="208">
        <f t="shared" si="38"/>
        <v>0</v>
      </c>
    </row>
    <row r="86" spans="1:17" ht="15.5">
      <c r="A86" s="181" t="s">
        <v>661</v>
      </c>
      <c r="B86" s="181"/>
      <c r="C86" s="181"/>
      <c r="D86" s="181"/>
      <c r="E86" s="182">
        <f t="shared" ref="E86:P86" si="40">SUM(E76:E85)</f>
        <v>5042.0344827586214</v>
      </c>
      <c r="F86" s="182">
        <f t="shared" si="40"/>
        <v>5042.0344827586214</v>
      </c>
      <c r="G86" s="182">
        <f t="shared" si="40"/>
        <v>6715.9655172413786</v>
      </c>
      <c r="H86" s="182">
        <f t="shared" si="40"/>
        <v>4569.4137931034475</v>
      </c>
      <c r="I86" s="182">
        <f t="shared" si="40"/>
        <v>5815.1762452107268</v>
      </c>
      <c r="J86" s="182">
        <f t="shared" si="40"/>
        <v>8042.1877394636012</v>
      </c>
      <c r="K86" s="182">
        <f t="shared" si="40"/>
        <v>5815.1762452107268</v>
      </c>
      <c r="L86" s="182">
        <f t="shared" si="40"/>
        <v>5930.1187739463594</v>
      </c>
      <c r="M86" s="182">
        <f t="shared" si="40"/>
        <v>8823.7969348659008</v>
      </c>
      <c r="N86" s="182">
        <f t="shared" si="40"/>
        <v>15987.934865900383</v>
      </c>
      <c r="O86" s="182">
        <f t="shared" si="40"/>
        <v>6369.1072796934859</v>
      </c>
      <c r="P86" s="182">
        <f t="shared" si="40"/>
        <v>6377.727969348658</v>
      </c>
      <c r="Q86" s="182">
        <f t="shared" si="38"/>
        <v>84530.674329501926</v>
      </c>
    </row>
    <row r="87" spans="1:17">
      <c r="A87" s="198"/>
      <c r="B87" s="198"/>
      <c r="C87" s="198"/>
      <c r="D87" s="198"/>
      <c r="E87" s="199"/>
      <c r="F87" s="199"/>
      <c r="G87" s="199"/>
      <c r="H87" s="199"/>
      <c r="I87" s="199"/>
      <c r="J87" s="199"/>
      <c r="K87" s="199"/>
      <c r="L87" s="199"/>
      <c r="M87" s="199"/>
      <c r="N87" s="199"/>
      <c r="O87" s="199"/>
      <c r="P87" s="199"/>
      <c r="Q87" s="199"/>
    </row>
    <row r="88" spans="1:17" s="235" customFormat="1" ht="15.5">
      <c r="A88" s="230" t="s">
        <v>728</v>
      </c>
      <c r="B88" s="231" t="s">
        <v>147</v>
      </c>
      <c r="C88" s="167">
        <v>1</v>
      </c>
      <c r="D88" s="232">
        <v>9945</v>
      </c>
      <c r="E88" s="233">
        <f t="shared" ref="E88:P91" si="41">$C88*$D88</f>
        <v>9945</v>
      </c>
      <c r="F88" s="233">
        <f t="shared" si="41"/>
        <v>9945</v>
      </c>
      <c r="G88" s="233">
        <f t="shared" si="41"/>
        <v>9945</v>
      </c>
      <c r="H88" s="233">
        <f t="shared" si="41"/>
        <v>9945</v>
      </c>
      <c r="I88" s="233">
        <f t="shared" si="41"/>
        <v>9945</v>
      </c>
      <c r="J88" s="233">
        <f t="shared" si="41"/>
        <v>9945</v>
      </c>
      <c r="K88" s="233">
        <f t="shared" si="41"/>
        <v>9945</v>
      </c>
      <c r="L88" s="233">
        <f t="shared" si="41"/>
        <v>9945</v>
      </c>
      <c r="M88" s="233">
        <f t="shared" si="41"/>
        <v>9945</v>
      </c>
      <c r="N88" s="233">
        <f t="shared" si="41"/>
        <v>9945</v>
      </c>
      <c r="O88" s="233">
        <f t="shared" si="41"/>
        <v>9945</v>
      </c>
      <c r="P88" s="233">
        <f t="shared" si="41"/>
        <v>9945</v>
      </c>
      <c r="Q88" s="234">
        <f t="shared" ref="Q88:Q93" si="42">SUM(E88:P88)</f>
        <v>119340</v>
      </c>
    </row>
    <row r="89" spans="1:17" ht="14.5">
      <c r="A89" s="198"/>
      <c r="B89" s="225" t="s">
        <v>140</v>
      </c>
      <c r="C89" s="121">
        <v>3</v>
      </c>
      <c r="D89" s="178">
        <v>300</v>
      </c>
      <c r="E89" s="236">
        <f t="shared" si="41"/>
        <v>900</v>
      </c>
      <c r="F89" s="236">
        <f t="shared" si="41"/>
        <v>900</v>
      </c>
      <c r="G89" s="236">
        <f t="shared" si="41"/>
        <v>900</v>
      </c>
      <c r="H89" s="236">
        <f t="shared" si="41"/>
        <v>900</v>
      </c>
      <c r="I89" s="236">
        <f t="shared" si="41"/>
        <v>900</v>
      </c>
      <c r="J89" s="236">
        <f t="shared" si="41"/>
        <v>900</v>
      </c>
      <c r="K89" s="236">
        <f t="shared" si="41"/>
        <v>900</v>
      </c>
      <c r="L89" s="236">
        <f t="shared" si="41"/>
        <v>900</v>
      </c>
      <c r="M89" s="236">
        <f t="shared" si="41"/>
        <v>900</v>
      </c>
      <c r="N89" s="236">
        <f t="shared" si="41"/>
        <v>900</v>
      </c>
      <c r="O89" s="236">
        <f t="shared" si="41"/>
        <v>900</v>
      </c>
      <c r="P89" s="236">
        <f t="shared" si="41"/>
        <v>900</v>
      </c>
      <c r="Q89" s="208">
        <f t="shared" si="42"/>
        <v>10800</v>
      </c>
    </row>
    <row r="90" spans="1:17" ht="14.5">
      <c r="A90" s="198"/>
      <c r="B90" s="225" t="s">
        <v>141</v>
      </c>
      <c r="C90" s="121">
        <v>4</v>
      </c>
      <c r="D90" s="178">
        <v>350</v>
      </c>
      <c r="E90" s="236">
        <f t="shared" si="41"/>
        <v>1400</v>
      </c>
      <c r="F90" s="236">
        <f t="shared" si="41"/>
        <v>1400</v>
      </c>
      <c r="G90" s="236">
        <f t="shared" si="41"/>
        <v>1400</v>
      </c>
      <c r="H90" s="236">
        <f t="shared" si="41"/>
        <v>1400</v>
      </c>
      <c r="I90" s="236">
        <f t="shared" si="41"/>
        <v>1400</v>
      </c>
      <c r="J90" s="236">
        <f t="shared" si="41"/>
        <v>1400</v>
      </c>
      <c r="K90" s="236">
        <f t="shared" si="41"/>
        <v>1400</v>
      </c>
      <c r="L90" s="236">
        <f t="shared" si="41"/>
        <v>1400</v>
      </c>
      <c r="M90" s="236">
        <f t="shared" si="41"/>
        <v>1400</v>
      </c>
      <c r="N90" s="236">
        <f t="shared" si="41"/>
        <v>1400</v>
      </c>
      <c r="O90" s="236">
        <f t="shared" si="41"/>
        <v>1400</v>
      </c>
      <c r="P90" s="236">
        <f t="shared" si="41"/>
        <v>1400</v>
      </c>
      <c r="Q90" s="208">
        <f t="shared" si="42"/>
        <v>16800</v>
      </c>
    </row>
    <row r="91" spans="1:17" ht="14.5">
      <c r="A91" s="198"/>
      <c r="B91" s="225" t="s">
        <v>139</v>
      </c>
      <c r="C91" s="121">
        <v>4</v>
      </c>
      <c r="D91" s="178">
        <v>270</v>
      </c>
      <c r="E91" s="236">
        <f t="shared" si="41"/>
        <v>1080</v>
      </c>
      <c r="F91" s="236">
        <f t="shared" si="41"/>
        <v>1080</v>
      </c>
      <c r="G91" s="236">
        <f t="shared" si="41"/>
        <v>1080</v>
      </c>
      <c r="H91" s="236">
        <f t="shared" si="41"/>
        <v>1080</v>
      </c>
      <c r="I91" s="236">
        <f t="shared" si="41"/>
        <v>1080</v>
      </c>
      <c r="J91" s="236">
        <f t="shared" si="41"/>
        <v>1080</v>
      </c>
      <c r="K91" s="236">
        <f t="shared" si="41"/>
        <v>1080</v>
      </c>
      <c r="L91" s="236">
        <f t="shared" si="41"/>
        <v>1080</v>
      </c>
      <c r="M91" s="236">
        <f t="shared" si="41"/>
        <v>1080</v>
      </c>
      <c r="N91" s="236">
        <f t="shared" si="41"/>
        <v>1080</v>
      </c>
      <c r="O91" s="236">
        <f t="shared" si="41"/>
        <v>1080</v>
      </c>
      <c r="P91" s="236">
        <f t="shared" si="41"/>
        <v>1080</v>
      </c>
      <c r="Q91" s="208">
        <f t="shared" si="42"/>
        <v>12960</v>
      </c>
    </row>
    <row r="92" spans="1:17" ht="14.5">
      <c r="A92" s="198"/>
      <c r="B92" s="198" t="s">
        <v>729</v>
      </c>
      <c r="C92" s="121">
        <v>1</v>
      </c>
      <c r="D92" s="178">
        <v>1450</v>
      </c>
      <c r="E92" s="236">
        <v>1100</v>
      </c>
      <c r="F92" s="236">
        <v>550</v>
      </c>
      <c r="G92" s="236">
        <v>0</v>
      </c>
      <c r="H92" s="236">
        <v>0</v>
      </c>
      <c r="I92" s="236">
        <f t="shared" ref="I92:P92" si="43">$C92*$D92</f>
        <v>1450</v>
      </c>
      <c r="J92" s="236">
        <f t="shared" si="43"/>
        <v>1450</v>
      </c>
      <c r="K92" s="236">
        <f t="shared" si="43"/>
        <v>1450</v>
      </c>
      <c r="L92" s="236">
        <f t="shared" si="43"/>
        <v>1450</v>
      </c>
      <c r="M92" s="236">
        <f t="shared" si="43"/>
        <v>1450</v>
      </c>
      <c r="N92" s="236">
        <f t="shared" si="43"/>
        <v>1450</v>
      </c>
      <c r="O92" s="236">
        <f t="shared" si="43"/>
        <v>1450</v>
      </c>
      <c r="P92" s="236">
        <f t="shared" si="43"/>
        <v>1450</v>
      </c>
      <c r="Q92" s="208">
        <f t="shared" si="42"/>
        <v>13250</v>
      </c>
    </row>
    <row r="93" spans="1:17" ht="15.5">
      <c r="A93" s="181" t="s">
        <v>728</v>
      </c>
      <c r="B93" s="181"/>
      <c r="C93" s="181"/>
      <c r="D93" s="181"/>
      <c r="E93" s="182">
        <f t="shared" ref="E93:P93" si="44">SUM(E88:E92)</f>
        <v>14425</v>
      </c>
      <c r="F93" s="182">
        <f t="shared" si="44"/>
        <v>13875</v>
      </c>
      <c r="G93" s="182">
        <f t="shared" si="44"/>
        <v>13325</v>
      </c>
      <c r="H93" s="182">
        <f t="shared" si="44"/>
        <v>13325</v>
      </c>
      <c r="I93" s="182">
        <f t="shared" si="44"/>
        <v>14775</v>
      </c>
      <c r="J93" s="182">
        <f t="shared" si="44"/>
        <v>14775</v>
      </c>
      <c r="K93" s="182">
        <f t="shared" si="44"/>
        <v>14775</v>
      </c>
      <c r="L93" s="182">
        <f t="shared" si="44"/>
        <v>14775</v>
      </c>
      <c r="M93" s="182">
        <f t="shared" si="44"/>
        <v>14775</v>
      </c>
      <c r="N93" s="182">
        <f t="shared" si="44"/>
        <v>14775</v>
      </c>
      <c r="O93" s="182">
        <f t="shared" si="44"/>
        <v>14775</v>
      </c>
      <c r="P93" s="182">
        <f t="shared" si="44"/>
        <v>14775</v>
      </c>
      <c r="Q93" s="182">
        <f t="shared" si="42"/>
        <v>173150</v>
      </c>
    </row>
    <row r="94" spans="1:17">
      <c r="A94" s="198"/>
      <c r="B94" s="198"/>
      <c r="C94" s="198"/>
      <c r="D94" s="198"/>
      <c r="E94" s="199"/>
      <c r="F94" s="199"/>
      <c r="G94" s="199"/>
      <c r="H94" s="199"/>
      <c r="I94" s="199"/>
      <c r="J94" s="199"/>
      <c r="K94" s="199"/>
      <c r="L94" s="199"/>
      <c r="M94" s="199"/>
      <c r="N94" s="199"/>
      <c r="O94" s="199"/>
      <c r="P94" s="199"/>
      <c r="Q94" s="199"/>
    </row>
    <row r="95" spans="1:17" ht="15.5">
      <c r="A95" s="205" t="s">
        <v>730</v>
      </c>
      <c r="B95" s="198"/>
      <c r="C95" s="198"/>
      <c r="D95" s="198"/>
      <c r="E95" s="199"/>
      <c r="F95" s="199"/>
      <c r="G95" s="199"/>
      <c r="H95" s="199"/>
      <c r="I95" s="199"/>
      <c r="J95" s="199"/>
      <c r="K95" s="199"/>
      <c r="L95" s="199"/>
      <c r="M95" s="199"/>
      <c r="N95" s="199"/>
      <c r="O95" s="199"/>
      <c r="P95" s="199"/>
      <c r="Q95" s="199"/>
    </row>
    <row r="96" spans="1:17" ht="14.5">
      <c r="A96" s="198"/>
      <c r="B96" s="225" t="s">
        <v>53</v>
      </c>
      <c r="C96" s="198"/>
      <c r="D96" s="198"/>
      <c r="E96" s="199"/>
      <c r="F96" s="199"/>
      <c r="G96" s="199"/>
      <c r="H96" s="199"/>
      <c r="I96" s="199"/>
      <c r="J96" s="199"/>
      <c r="K96" s="199"/>
      <c r="L96" s="199"/>
      <c r="M96" s="199"/>
      <c r="N96" s="199"/>
      <c r="O96" s="199"/>
      <c r="P96" s="199"/>
      <c r="Q96" s="199"/>
    </row>
    <row r="97" spans="1:17" ht="14.5">
      <c r="A97" s="198"/>
      <c r="B97" s="225" t="s">
        <v>485</v>
      </c>
      <c r="C97" s="121" t="s">
        <v>483</v>
      </c>
      <c r="D97" s="209">
        <f>125000</f>
        <v>125000</v>
      </c>
      <c r="E97" s="210">
        <f t="shared" ref="E97:P97" si="45">$D97/$R$1</f>
        <v>1436.7816091954023</v>
      </c>
      <c r="F97" s="210">
        <f t="shared" si="45"/>
        <v>1436.7816091954023</v>
      </c>
      <c r="G97" s="210">
        <f t="shared" si="45"/>
        <v>1436.7816091954023</v>
      </c>
      <c r="H97" s="210">
        <f t="shared" si="45"/>
        <v>1436.7816091954023</v>
      </c>
      <c r="I97" s="210">
        <f t="shared" si="45"/>
        <v>1436.7816091954023</v>
      </c>
      <c r="J97" s="210">
        <f t="shared" si="45"/>
        <v>1436.7816091954023</v>
      </c>
      <c r="K97" s="210">
        <f t="shared" si="45"/>
        <v>1436.7816091954023</v>
      </c>
      <c r="L97" s="210">
        <f t="shared" si="45"/>
        <v>1436.7816091954023</v>
      </c>
      <c r="M97" s="210">
        <f t="shared" si="45"/>
        <v>1436.7816091954023</v>
      </c>
      <c r="N97" s="210">
        <f t="shared" si="45"/>
        <v>1436.7816091954023</v>
      </c>
      <c r="O97" s="210">
        <f t="shared" si="45"/>
        <v>1436.7816091954023</v>
      </c>
      <c r="P97" s="210">
        <f t="shared" si="45"/>
        <v>1436.7816091954023</v>
      </c>
      <c r="Q97" s="208">
        <f>SUM(E97:P97)</f>
        <v>17241.37931034483</v>
      </c>
    </row>
    <row r="98" spans="1:17" ht="14.5">
      <c r="A98" s="198"/>
      <c r="B98" s="225"/>
      <c r="C98" s="121" t="s">
        <v>731</v>
      </c>
      <c r="D98" s="198"/>
      <c r="E98" s="228">
        <f>(41000+5500)/$R$1</f>
        <v>534.48275862068965</v>
      </c>
      <c r="F98" s="228">
        <f t="shared" ref="F98:P98" si="46">5500/$R$1</f>
        <v>63.218390804597703</v>
      </c>
      <c r="G98" s="228">
        <f t="shared" si="46"/>
        <v>63.218390804597703</v>
      </c>
      <c r="H98" s="228">
        <f t="shared" si="46"/>
        <v>63.218390804597703</v>
      </c>
      <c r="I98" s="228">
        <f t="shared" si="46"/>
        <v>63.218390804597703</v>
      </c>
      <c r="J98" s="228">
        <f t="shared" si="46"/>
        <v>63.218390804597703</v>
      </c>
      <c r="K98" s="228">
        <f t="shared" si="46"/>
        <v>63.218390804597703</v>
      </c>
      <c r="L98" s="228">
        <f t="shared" si="46"/>
        <v>63.218390804597703</v>
      </c>
      <c r="M98" s="228">
        <f t="shared" si="46"/>
        <v>63.218390804597703</v>
      </c>
      <c r="N98" s="228">
        <f t="shared" si="46"/>
        <v>63.218390804597703</v>
      </c>
      <c r="O98" s="228">
        <f t="shared" si="46"/>
        <v>63.218390804597703</v>
      </c>
      <c r="P98" s="228">
        <f t="shared" si="46"/>
        <v>63.218390804597703</v>
      </c>
      <c r="Q98" s="208">
        <f>SUM(E98:P98)</f>
        <v>1229.8850574712642</v>
      </c>
    </row>
    <row r="99" spans="1:17" ht="14.5">
      <c r="A99" s="198"/>
      <c r="B99" s="225"/>
      <c r="C99" s="121" t="s">
        <v>732</v>
      </c>
      <c r="D99" s="198"/>
      <c r="E99" s="228"/>
      <c r="F99" s="228">
        <f>275000/$R$1</f>
        <v>3160.9195402298851</v>
      </c>
      <c r="G99" s="199"/>
      <c r="H99" s="199"/>
      <c r="I99" s="199"/>
      <c r="J99" s="199"/>
      <c r="K99" s="199"/>
      <c r="L99" s="199"/>
      <c r="M99" s="199"/>
      <c r="N99" s="199"/>
      <c r="O99" s="199"/>
      <c r="P99" s="199"/>
      <c r="Q99" s="208">
        <f>SUM(E99:P99)</f>
        <v>3160.9195402298851</v>
      </c>
    </row>
    <row r="100" spans="1:17">
      <c r="A100" s="198"/>
      <c r="B100" s="198"/>
      <c r="C100" s="198"/>
      <c r="D100" s="198"/>
      <c r="E100" s="199"/>
      <c r="F100" s="199"/>
      <c r="G100" s="199"/>
      <c r="H100" s="199"/>
      <c r="I100" s="199"/>
      <c r="J100" s="199"/>
      <c r="K100" s="199"/>
      <c r="L100" s="199"/>
      <c r="M100" s="199"/>
      <c r="N100" s="199"/>
      <c r="O100" s="199"/>
      <c r="P100" s="199"/>
      <c r="Q100" s="199"/>
    </row>
    <row r="101" spans="1:17" ht="15.5">
      <c r="A101" s="181" t="s">
        <v>730</v>
      </c>
      <c r="B101" s="181"/>
      <c r="C101" s="181"/>
      <c r="D101" s="181"/>
      <c r="E101" s="182">
        <f t="shared" ref="E101:P101" si="47">SUM(E96:E100)</f>
        <v>1971.2643678160921</v>
      </c>
      <c r="F101" s="182">
        <f t="shared" si="47"/>
        <v>4660.9195402298847</v>
      </c>
      <c r="G101" s="182">
        <f t="shared" si="47"/>
        <v>1500</v>
      </c>
      <c r="H101" s="182">
        <f t="shared" si="47"/>
        <v>1500</v>
      </c>
      <c r="I101" s="182">
        <f t="shared" si="47"/>
        <v>1500</v>
      </c>
      <c r="J101" s="182">
        <f t="shared" si="47"/>
        <v>1500</v>
      </c>
      <c r="K101" s="182">
        <f t="shared" si="47"/>
        <v>1500</v>
      </c>
      <c r="L101" s="182">
        <f t="shared" si="47"/>
        <v>1500</v>
      </c>
      <c r="M101" s="182">
        <f t="shared" si="47"/>
        <v>1500</v>
      </c>
      <c r="N101" s="182">
        <f t="shared" si="47"/>
        <v>1500</v>
      </c>
      <c r="O101" s="182">
        <f t="shared" si="47"/>
        <v>1500</v>
      </c>
      <c r="P101" s="182">
        <f t="shared" si="47"/>
        <v>1500</v>
      </c>
      <c r="Q101" s="182">
        <f>SUM(E101:P101)</f>
        <v>21632.183908045976</v>
      </c>
    </row>
    <row r="102" spans="1:17">
      <c r="A102" s="198"/>
      <c r="B102" s="198"/>
      <c r="C102" s="198"/>
      <c r="D102" s="198"/>
      <c r="E102" s="199"/>
      <c r="F102" s="199"/>
      <c r="G102" s="199"/>
      <c r="H102" s="199"/>
      <c r="I102" s="199"/>
      <c r="J102" s="199"/>
      <c r="K102" s="199"/>
      <c r="L102" s="199"/>
      <c r="M102" s="199"/>
      <c r="N102" s="199"/>
      <c r="O102" s="199"/>
      <c r="P102" s="199"/>
      <c r="Q102" s="199"/>
    </row>
    <row r="103" spans="1:17" ht="15.5">
      <c r="A103" s="205" t="s">
        <v>733</v>
      </c>
      <c r="B103" s="225" t="s">
        <v>106</v>
      </c>
      <c r="C103" s="121">
        <v>9</v>
      </c>
      <c r="D103" s="178">
        <v>220</v>
      </c>
      <c r="E103" s="236">
        <f t="shared" ref="E103:P103" si="48">$C103*$D103</f>
        <v>1980</v>
      </c>
      <c r="F103" s="236">
        <f t="shared" si="48"/>
        <v>1980</v>
      </c>
      <c r="G103" s="236">
        <f t="shared" si="48"/>
        <v>1980</v>
      </c>
      <c r="H103" s="236">
        <f t="shared" si="48"/>
        <v>1980</v>
      </c>
      <c r="I103" s="236">
        <f t="shared" si="48"/>
        <v>1980</v>
      </c>
      <c r="J103" s="236">
        <f t="shared" si="48"/>
        <v>1980</v>
      </c>
      <c r="K103" s="236">
        <f t="shared" si="48"/>
        <v>1980</v>
      </c>
      <c r="L103" s="236">
        <f t="shared" si="48"/>
        <v>1980</v>
      </c>
      <c r="M103" s="236">
        <f t="shared" si="48"/>
        <v>1980</v>
      </c>
      <c r="N103" s="236">
        <f t="shared" si="48"/>
        <v>1980</v>
      </c>
      <c r="O103" s="236">
        <f t="shared" si="48"/>
        <v>1980</v>
      </c>
      <c r="P103" s="236">
        <f t="shared" si="48"/>
        <v>1980</v>
      </c>
      <c r="Q103" s="208">
        <f>SUM(E103:P103)</f>
        <v>23760</v>
      </c>
    </row>
    <row r="104" spans="1:17" ht="15.5">
      <c r="A104" s="237" t="s">
        <v>734</v>
      </c>
      <c r="B104" s="225" t="s">
        <v>735</v>
      </c>
      <c r="C104" s="121">
        <v>1</v>
      </c>
      <c r="D104" s="178"/>
      <c r="E104" s="236">
        <v>2000</v>
      </c>
      <c r="F104" s="236">
        <v>1000</v>
      </c>
      <c r="G104" s="236">
        <f t="shared" ref="G104:P104" si="49">$C104*$D104</f>
        <v>0</v>
      </c>
      <c r="H104" s="236">
        <f t="shared" si="49"/>
        <v>0</v>
      </c>
      <c r="I104" s="236">
        <f t="shared" si="49"/>
        <v>0</v>
      </c>
      <c r="J104" s="236">
        <f t="shared" si="49"/>
        <v>0</v>
      </c>
      <c r="K104" s="236">
        <f t="shared" si="49"/>
        <v>0</v>
      </c>
      <c r="L104" s="236">
        <f t="shared" si="49"/>
        <v>0</v>
      </c>
      <c r="M104" s="236">
        <f t="shared" si="49"/>
        <v>0</v>
      </c>
      <c r="N104" s="236">
        <f t="shared" si="49"/>
        <v>0</v>
      </c>
      <c r="O104" s="236">
        <f t="shared" si="49"/>
        <v>0</v>
      </c>
      <c r="P104" s="236">
        <f t="shared" si="49"/>
        <v>0</v>
      </c>
      <c r="Q104" s="208">
        <f>SUM(E104:P104)</f>
        <v>3000</v>
      </c>
    </row>
    <row r="105" spans="1:17" ht="15.5">
      <c r="A105" s="205"/>
      <c r="B105" s="225"/>
      <c r="C105" s="121"/>
      <c r="D105" s="178"/>
      <c r="E105" s="236"/>
      <c r="F105" s="236"/>
      <c r="G105" s="236"/>
      <c r="H105" s="236"/>
      <c r="I105" s="236"/>
      <c r="J105" s="236"/>
      <c r="K105" s="236"/>
      <c r="L105" s="236"/>
      <c r="M105" s="236"/>
      <c r="N105" s="236"/>
      <c r="O105" s="236"/>
      <c r="P105" s="236"/>
      <c r="Q105" s="208"/>
    </row>
    <row r="106" spans="1:17" ht="15.5">
      <c r="A106" s="205"/>
      <c r="B106" s="225" t="s">
        <v>590</v>
      </c>
      <c r="C106" s="121" t="s">
        <v>736</v>
      </c>
      <c r="D106" s="178"/>
      <c r="E106" s="199"/>
      <c r="F106" s="199"/>
      <c r="G106" s="236"/>
      <c r="H106" s="199"/>
      <c r="I106" s="199"/>
      <c r="J106" s="236"/>
      <c r="K106" s="199"/>
      <c r="L106" s="199"/>
      <c r="M106" s="236"/>
      <c r="N106" s="199"/>
      <c r="O106" s="199"/>
      <c r="P106" s="236"/>
      <c r="Q106" s="208">
        <f>SUM(E106:P106)</f>
        <v>0</v>
      </c>
    </row>
    <row r="107" spans="1:17" ht="15.5">
      <c r="A107" s="158" t="s">
        <v>737</v>
      </c>
      <c r="B107" s="225" t="s">
        <v>118</v>
      </c>
      <c r="C107" s="121" t="s">
        <v>118</v>
      </c>
      <c r="D107" s="178"/>
      <c r="E107" s="199"/>
      <c r="F107" s="199"/>
      <c r="G107" s="236">
        <v>2000</v>
      </c>
      <c r="H107" s="199"/>
      <c r="I107" s="199"/>
      <c r="J107" s="199"/>
      <c r="L107" s="199"/>
      <c r="M107" s="199"/>
      <c r="N107" s="199"/>
      <c r="O107" s="199"/>
      <c r="P107" s="199"/>
      <c r="Q107" s="208">
        <f>SUM(E107:P107)</f>
        <v>2000</v>
      </c>
    </row>
    <row r="108" spans="1:17" ht="15.5">
      <c r="A108" s="158" t="s">
        <v>737</v>
      </c>
      <c r="B108" s="225" t="s">
        <v>123</v>
      </c>
      <c r="C108" s="121" t="s">
        <v>123</v>
      </c>
      <c r="D108" s="178"/>
      <c r="E108" s="199"/>
      <c r="F108" s="199"/>
      <c r="G108" s="236"/>
      <c r="H108" s="199"/>
      <c r="I108" s="236">
        <v>1000</v>
      </c>
      <c r="L108" s="199"/>
      <c r="M108" s="199"/>
      <c r="N108" s="199"/>
      <c r="O108" s="199"/>
      <c r="P108" s="199"/>
      <c r="Q108" s="208">
        <f>SUM(E108:P108)</f>
        <v>1000</v>
      </c>
    </row>
    <row r="109" spans="1:17" ht="15.5">
      <c r="A109" s="205"/>
      <c r="B109" s="225" t="s">
        <v>738</v>
      </c>
      <c r="C109" s="121"/>
      <c r="D109" s="178"/>
      <c r="E109" s="199"/>
      <c r="F109" s="199"/>
      <c r="G109" s="199"/>
      <c r="H109" s="199"/>
      <c r="I109" s="199"/>
      <c r="J109" s="199"/>
      <c r="K109" s="199"/>
      <c r="L109" s="199"/>
      <c r="M109" s="199"/>
      <c r="N109" s="199"/>
      <c r="O109" s="199"/>
      <c r="P109" s="199"/>
      <c r="Q109" s="199"/>
    </row>
    <row r="110" spans="1:17" ht="15.5">
      <c r="A110" s="205"/>
      <c r="B110" s="147"/>
      <c r="C110" s="121"/>
      <c r="D110" s="121"/>
      <c r="E110" s="199"/>
      <c r="F110" s="199"/>
      <c r="G110" s="199"/>
      <c r="H110" s="199"/>
      <c r="I110" s="199"/>
      <c r="J110" s="199"/>
      <c r="K110" s="199"/>
      <c r="L110" s="199"/>
      <c r="M110" s="199"/>
      <c r="N110" s="199"/>
      <c r="O110" s="199"/>
      <c r="P110" s="199"/>
      <c r="Q110" s="199"/>
    </row>
    <row r="111" spans="1:17" ht="15.5">
      <c r="A111" s="181" t="s">
        <v>733</v>
      </c>
      <c r="B111" s="181"/>
      <c r="C111" s="181"/>
      <c r="D111" s="181"/>
      <c r="E111" s="182">
        <f t="shared" ref="E111:P111" si="50">SUM(E103:E110)</f>
        <v>3980</v>
      </c>
      <c r="F111" s="182">
        <f t="shared" si="50"/>
        <v>2980</v>
      </c>
      <c r="G111" s="182">
        <f t="shared" si="50"/>
        <v>3980</v>
      </c>
      <c r="H111" s="182">
        <f t="shared" si="50"/>
        <v>1980</v>
      </c>
      <c r="I111" s="182">
        <f t="shared" si="50"/>
        <v>2980</v>
      </c>
      <c r="J111" s="182">
        <f t="shared" si="50"/>
        <v>1980</v>
      </c>
      <c r="K111" s="182">
        <f t="shared" si="50"/>
        <v>1980</v>
      </c>
      <c r="L111" s="182">
        <f t="shared" si="50"/>
        <v>1980</v>
      </c>
      <c r="M111" s="182">
        <f t="shared" si="50"/>
        <v>1980</v>
      </c>
      <c r="N111" s="182">
        <f t="shared" si="50"/>
        <v>1980</v>
      </c>
      <c r="O111" s="182">
        <f t="shared" si="50"/>
        <v>1980</v>
      </c>
      <c r="P111" s="182">
        <f t="shared" si="50"/>
        <v>1980</v>
      </c>
      <c r="Q111" s="182">
        <f>SUM(E111:P111)</f>
        <v>29760</v>
      </c>
    </row>
    <row r="112" spans="1:17">
      <c r="A112" s="198"/>
      <c r="B112" s="198"/>
      <c r="C112" s="198"/>
      <c r="D112" s="198"/>
      <c r="E112" s="199"/>
      <c r="F112" s="199"/>
      <c r="G112" s="199"/>
      <c r="H112" s="199"/>
      <c r="I112" s="199"/>
      <c r="J112" s="199"/>
      <c r="K112" s="199"/>
      <c r="L112" s="199"/>
      <c r="M112" s="199"/>
      <c r="N112" s="199"/>
      <c r="O112" s="199"/>
      <c r="P112" s="199"/>
      <c r="Q112" s="199"/>
    </row>
    <row r="113" spans="1:17" ht="15.5">
      <c r="A113" s="205" t="s">
        <v>739</v>
      </c>
      <c r="B113" s="225"/>
    </row>
    <row r="114" spans="1:17" ht="14.5">
      <c r="A114" s="198"/>
      <c r="B114" s="225" t="s">
        <v>137</v>
      </c>
      <c r="C114" s="121" t="s">
        <v>740</v>
      </c>
      <c r="D114" s="209">
        <v>30000</v>
      </c>
      <c r="E114" s="210">
        <f t="shared" ref="E114:P115" si="51">$D114/$R$1</f>
        <v>344.82758620689657</v>
      </c>
      <c r="F114" s="210">
        <f t="shared" si="51"/>
        <v>344.82758620689657</v>
      </c>
      <c r="G114" s="210">
        <f t="shared" si="51"/>
        <v>344.82758620689657</v>
      </c>
      <c r="H114" s="210">
        <f t="shared" si="51"/>
        <v>344.82758620689657</v>
      </c>
      <c r="I114" s="210">
        <f t="shared" si="51"/>
        <v>344.82758620689657</v>
      </c>
      <c r="J114" s="210">
        <f t="shared" si="51"/>
        <v>344.82758620689657</v>
      </c>
      <c r="K114" s="210">
        <f t="shared" si="51"/>
        <v>344.82758620689657</v>
      </c>
      <c r="L114" s="210">
        <f t="shared" si="51"/>
        <v>344.82758620689657</v>
      </c>
      <c r="M114" s="210">
        <f t="shared" si="51"/>
        <v>344.82758620689657</v>
      </c>
      <c r="N114" s="210">
        <f t="shared" si="51"/>
        <v>344.82758620689657</v>
      </c>
      <c r="O114" s="210">
        <f t="shared" si="51"/>
        <v>344.82758620689657</v>
      </c>
      <c r="P114" s="210">
        <f t="shared" si="51"/>
        <v>344.82758620689657</v>
      </c>
      <c r="Q114" s="208">
        <f t="shared" ref="Q114:Q125" si="52">SUM(E114:P114)</f>
        <v>4137.93103448276</v>
      </c>
    </row>
    <row r="115" spans="1:17" ht="14.5">
      <c r="A115" s="198"/>
      <c r="B115" s="225"/>
      <c r="C115" s="121" t="s">
        <v>741</v>
      </c>
      <c r="D115" s="209">
        <v>20000</v>
      </c>
      <c r="E115" s="210">
        <f t="shared" si="51"/>
        <v>229.88505747126436</v>
      </c>
      <c r="F115" s="210">
        <f t="shared" si="51"/>
        <v>229.88505747126436</v>
      </c>
      <c r="G115" s="210">
        <f t="shared" si="51"/>
        <v>229.88505747126436</v>
      </c>
      <c r="H115" s="210">
        <f t="shared" si="51"/>
        <v>229.88505747126436</v>
      </c>
      <c r="I115" s="210">
        <f t="shared" si="51"/>
        <v>229.88505747126436</v>
      </c>
      <c r="J115" s="210">
        <f t="shared" si="51"/>
        <v>229.88505747126436</v>
      </c>
      <c r="K115" s="210">
        <f t="shared" si="51"/>
        <v>229.88505747126436</v>
      </c>
      <c r="L115" s="210">
        <f t="shared" si="51"/>
        <v>229.88505747126436</v>
      </c>
      <c r="M115" s="210">
        <f t="shared" si="51"/>
        <v>229.88505747126436</v>
      </c>
      <c r="N115" s="210">
        <f t="shared" si="51"/>
        <v>229.88505747126436</v>
      </c>
      <c r="O115" s="210">
        <f t="shared" si="51"/>
        <v>229.88505747126436</v>
      </c>
      <c r="P115" s="210">
        <f t="shared" si="51"/>
        <v>229.88505747126436</v>
      </c>
      <c r="Q115" s="208">
        <f t="shared" si="52"/>
        <v>2758.6206896551721</v>
      </c>
    </row>
    <row r="116" spans="1:17" ht="14.5">
      <c r="A116" s="198"/>
      <c r="B116" s="225" t="s">
        <v>527</v>
      </c>
      <c r="C116" s="121"/>
      <c r="D116" s="209"/>
      <c r="E116" s="199"/>
      <c r="F116" s="199"/>
      <c r="G116" s="199"/>
      <c r="H116" s="199"/>
      <c r="I116" s="199"/>
      <c r="J116" s="199"/>
      <c r="K116" s="199"/>
      <c r="L116" s="199"/>
      <c r="M116" s="199"/>
      <c r="N116" s="199"/>
      <c r="O116" s="199"/>
      <c r="P116" s="199"/>
      <c r="Q116" s="208">
        <f t="shared" si="52"/>
        <v>0</v>
      </c>
    </row>
    <row r="117" spans="1:17" ht="14.5">
      <c r="A117" s="198"/>
      <c r="B117" s="225" t="s">
        <v>129</v>
      </c>
      <c r="C117" s="121" t="s">
        <v>524</v>
      </c>
      <c r="D117" s="209">
        <v>40000</v>
      </c>
      <c r="E117" s="210">
        <f t="shared" ref="E117:P119" si="53">$D117/$R$1</f>
        <v>459.77011494252872</v>
      </c>
      <c r="F117" s="210">
        <f t="shared" si="53"/>
        <v>459.77011494252872</v>
      </c>
      <c r="G117" s="210">
        <f t="shared" si="53"/>
        <v>459.77011494252872</v>
      </c>
      <c r="H117" s="210">
        <f t="shared" si="53"/>
        <v>459.77011494252872</v>
      </c>
      <c r="I117" s="210">
        <f t="shared" si="53"/>
        <v>459.77011494252872</v>
      </c>
      <c r="J117" s="210">
        <f t="shared" si="53"/>
        <v>459.77011494252872</v>
      </c>
      <c r="K117" s="210">
        <f t="shared" si="53"/>
        <v>459.77011494252872</v>
      </c>
      <c r="L117" s="210">
        <f t="shared" si="53"/>
        <v>459.77011494252872</v>
      </c>
      <c r="M117" s="210">
        <f t="shared" si="53"/>
        <v>459.77011494252872</v>
      </c>
      <c r="N117" s="210">
        <f t="shared" si="53"/>
        <v>459.77011494252872</v>
      </c>
      <c r="O117" s="210">
        <f t="shared" si="53"/>
        <v>459.77011494252872</v>
      </c>
      <c r="P117" s="210">
        <f t="shared" si="53"/>
        <v>459.77011494252872</v>
      </c>
      <c r="Q117" s="208">
        <f t="shared" si="52"/>
        <v>5517.2413793103442</v>
      </c>
    </row>
    <row r="118" spans="1:17" ht="14.5">
      <c r="A118" s="198"/>
      <c r="B118" s="225"/>
      <c r="C118" s="121" t="s">
        <v>525</v>
      </c>
      <c r="D118" s="209">
        <v>20000</v>
      </c>
      <c r="E118" s="210">
        <f t="shared" si="53"/>
        <v>229.88505747126436</v>
      </c>
      <c r="F118" s="210">
        <f t="shared" si="53"/>
        <v>229.88505747126436</v>
      </c>
      <c r="G118" s="210">
        <f t="shared" si="53"/>
        <v>229.88505747126436</v>
      </c>
      <c r="H118" s="210">
        <f t="shared" si="53"/>
        <v>229.88505747126436</v>
      </c>
      <c r="I118" s="210">
        <f t="shared" si="53"/>
        <v>229.88505747126436</v>
      </c>
      <c r="J118" s="210">
        <f t="shared" si="53"/>
        <v>229.88505747126436</v>
      </c>
      <c r="K118" s="210">
        <f t="shared" si="53"/>
        <v>229.88505747126436</v>
      </c>
      <c r="L118" s="210">
        <f t="shared" si="53"/>
        <v>229.88505747126436</v>
      </c>
      <c r="M118" s="210">
        <f t="shared" si="53"/>
        <v>229.88505747126436</v>
      </c>
      <c r="N118" s="210">
        <f t="shared" si="53"/>
        <v>229.88505747126436</v>
      </c>
      <c r="O118" s="210">
        <f t="shared" si="53"/>
        <v>229.88505747126436</v>
      </c>
      <c r="P118" s="210">
        <f t="shared" si="53"/>
        <v>229.88505747126436</v>
      </c>
      <c r="Q118" s="208">
        <f t="shared" si="52"/>
        <v>2758.6206896551721</v>
      </c>
    </row>
    <row r="119" spans="1:17" ht="14.5">
      <c r="A119" s="198"/>
      <c r="B119" s="225" t="s">
        <v>539</v>
      </c>
      <c r="C119" s="121" t="s">
        <v>539</v>
      </c>
      <c r="D119" s="209">
        <v>5000</v>
      </c>
      <c r="E119" s="210">
        <f t="shared" si="53"/>
        <v>57.47126436781609</v>
      </c>
      <c r="F119" s="210">
        <f t="shared" si="53"/>
        <v>57.47126436781609</v>
      </c>
      <c r="G119" s="210">
        <f t="shared" si="53"/>
        <v>57.47126436781609</v>
      </c>
      <c r="H119" s="210">
        <f t="shared" si="53"/>
        <v>57.47126436781609</v>
      </c>
      <c r="I119" s="210">
        <f t="shared" si="53"/>
        <v>57.47126436781609</v>
      </c>
      <c r="J119" s="210">
        <f t="shared" si="53"/>
        <v>57.47126436781609</v>
      </c>
      <c r="K119" s="210">
        <f t="shared" si="53"/>
        <v>57.47126436781609</v>
      </c>
      <c r="L119" s="210">
        <f t="shared" si="53"/>
        <v>57.47126436781609</v>
      </c>
      <c r="M119" s="210">
        <f t="shared" si="53"/>
        <v>57.47126436781609</v>
      </c>
      <c r="N119" s="210">
        <f t="shared" si="53"/>
        <v>57.47126436781609</v>
      </c>
      <c r="O119" s="210">
        <f t="shared" si="53"/>
        <v>57.47126436781609</v>
      </c>
      <c r="P119" s="210">
        <f t="shared" si="53"/>
        <v>57.47126436781609</v>
      </c>
      <c r="Q119" s="208">
        <f t="shared" si="52"/>
        <v>689.65517241379303</v>
      </c>
    </row>
    <row r="120" spans="1:17" ht="14.5">
      <c r="A120" s="198" t="s">
        <v>656</v>
      </c>
      <c r="B120" s="225" t="s">
        <v>103</v>
      </c>
      <c r="C120" s="121" t="s">
        <v>742</v>
      </c>
      <c r="D120" s="198"/>
      <c r="E120" s="199"/>
      <c r="F120" s="199"/>
      <c r="G120" s="199"/>
      <c r="H120" s="199"/>
      <c r="I120" s="199"/>
      <c r="J120" s="199"/>
      <c r="K120" s="199"/>
      <c r="L120" s="199"/>
      <c r="M120" s="199"/>
      <c r="N120" s="199"/>
      <c r="O120" s="199"/>
      <c r="P120" s="199"/>
      <c r="Q120" s="208">
        <f t="shared" si="52"/>
        <v>0</v>
      </c>
    </row>
    <row r="121" spans="1:17" ht="14.5">
      <c r="A121" s="198"/>
      <c r="B121" s="225" t="s">
        <v>485</v>
      </c>
      <c r="C121" s="121" t="s">
        <v>743</v>
      </c>
      <c r="D121" s="178">
        <v>6000</v>
      </c>
      <c r="E121" s="199"/>
      <c r="F121" s="199"/>
      <c r="G121" s="199"/>
      <c r="H121" s="199"/>
      <c r="I121" s="199"/>
      <c r="J121" s="199"/>
      <c r="K121" s="236">
        <v>6000</v>
      </c>
      <c r="L121" s="199"/>
      <c r="M121" s="199"/>
      <c r="N121" s="199"/>
      <c r="O121" s="199"/>
      <c r="P121" s="199"/>
      <c r="Q121" s="208">
        <f t="shared" si="52"/>
        <v>6000</v>
      </c>
    </row>
    <row r="122" spans="1:17" ht="14.5">
      <c r="A122" s="198" t="s">
        <v>656</v>
      </c>
      <c r="B122" s="225" t="s">
        <v>92</v>
      </c>
      <c r="C122" s="121" t="s">
        <v>473</v>
      </c>
      <c r="D122" s="198"/>
      <c r="E122" s="199"/>
      <c r="F122" s="199"/>
      <c r="G122" s="199"/>
      <c r="H122" s="199"/>
      <c r="I122" s="199"/>
      <c r="J122" s="199"/>
      <c r="K122" s="199"/>
      <c r="L122" s="199"/>
      <c r="M122" s="199"/>
      <c r="N122" s="199"/>
      <c r="O122" s="199"/>
      <c r="P122" s="199"/>
      <c r="Q122" s="208">
        <f t="shared" si="52"/>
        <v>0</v>
      </c>
    </row>
    <row r="123" spans="1:17" ht="14.5">
      <c r="A123" s="198" t="s">
        <v>656</v>
      </c>
      <c r="B123" s="225" t="s">
        <v>744</v>
      </c>
      <c r="C123" s="121" t="s">
        <v>744</v>
      </c>
      <c r="Q123" s="208">
        <f t="shared" si="52"/>
        <v>0</v>
      </c>
    </row>
    <row r="124" spans="1:17" ht="14.5">
      <c r="A124" s="198"/>
      <c r="B124" s="225" t="s">
        <v>544</v>
      </c>
      <c r="C124" s="121" t="s">
        <v>544</v>
      </c>
      <c r="D124" s="209">
        <v>5000</v>
      </c>
      <c r="E124" s="210">
        <f t="shared" ref="E124:P124" si="54">$D124/$R$1</f>
        <v>57.47126436781609</v>
      </c>
      <c r="F124" s="210">
        <f t="shared" si="54"/>
        <v>57.47126436781609</v>
      </c>
      <c r="G124" s="210">
        <f t="shared" si="54"/>
        <v>57.47126436781609</v>
      </c>
      <c r="H124" s="210">
        <f t="shared" si="54"/>
        <v>57.47126436781609</v>
      </c>
      <c r="I124" s="210">
        <f t="shared" si="54"/>
        <v>57.47126436781609</v>
      </c>
      <c r="J124" s="210">
        <f t="shared" si="54"/>
        <v>57.47126436781609</v>
      </c>
      <c r="K124" s="210">
        <f t="shared" si="54"/>
        <v>57.47126436781609</v>
      </c>
      <c r="L124" s="210">
        <f t="shared" si="54"/>
        <v>57.47126436781609</v>
      </c>
      <c r="M124" s="210">
        <f t="shared" si="54"/>
        <v>57.47126436781609</v>
      </c>
      <c r="N124" s="210">
        <f t="shared" si="54"/>
        <v>57.47126436781609</v>
      </c>
      <c r="O124" s="210">
        <f t="shared" si="54"/>
        <v>57.47126436781609</v>
      </c>
      <c r="P124" s="210">
        <f t="shared" si="54"/>
        <v>57.47126436781609</v>
      </c>
      <c r="Q124" s="208">
        <f t="shared" si="52"/>
        <v>689.65517241379303</v>
      </c>
    </row>
    <row r="125" spans="1:17" ht="14.5">
      <c r="A125" s="198" t="s">
        <v>656</v>
      </c>
      <c r="B125" s="225" t="s">
        <v>745</v>
      </c>
      <c r="C125" s="121"/>
      <c r="D125" s="209">
        <v>500000</v>
      </c>
      <c r="E125" s="210"/>
      <c r="G125" s="210"/>
      <c r="H125" s="210">
        <f>D125/$R$1</f>
        <v>5747.1264367816093</v>
      </c>
      <c r="I125" s="210"/>
      <c r="J125" s="210"/>
      <c r="K125" s="210"/>
      <c r="L125" s="210"/>
      <c r="M125" s="210"/>
      <c r="N125" s="210"/>
      <c r="O125" s="210"/>
      <c r="P125" s="210"/>
      <c r="Q125" s="208">
        <f t="shared" si="52"/>
        <v>5747.1264367816093</v>
      </c>
    </row>
    <row r="126" spans="1:17" ht="14.5">
      <c r="A126" s="198"/>
      <c r="B126" s="225" t="s">
        <v>746</v>
      </c>
      <c r="C126" s="121"/>
      <c r="D126" s="178">
        <v>6500</v>
      </c>
      <c r="E126" s="210"/>
      <c r="F126" s="171">
        <f>D126/2</f>
        <v>3250</v>
      </c>
      <c r="G126" s="210"/>
      <c r="H126" s="210"/>
      <c r="I126" s="210">
        <f>D126/2</f>
        <v>3250</v>
      </c>
      <c r="J126" s="210"/>
      <c r="K126" s="210"/>
      <c r="L126" s="210"/>
      <c r="M126" s="210"/>
      <c r="N126" s="210"/>
      <c r="O126" s="210"/>
      <c r="P126" s="210"/>
      <c r="Q126" s="208"/>
    </row>
    <row r="127" spans="1:17" ht="14.5">
      <c r="A127" s="198" t="s">
        <v>656</v>
      </c>
      <c r="B127" s="225" t="s">
        <v>543</v>
      </c>
      <c r="C127" s="121"/>
      <c r="Q127" s="208">
        <f>SUM(E127:P127)</f>
        <v>0</v>
      </c>
    </row>
    <row r="128" spans="1:17" ht="14.5">
      <c r="A128" s="198" t="s">
        <v>656</v>
      </c>
      <c r="B128" s="225" t="s">
        <v>747</v>
      </c>
      <c r="C128" s="121"/>
      <c r="Q128" s="208">
        <f>SUM(E128:P128)</f>
        <v>0</v>
      </c>
    </row>
    <row r="129" spans="1:19">
      <c r="Q129" s="208">
        <f>SUM(E129:P129)</f>
        <v>0</v>
      </c>
    </row>
    <row r="130" spans="1:19" ht="15.5">
      <c r="A130" s="181" t="s">
        <v>739</v>
      </c>
      <c r="B130" s="181"/>
      <c r="C130" s="181"/>
      <c r="D130" s="181"/>
      <c r="E130" s="182">
        <f t="shared" ref="E130:P130" si="55">SUM(E114:E129)</f>
        <v>1379.3103448275863</v>
      </c>
      <c r="F130" s="182">
        <f t="shared" si="55"/>
        <v>4629.3103448275861</v>
      </c>
      <c r="G130" s="182">
        <f t="shared" si="55"/>
        <v>1379.3103448275863</v>
      </c>
      <c r="H130" s="182">
        <f t="shared" si="55"/>
        <v>7126.4367816091954</v>
      </c>
      <c r="I130" s="182">
        <f t="shared" si="55"/>
        <v>4629.3103448275861</v>
      </c>
      <c r="J130" s="182">
        <f t="shared" si="55"/>
        <v>1379.3103448275863</v>
      </c>
      <c r="K130" s="182">
        <f t="shared" si="55"/>
        <v>7379.3103448275861</v>
      </c>
      <c r="L130" s="182">
        <f t="shared" si="55"/>
        <v>1379.3103448275863</v>
      </c>
      <c r="M130" s="182">
        <f t="shared" si="55"/>
        <v>1379.3103448275863</v>
      </c>
      <c r="N130" s="182">
        <f t="shared" si="55"/>
        <v>1379.3103448275863</v>
      </c>
      <c r="O130" s="182">
        <f t="shared" si="55"/>
        <v>1379.3103448275863</v>
      </c>
      <c r="P130" s="182">
        <f t="shared" si="55"/>
        <v>1379.3103448275863</v>
      </c>
      <c r="Q130" s="182">
        <f>SUM(E130:P130)</f>
        <v>34798.850574712647</v>
      </c>
    </row>
    <row r="133" spans="1:19" ht="15.5">
      <c r="A133" s="192" t="s">
        <v>748</v>
      </c>
      <c r="B133" s="192"/>
      <c r="C133" s="192"/>
      <c r="D133" s="192"/>
      <c r="E133" s="180">
        <f t="shared" ref="E133:P133" si="56">E130+E111+E101+E93+E86+E74+E53+E42+E30+E69</f>
        <v>156912.59007287529</v>
      </c>
      <c r="F133" s="180">
        <f t="shared" si="56"/>
        <v>163002.24524528906</v>
      </c>
      <c r="G133" s="180">
        <f t="shared" si="56"/>
        <v>148769.54367987908</v>
      </c>
      <c r="H133" s="180">
        <f t="shared" si="56"/>
        <v>150370.11839252277</v>
      </c>
      <c r="I133" s="180">
        <f t="shared" si="56"/>
        <v>156664.4005009736</v>
      </c>
      <c r="J133" s="180">
        <f t="shared" si="56"/>
        <v>155260.80279982419</v>
      </c>
      <c r="K133" s="180">
        <f t="shared" si="56"/>
        <v>159237.0556733874</v>
      </c>
      <c r="L133" s="180">
        <f t="shared" si="56"/>
        <v>153351.99820212301</v>
      </c>
      <c r="M133" s="180">
        <f t="shared" si="56"/>
        <v>156245.67636304258</v>
      </c>
      <c r="N133" s="180">
        <f t="shared" si="56"/>
        <v>174172.01754832015</v>
      </c>
      <c r="O133" s="180">
        <f t="shared" si="56"/>
        <v>164553.18996211322</v>
      </c>
      <c r="P133" s="180">
        <f t="shared" si="56"/>
        <v>164561.81065176841</v>
      </c>
      <c r="Q133" s="180">
        <f>SUM(E133:P133)</f>
        <v>1903101.4490921188</v>
      </c>
      <c r="R133" s="239">
        <f>S133-Q133</f>
        <v>203512.09768901137</v>
      </c>
      <c r="S133" s="171">
        <v>2106613.5467811301</v>
      </c>
    </row>
    <row r="134" spans="1:19">
      <c r="R134" s="240">
        <f>R133/12</f>
        <v>16959.341474084282</v>
      </c>
      <c r="S134" s="240">
        <f>R134-5000</f>
        <v>11959.341474084282</v>
      </c>
    </row>
    <row r="135" spans="1:19" ht="15.5">
      <c r="A135" s="192" t="s">
        <v>749</v>
      </c>
      <c r="B135" s="192"/>
      <c r="C135" s="241">
        <v>0.15</v>
      </c>
      <c r="D135" s="192"/>
      <c r="E135" s="180">
        <f t="shared" ref="E135:P135" si="57">E133*(1+$C$135)</f>
        <v>180449.47858380657</v>
      </c>
      <c r="F135" s="180">
        <f t="shared" si="57"/>
        <v>187452.5820320824</v>
      </c>
      <c r="G135" s="180">
        <f t="shared" si="57"/>
        <v>171084.97523186091</v>
      </c>
      <c r="H135" s="180">
        <f t="shared" si="57"/>
        <v>172925.63615140118</v>
      </c>
      <c r="I135" s="180">
        <f t="shared" si="57"/>
        <v>180164.06057611963</v>
      </c>
      <c r="J135" s="180">
        <f t="shared" si="57"/>
        <v>178549.92321979781</v>
      </c>
      <c r="K135" s="180">
        <f t="shared" si="57"/>
        <v>183122.6140243955</v>
      </c>
      <c r="L135" s="180">
        <f t="shared" si="57"/>
        <v>176354.79793244143</v>
      </c>
      <c r="M135" s="180">
        <f t="shared" si="57"/>
        <v>179682.52781749895</v>
      </c>
      <c r="N135" s="180">
        <f t="shared" si="57"/>
        <v>200297.82018056815</v>
      </c>
      <c r="O135" s="180">
        <f t="shared" si="57"/>
        <v>189236.1684564302</v>
      </c>
      <c r="P135" s="180">
        <f t="shared" si="57"/>
        <v>189246.08224953365</v>
      </c>
      <c r="Q135" s="180">
        <f>SUM(E135:P135)</f>
        <v>2188566.6664559366</v>
      </c>
    </row>
    <row r="137" spans="1:19">
      <c r="E137" s="239">
        <f t="shared" ref="E137:P137" si="58">E135-E133</f>
        <v>23536.888510931283</v>
      </c>
      <c r="F137" s="239">
        <f t="shared" si="58"/>
        <v>24450.336786793341</v>
      </c>
      <c r="G137" s="239">
        <f t="shared" si="58"/>
        <v>22315.431551981834</v>
      </c>
      <c r="H137" s="239">
        <f t="shared" si="58"/>
        <v>22555.517758878414</v>
      </c>
      <c r="I137" s="239">
        <f t="shared" si="58"/>
        <v>23499.660075146036</v>
      </c>
      <c r="J137" s="239">
        <f t="shared" si="58"/>
        <v>23289.120419973624</v>
      </c>
      <c r="K137" s="239">
        <f t="shared" si="58"/>
        <v>23885.558351008105</v>
      </c>
      <c r="L137" s="239">
        <f t="shared" si="58"/>
        <v>23002.799730318424</v>
      </c>
      <c r="M137" s="239">
        <f t="shared" si="58"/>
        <v>23436.851454456366</v>
      </c>
      <c r="N137" s="239">
        <f t="shared" si="58"/>
        <v>26125.802632248</v>
      </c>
      <c r="O137" s="239">
        <f t="shared" si="58"/>
        <v>24682.97849431698</v>
      </c>
      <c r="P137" s="239">
        <f t="shared" si="58"/>
        <v>24684.271597765241</v>
      </c>
    </row>
    <row r="138" spans="1:19" ht="14.5">
      <c r="E138" s="121">
        <v>232086</v>
      </c>
      <c r="F138" s="121">
        <v>232086</v>
      </c>
      <c r="G138" s="121">
        <v>232086</v>
      </c>
      <c r="H138" s="121">
        <v>232086</v>
      </c>
      <c r="I138" s="121">
        <v>232086</v>
      </c>
      <c r="J138" s="121">
        <v>232086</v>
      </c>
      <c r="K138" s="121">
        <v>232086</v>
      </c>
      <c r="L138" s="121">
        <v>232086</v>
      </c>
      <c r="M138" s="121">
        <v>232086</v>
      </c>
      <c r="N138" s="121">
        <v>232086</v>
      </c>
      <c r="O138" s="121">
        <v>232086</v>
      </c>
      <c r="P138" s="121">
        <v>232086</v>
      </c>
    </row>
    <row r="139" spans="1:19">
      <c r="E139" s="239">
        <f t="shared" ref="E139:P139" si="59">E138-E133</f>
        <v>75173.409927124711</v>
      </c>
      <c r="F139" s="239">
        <f t="shared" si="59"/>
        <v>69083.754754710943</v>
      </c>
      <c r="G139" s="239">
        <f t="shared" si="59"/>
        <v>83316.456320120924</v>
      </c>
      <c r="H139" s="239">
        <f t="shared" si="59"/>
        <v>81715.881607477233</v>
      </c>
      <c r="I139" s="239">
        <f t="shared" si="59"/>
        <v>75421.599499026401</v>
      </c>
      <c r="J139" s="239">
        <f t="shared" si="59"/>
        <v>76825.197200175811</v>
      </c>
      <c r="K139" s="239">
        <f t="shared" si="59"/>
        <v>72848.944326612604</v>
      </c>
      <c r="L139" s="239">
        <f t="shared" si="59"/>
        <v>78734.00179787699</v>
      </c>
      <c r="M139" s="239">
        <f t="shared" si="59"/>
        <v>75840.323636957415</v>
      </c>
      <c r="N139" s="239">
        <f t="shared" si="59"/>
        <v>57913.982451679854</v>
      </c>
      <c r="O139" s="239">
        <f t="shared" si="59"/>
        <v>67532.810037886782</v>
      </c>
      <c r="P139" s="239">
        <f t="shared" si="59"/>
        <v>67524.189348231594</v>
      </c>
    </row>
    <row r="140" spans="1:19">
      <c r="E140" s="239"/>
      <c r="F140" s="239"/>
      <c r="G140" s="239"/>
      <c r="H140" s="239"/>
      <c r="I140" s="239"/>
      <c r="J140" s="239"/>
      <c r="K140" s="239"/>
      <c r="L140" s="239"/>
      <c r="M140" s="239"/>
      <c r="N140" s="239"/>
      <c r="O140" s="239"/>
      <c r="P140" s="239"/>
    </row>
    <row r="141" spans="1:19">
      <c r="E141" s="239"/>
      <c r="F141" s="239"/>
      <c r="G141" s="239"/>
      <c r="H141" s="239"/>
      <c r="I141" s="239"/>
      <c r="J141" s="239"/>
      <c r="K141" s="239"/>
      <c r="L141" s="239"/>
      <c r="M141" s="239"/>
      <c r="N141" s="239"/>
      <c r="O141" s="239"/>
      <c r="P141" s="239"/>
    </row>
    <row r="142" spans="1:19">
      <c r="E142" s="239"/>
      <c r="F142" s="239"/>
      <c r="G142" s="239"/>
      <c r="H142" s="239"/>
      <c r="I142" s="239"/>
      <c r="J142" s="239"/>
      <c r="K142" s="239"/>
      <c r="L142" s="239"/>
      <c r="M142" s="239"/>
      <c r="N142" s="239"/>
      <c r="O142" s="239"/>
      <c r="P142" s="239"/>
    </row>
    <row r="143" spans="1:19">
      <c r="A143" s="238" t="s">
        <v>691</v>
      </c>
      <c r="E143" s="242">
        <f t="shared" ref="E143:P143" si="60">E150+E151+$C224+$C225+$C226+$C227+$C238+$C239</f>
        <v>205.41331557184299</v>
      </c>
      <c r="F143" s="242">
        <f t="shared" si="60"/>
        <v>210.53096263066601</v>
      </c>
      <c r="G143" s="242">
        <f t="shared" si="60"/>
        <v>195.80155086596</v>
      </c>
      <c r="H143" s="242">
        <f t="shared" si="60"/>
        <v>195.80155086596</v>
      </c>
      <c r="I143" s="242">
        <f t="shared" si="60"/>
        <v>207.03684498360701</v>
      </c>
      <c r="J143" s="242">
        <f t="shared" si="60"/>
        <v>207.03684498360701</v>
      </c>
      <c r="K143" s="242">
        <f t="shared" si="60"/>
        <v>207.03684498360701</v>
      </c>
      <c r="L143" s="242">
        <f t="shared" si="60"/>
        <v>207.03684498360701</v>
      </c>
      <c r="M143" s="242">
        <f t="shared" si="60"/>
        <v>207.03684498360701</v>
      </c>
      <c r="N143" s="242">
        <f t="shared" si="60"/>
        <v>231.213315571843</v>
      </c>
      <c r="O143" s="242">
        <f t="shared" si="60"/>
        <v>231.213315571843</v>
      </c>
      <c r="P143" s="242">
        <f t="shared" si="60"/>
        <v>231.213315571843</v>
      </c>
    </row>
    <row r="144" spans="1:19">
      <c r="E144" s="242"/>
      <c r="F144" s="242"/>
      <c r="G144" s="242"/>
      <c r="H144" s="242"/>
      <c r="I144" s="242"/>
      <c r="J144" s="242"/>
      <c r="K144" s="242"/>
      <c r="L144" s="242"/>
      <c r="M144" s="242"/>
      <c r="N144" s="242"/>
      <c r="O144" s="242"/>
      <c r="P144" s="242"/>
    </row>
    <row r="145" spans="1:17">
      <c r="A145" s="198" t="s">
        <v>692</v>
      </c>
      <c r="B145" s="198"/>
      <c r="C145" s="198" t="s">
        <v>693</v>
      </c>
      <c r="D145" s="198"/>
      <c r="E145" s="199">
        <v>30</v>
      </c>
      <c r="F145" s="199">
        <v>30</v>
      </c>
      <c r="G145" s="199">
        <v>30</v>
      </c>
      <c r="H145" s="199">
        <v>30</v>
      </c>
      <c r="I145" s="199">
        <v>30</v>
      </c>
      <c r="J145" s="199">
        <v>30</v>
      </c>
      <c r="K145" s="199">
        <v>30</v>
      </c>
      <c r="L145" s="199">
        <v>30</v>
      </c>
      <c r="M145" s="199">
        <v>30</v>
      </c>
      <c r="N145" s="199">
        <v>30</v>
      </c>
      <c r="O145" s="199">
        <v>30</v>
      </c>
      <c r="P145" s="199">
        <v>30</v>
      </c>
    </row>
    <row r="146" spans="1:17">
      <c r="A146" s="198"/>
      <c r="B146" s="198"/>
      <c r="C146" s="198" t="s">
        <v>694</v>
      </c>
      <c r="D146" s="198"/>
      <c r="E146" s="199">
        <v>12</v>
      </c>
      <c r="F146" s="199">
        <v>12</v>
      </c>
      <c r="G146" s="199">
        <v>12</v>
      </c>
      <c r="H146" s="199">
        <v>12</v>
      </c>
      <c r="I146" s="199">
        <v>12</v>
      </c>
      <c r="J146" s="199">
        <v>12</v>
      </c>
      <c r="K146" s="199">
        <v>12</v>
      </c>
      <c r="L146" s="199">
        <v>12</v>
      </c>
      <c r="M146" s="199">
        <v>12</v>
      </c>
      <c r="N146" s="199">
        <v>12</v>
      </c>
      <c r="O146" s="199">
        <v>12</v>
      </c>
      <c r="P146" s="199">
        <v>12</v>
      </c>
    </row>
    <row r="147" spans="1:17">
      <c r="A147" s="198"/>
      <c r="B147" s="198"/>
      <c r="C147" s="198" t="s">
        <v>695</v>
      </c>
      <c r="D147" s="198"/>
      <c r="E147" s="199">
        <f t="shared" ref="E147:P147" si="61">E145-E146</f>
        <v>18</v>
      </c>
      <c r="F147" s="199">
        <f t="shared" si="61"/>
        <v>18</v>
      </c>
      <c r="G147" s="199">
        <f t="shared" si="61"/>
        <v>18</v>
      </c>
      <c r="H147" s="199">
        <f t="shared" si="61"/>
        <v>18</v>
      </c>
      <c r="I147" s="199">
        <f t="shared" si="61"/>
        <v>18</v>
      </c>
      <c r="J147" s="199">
        <f t="shared" si="61"/>
        <v>18</v>
      </c>
      <c r="K147" s="199">
        <f t="shared" si="61"/>
        <v>18</v>
      </c>
      <c r="L147" s="199">
        <f t="shared" si="61"/>
        <v>18</v>
      </c>
      <c r="M147" s="199">
        <f t="shared" si="61"/>
        <v>18</v>
      </c>
      <c r="N147" s="199">
        <f t="shared" si="61"/>
        <v>18</v>
      </c>
      <c r="O147" s="199">
        <f t="shared" si="61"/>
        <v>18</v>
      </c>
      <c r="P147" s="199">
        <f t="shared" si="61"/>
        <v>18</v>
      </c>
    </row>
    <row r="149" spans="1:17">
      <c r="A149" s="168" t="s">
        <v>5</v>
      </c>
      <c r="B149" s="168"/>
      <c r="C149" s="168" t="s">
        <v>697</v>
      </c>
      <c r="D149" s="168" t="s">
        <v>654</v>
      </c>
      <c r="E149" s="169">
        <v>46023</v>
      </c>
      <c r="F149" s="169">
        <v>46054</v>
      </c>
      <c r="G149" s="169">
        <v>46082</v>
      </c>
      <c r="H149" s="169">
        <v>46113</v>
      </c>
      <c r="I149" s="169">
        <v>46143</v>
      </c>
      <c r="J149" s="169">
        <v>46174</v>
      </c>
      <c r="K149" s="169">
        <v>46204</v>
      </c>
      <c r="L149" s="169">
        <v>46235</v>
      </c>
      <c r="M149" s="169">
        <v>46266</v>
      </c>
      <c r="N149" s="169">
        <v>46296</v>
      </c>
      <c r="O149" s="169">
        <v>46327</v>
      </c>
      <c r="P149" s="169">
        <v>46357</v>
      </c>
      <c r="Q149" s="170" t="s">
        <v>698</v>
      </c>
    </row>
    <row r="150" spans="1:17">
      <c r="A150" s="198" t="s">
        <v>699</v>
      </c>
      <c r="B150" s="198"/>
      <c r="C150" s="198"/>
      <c r="D150" s="198"/>
      <c r="E150" s="204">
        <v>133.41331557184299</v>
      </c>
      <c r="F150" s="204">
        <v>137.53096263066601</v>
      </c>
      <c r="G150" s="204">
        <v>125.80155086596</v>
      </c>
      <c r="H150" s="204">
        <v>125.80155086596</v>
      </c>
      <c r="I150" s="204">
        <v>134.03684498360701</v>
      </c>
      <c r="J150" s="204">
        <v>134.03684498360701</v>
      </c>
      <c r="K150" s="204">
        <v>134.03684498360701</v>
      </c>
      <c r="L150" s="204">
        <v>134.03684498360701</v>
      </c>
      <c r="M150" s="204">
        <v>134.03684498360701</v>
      </c>
      <c r="N150" s="204">
        <v>155.213315571843</v>
      </c>
      <c r="O150" s="204">
        <v>155.213315571843</v>
      </c>
      <c r="P150" s="204">
        <v>155.213315571843</v>
      </c>
      <c r="Q150" s="199"/>
    </row>
    <row r="151" spans="1:17">
      <c r="A151" s="198" t="s">
        <v>750</v>
      </c>
      <c r="B151" s="198"/>
      <c r="C151" s="198"/>
      <c r="D151" s="198"/>
      <c r="E151" s="199">
        <v>53</v>
      </c>
      <c r="F151" s="199">
        <v>54</v>
      </c>
      <c r="G151" s="199">
        <v>51</v>
      </c>
      <c r="H151" s="199">
        <v>51</v>
      </c>
      <c r="I151" s="199">
        <v>54</v>
      </c>
      <c r="J151" s="199">
        <v>54</v>
      </c>
      <c r="K151" s="199">
        <v>54</v>
      </c>
      <c r="L151" s="199">
        <v>54</v>
      </c>
      <c r="M151" s="199">
        <v>54</v>
      </c>
      <c r="N151" s="199">
        <v>57</v>
      </c>
      <c r="O151" s="199">
        <v>57</v>
      </c>
      <c r="P151" s="199">
        <v>57</v>
      </c>
      <c r="Q151" s="199"/>
    </row>
    <row r="152" spans="1:17" ht="15.5">
      <c r="A152" s="205" t="s">
        <v>420</v>
      </c>
      <c r="B152" s="205"/>
      <c r="C152" s="206" t="s">
        <v>421</v>
      </c>
      <c r="D152" s="178">
        <v>360</v>
      </c>
      <c r="E152" s="207">
        <f t="shared" ref="E152:P152" si="62">SUMPRODUCT(E$150,$D152)</f>
        <v>48028.793605863473</v>
      </c>
      <c r="F152" s="207">
        <f t="shared" si="62"/>
        <v>49511.146547039767</v>
      </c>
      <c r="G152" s="207">
        <f t="shared" si="62"/>
        <v>45288.558311745597</v>
      </c>
      <c r="H152" s="207">
        <f t="shared" si="62"/>
        <v>45288.558311745597</v>
      </c>
      <c r="I152" s="207">
        <f t="shared" si="62"/>
        <v>48253.264194098527</v>
      </c>
      <c r="J152" s="207">
        <f t="shared" si="62"/>
        <v>48253.264194098527</v>
      </c>
      <c r="K152" s="207">
        <f t="shared" si="62"/>
        <v>48253.264194098527</v>
      </c>
      <c r="L152" s="207">
        <f t="shared" si="62"/>
        <v>48253.264194098527</v>
      </c>
      <c r="M152" s="207">
        <f t="shared" si="62"/>
        <v>48253.264194098527</v>
      </c>
      <c r="N152" s="207">
        <f t="shared" si="62"/>
        <v>55876.79360586348</v>
      </c>
      <c r="O152" s="207">
        <f t="shared" si="62"/>
        <v>55876.79360586348</v>
      </c>
      <c r="P152" s="207">
        <f t="shared" si="62"/>
        <v>55876.79360586348</v>
      </c>
      <c r="Q152" s="208">
        <f t="shared" ref="Q152:Q165" si="63">SUM(E152:P152)</f>
        <v>597013.75856447755</v>
      </c>
    </row>
    <row r="153" spans="1:17" ht="15.5">
      <c r="A153" s="205"/>
      <c r="B153" s="205"/>
      <c r="C153" s="206" t="s">
        <v>51</v>
      </c>
      <c r="D153" s="178">
        <v>550</v>
      </c>
      <c r="E153" s="207">
        <f t="shared" ref="E153:P153" si="64">SUMPRODUCT(E$151,$D153)</f>
        <v>29150</v>
      </c>
      <c r="F153" s="207">
        <f t="shared" si="64"/>
        <v>29700</v>
      </c>
      <c r="G153" s="207">
        <f t="shared" si="64"/>
        <v>28050</v>
      </c>
      <c r="H153" s="207">
        <f t="shared" si="64"/>
        <v>28050</v>
      </c>
      <c r="I153" s="207">
        <f t="shared" si="64"/>
        <v>29700</v>
      </c>
      <c r="J153" s="207">
        <f t="shared" si="64"/>
        <v>29700</v>
      </c>
      <c r="K153" s="207">
        <f t="shared" si="64"/>
        <v>29700</v>
      </c>
      <c r="L153" s="207">
        <f t="shared" si="64"/>
        <v>29700</v>
      </c>
      <c r="M153" s="207">
        <f t="shared" si="64"/>
        <v>29700</v>
      </c>
      <c r="N153" s="207">
        <f t="shared" si="64"/>
        <v>31350</v>
      </c>
      <c r="O153" s="207">
        <f t="shared" si="64"/>
        <v>31350</v>
      </c>
      <c r="P153" s="207">
        <f t="shared" si="64"/>
        <v>31350</v>
      </c>
      <c r="Q153" s="208">
        <f t="shared" si="63"/>
        <v>357500</v>
      </c>
    </row>
    <row r="154" spans="1:17" ht="15.5">
      <c r="A154" s="205"/>
      <c r="B154" s="205"/>
      <c r="C154" s="206" t="s">
        <v>701</v>
      </c>
      <c r="D154" s="209">
        <f>45000*4</f>
        <v>180000</v>
      </c>
      <c r="E154" s="210">
        <f t="shared" ref="E154:P155" si="65">($D154/$R$1)</f>
        <v>2068.9655172413795</v>
      </c>
      <c r="F154" s="210">
        <f t="shared" si="65"/>
        <v>2068.9655172413795</v>
      </c>
      <c r="G154" s="210">
        <f t="shared" si="65"/>
        <v>2068.9655172413795</v>
      </c>
      <c r="H154" s="210">
        <f t="shared" si="65"/>
        <v>2068.9655172413795</v>
      </c>
      <c r="I154" s="210">
        <f t="shared" si="65"/>
        <v>2068.9655172413795</v>
      </c>
      <c r="J154" s="210">
        <f t="shared" si="65"/>
        <v>2068.9655172413795</v>
      </c>
      <c r="K154" s="210">
        <f t="shared" si="65"/>
        <v>2068.9655172413795</v>
      </c>
      <c r="L154" s="210">
        <f t="shared" si="65"/>
        <v>2068.9655172413795</v>
      </c>
      <c r="M154" s="210">
        <f t="shared" si="65"/>
        <v>2068.9655172413795</v>
      </c>
      <c r="N154" s="210">
        <f t="shared" si="65"/>
        <v>2068.9655172413795</v>
      </c>
      <c r="O154" s="210">
        <f t="shared" si="65"/>
        <v>2068.9655172413795</v>
      </c>
      <c r="P154" s="210">
        <f t="shared" si="65"/>
        <v>2068.9655172413795</v>
      </c>
      <c r="Q154" s="208">
        <f t="shared" si="63"/>
        <v>24827.586206896562</v>
      </c>
    </row>
    <row r="155" spans="1:17" ht="15.5">
      <c r="A155" s="205"/>
      <c r="B155" s="205"/>
      <c r="C155" s="206" t="s">
        <v>702</v>
      </c>
      <c r="D155" s="209">
        <f>18000*15</f>
        <v>270000</v>
      </c>
      <c r="E155" s="210">
        <f t="shared" si="65"/>
        <v>3103.4482758620688</v>
      </c>
      <c r="F155" s="210">
        <f t="shared" si="65"/>
        <v>3103.4482758620688</v>
      </c>
      <c r="G155" s="210">
        <f t="shared" si="65"/>
        <v>3103.4482758620688</v>
      </c>
      <c r="H155" s="210">
        <f t="shared" si="65"/>
        <v>3103.4482758620688</v>
      </c>
      <c r="I155" s="210">
        <f t="shared" si="65"/>
        <v>3103.4482758620688</v>
      </c>
      <c r="J155" s="210">
        <f t="shared" si="65"/>
        <v>3103.4482758620688</v>
      </c>
      <c r="K155" s="210">
        <f t="shared" si="65"/>
        <v>3103.4482758620688</v>
      </c>
      <c r="L155" s="210">
        <f t="shared" si="65"/>
        <v>3103.4482758620688</v>
      </c>
      <c r="M155" s="210">
        <f t="shared" si="65"/>
        <v>3103.4482758620688</v>
      </c>
      <c r="N155" s="210">
        <f t="shared" si="65"/>
        <v>3103.4482758620688</v>
      </c>
      <c r="O155" s="210">
        <f t="shared" si="65"/>
        <v>3103.4482758620688</v>
      </c>
      <c r="P155" s="210">
        <f t="shared" si="65"/>
        <v>3103.4482758620688</v>
      </c>
      <c r="Q155" s="208">
        <f t="shared" si="63"/>
        <v>37241.379310344826</v>
      </c>
    </row>
    <row r="156" spans="1:17" ht="15.5">
      <c r="A156" s="205"/>
      <c r="B156" s="205"/>
      <c r="C156" s="206" t="s">
        <v>703</v>
      </c>
      <c r="D156" s="209">
        <v>35000</v>
      </c>
      <c r="E156" s="210"/>
      <c r="F156" s="210"/>
      <c r="G156" s="210">
        <f t="shared" ref="G156:P156" si="66">($D156*4)/$R$1</f>
        <v>1609.1954022988505</v>
      </c>
      <c r="H156" s="210">
        <f t="shared" si="66"/>
        <v>1609.1954022988505</v>
      </c>
      <c r="I156" s="210">
        <f t="shared" si="66"/>
        <v>1609.1954022988505</v>
      </c>
      <c r="J156" s="210">
        <f t="shared" si="66"/>
        <v>1609.1954022988505</v>
      </c>
      <c r="K156" s="210">
        <f t="shared" si="66"/>
        <v>1609.1954022988505</v>
      </c>
      <c r="L156" s="210">
        <f t="shared" si="66"/>
        <v>1609.1954022988505</v>
      </c>
      <c r="M156" s="210">
        <f t="shared" si="66"/>
        <v>1609.1954022988505</v>
      </c>
      <c r="N156" s="210">
        <f t="shared" si="66"/>
        <v>1609.1954022988505</v>
      </c>
      <c r="O156" s="210">
        <f t="shared" si="66"/>
        <v>1609.1954022988505</v>
      </c>
      <c r="P156" s="210">
        <f t="shared" si="66"/>
        <v>1609.1954022988505</v>
      </c>
      <c r="Q156" s="208">
        <f t="shared" si="63"/>
        <v>16091.954022988504</v>
      </c>
    </row>
    <row r="157" spans="1:17" ht="15.5">
      <c r="A157" s="205"/>
      <c r="B157" s="205"/>
      <c r="C157" s="206" t="s">
        <v>59</v>
      </c>
      <c r="D157" s="211">
        <v>0.05</v>
      </c>
      <c r="E157" s="207">
        <f t="shared" ref="E157:P158" si="67">$D157*(E$152+E$153+E$154+E$155+E$156)</f>
        <v>4117.5603699483463</v>
      </c>
      <c r="F157" s="207">
        <f t="shared" si="67"/>
        <v>4219.1780170071606</v>
      </c>
      <c r="G157" s="207">
        <f t="shared" si="67"/>
        <v>4006.0083753573949</v>
      </c>
      <c r="H157" s="207">
        <f t="shared" si="67"/>
        <v>4006.0083753573949</v>
      </c>
      <c r="I157" s="207">
        <f t="shared" si="67"/>
        <v>4236.7436694750422</v>
      </c>
      <c r="J157" s="207">
        <f t="shared" si="67"/>
        <v>4236.7436694750422</v>
      </c>
      <c r="K157" s="207">
        <f t="shared" si="67"/>
        <v>4236.7436694750422</v>
      </c>
      <c r="L157" s="207">
        <f t="shared" si="67"/>
        <v>4236.7436694750422</v>
      </c>
      <c r="M157" s="207">
        <f t="shared" si="67"/>
        <v>4236.7436694750422</v>
      </c>
      <c r="N157" s="207">
        <f t="shared" si="67"/>
        <v>4700.4201400632892</v>
      </c>
      <c r="O157" s="207">
        <f t="shared" si="67"/>
        <v>4700.4201400632892</v>
      </c>
      <c r="P157" s="207">
        <f t="shared" si="67"/>
        <v>4700.4201400632892</v>
      </c>
      <c r="Q157" s="208">
        <f t="shared" si="63"/>
        <v>51633.733905235371</v>
      </c>
    </row>
    <row r="158" spans="1:17" ht="15.5">
      <c r="A158" s="205"/>
      <c r="B158" s="205"/>
      <c r="C158" s="206" t="s">
        <v>57</v>
      </c>
      <c r="D158" s="211">
        <v>0.05</v>
      </c>
      <c r="E158" s="207">
        <f t="shared" si="67"/>
        <v>4117.5603699483463</v>
      </c>
      <c r="F158" s="207">
        <f t="shared" si="67"/>
        <v>4219.1780170071606</v>
      </c>
      <c r="G158" s="207">
        <f t="shared" si="67"/>
        <v>4006.0083753573949</v>
      </c>
      <c r="H158" s="207">
        <f t="shared" si="67"/>
        <v>4006.0083753573949</v>
      </c>
      <c r="I158" s="207">
        <f t="shared" si="67"/>
        <v>4236.7436694750422</v>
      </c>
      <c r="J158" s="207">
        <f t="shared" si="67"/>
        <v>4236.7436694750422</v>
      </c>
      <c r="K158" s="207">
        <f t="shared" si="67"/>
        <v>4236.7436694750422</v>
      </c>
      <c r="L158" s="207">
        <f t="shared" si="67"/>
        <v>4236.7436694750422</v>
      </c>
      <c r="M158" s="207">
        <f t="shared" si="67"/>
        <v>4236.7436694750422</v>
      </c>
      <c r="N158" s="207">
        <f t="shared" si="67"/>
        <v>4700.4201400632892</v>
      </c>
      <c r="O158" s="207">
        <f t="shared" si="67"/>
        <v>4700.4201400632892</v>
      </c>
      <c r="P158" s="207">
        <f t="shared" si="67"/>
        <v>4700.4201400632892</v>
      </c>
      <c r="Q158" s="208">
        <f t="shared" si="63"/>
        <v>51633.733905235371</v>
      </c>
    </row>
    <row r="159" spans="1:17" ht="15.5">
      <c r="A159" s="205"/>
      <c r="B159" s="205"/>
      <c r="C159" s="206" t="s">
        <v>148</v>
      </c>
      <c r="D159" s="211"/>
      <c r="E159" s="207"/>
      <c r="F159" s="207"/>
      <c r="G159" s="207"/>
      <c r="H159" s="207"/>
      <c r="I159" s="207"/>
      <c r="J159" s="207"/>
      <c r="K159" s="207"/>
      <c r="L159" s="207"/>
      <c r="M159" s="207"/>
      <c r="N159" s="207"/>
      <c r="O159" s="207"/>
      <c r="P159" s="207"/>
      <c r="Q159" s="208">
        <f t="shared" si="63"/>
        <v>0</v>
      </c>
    </row>
    <row r="160" spans="1:17" ht="15.5">
      <c r="A160" s="205"/>
      <c r="B160" s="205"/>
      <c r="C160" s="206" t="s">
        <v>496</v>
      </c>
      <c r="D160" s="211">
        <v>0.01</v>
      </c>
      <c r="E160" s="207">
        <f>$D160*(E$152+E$153+E$154+E$155+E$156)</f>
        <v>823.51207398966915</v>
      </c>
      <c r="F160" s="207">
        <f t="shared" ref="F160:P163" si="68">$D160*(F$152+F$153)</f>
        <v>792.11146547039766</v>
      </c>
      <c r="G160" s="207">
        <f t="shared" si="68"/>
        <v>733.38558311745601</v>
      </c>
      <c r="H160" s="207">
        <f t="shared" si="68"/>
        <v>733.38558311745601</v>
      </c>
      <c r="I160" s="207">
        <f t="shared" si="68"/>
        <v>779.5326419409854</v>
      </c>
      <c r="J160" s="207">
        <f t="shared" si="68"/>
        <v>779.5326419409854</v>
      </c>
      <c r="K160" s="207">
        <f t="shared" si="68"/>
        <v>779.5326419409854</v>
      </c>
      <c r="L160" s="207">
        <f t="shared" si="68"/>
        <v>779.5326419409854</v>
      </c>
      <c r="M160" s="207">
        <f t="shared" si="68"/>
        <v>779.5326419409854</v>
      </c>
      <c r="N160" s="207">
        <f t="shared" si="68"/>
        <v>872.26793605863486</v>
      </c>
      <c r="O160" s="207">
        <f t="shared" si="68"/>
        <v>872.26793605863486</v>
      </c>
      <c r="P160" s="207">
        <f t="shared" si="68"/>
        <v>872.26793605863486</v>
      </c>
      <c r="Q160" s="208">
        <f t="shared" si="63"/>
        <v>9596.861723575812</v>
      </c>
    </row>
    <row r="161" spans="1:18" ht="15.5">
      <c r="A161" s="205"/>
      <c r="B161" s="205"/>
      <c r="C161" s="206" t="s">
        <v>58</v>
      </c>
      <c r="D161" s="211">
        <v>2.0911508615978698E-3</v>
      </c>
      <c r="E161" s="207">
        <f>$D161*(E$152+E$153+E$154+E$155+E$156)</f>
        <v>172.20879830597454</v>
      </c>
      <c r="F161" s="207">
        <f t="shared" si="68"/>
        <v>165.64245734999733</v>
      </c>
      <c r="G161" s="207">
        <f t="shared" si="68"/>
        <v>153.36198940195243</v>
      </c>
      <c r="H161" s="207">
        <f t="shared" si="68"/>
        <v>153.36198940195243</v>
      </c>
      <c r="I161" s="207">
        <f t="shared" si="68"/>
        <v>163.01203558385552</v>
      </c>
      <c r="J161" s="207">
        <f t="shared" si="68"/>
        <v>163.01203558385552</v>
      </c>
      <c r="K161" s="207">
        <f t="shared" si="68"/>
        <v>163.01203558385552</v>
      </c>
      <c r="L161" s="207">
        <f t="shared" si="68"/>
        <v>163.01203558385552</v>
      </c>
      <c r="M161" s="207">
        <f t="shared" si="68"/>
        <v>163.01203558385552</v>
      </c>
      <c r="N161" s="207">
        <f t="shared" si="68"/>
        <v>182.40438460332098</v>
      </c>
      <c r="O161" s="207">
        <f t="shared" si="68"/>
        <v>182.40438460332098</v>
      </c>
      <c r="P161" s="207">
        <f t="shared" si="68"/>
        <v>182.40438460332098</v>
      </c>
      <c r="Q161" s="208">
        <f t="shared" si="63"/>
        <v>2006.8485661891173</v>
      </c>
    </row>
    <row r="162" spans="1:18" ht="15.5">
      <c r="A162" s="205"/>
      <c r="B162" s="205"/>
      <c r="C162" s="206" t="s">
        <v>56</v>
      </c>
      <c r="D162" s="211">
        <v>3.72168464203178E-3</v>
      </c>
      <c r="E162" s="207">
        <f>$D162*(E$152+E$153+E$154+E$155+E$156)</f>
        <v>306.48522382950904</v>
      </c>
      <c r="F162" s="207">
        <f t="shared" si="68"/>
        <v>294.79890758184655</v>
      </c>
      <c r="G162" s="207">
        <f t="shared" si="68"/>
        <v>272.94298613757576</v>
      </c>
      <c r="H162" s="207">
        <f t="shared" si="68"/>
        <v>272.94298613757576</v>
      </c>
      <c r="I162" s="207">
        <f t="shared" si="68"/>
        <v>290.11746614742236</v>
      </c>
      <c r="J162" s="207">
        <f t="shared" si="68"/>
        <v>290.11746614742236</v>
      </c>
      <c r="K162" s="207">
        <f t="shared" si="68"/>
        <v>290.11746614742236</v>
      </c>
      <c r="L162" s="207">
        <f t="shared" si="68"/>
        <v>290.11746614742236</v>
      </c>
      <c r="M162" s="207">
        <f t="shared" si="68"/>
        <v>290.11746614742236</v>
      </c>
      <c r="N162" s="207">
        <f t="shared" si="68"/>
        <v>324.63061813661801</v>
      </c>
      <c r="O162" s="207">
        <f t="shared" si="68"/>
        <v>324.63061813661801</v>
      </c>
      <c r="P162" s="207">
        <f t="shared" si="68"/>
        <v>324.63061813661801</v>
      </c>
      <c r="Q162" s="208">
        <f t="shared" si="63"/>
        <v>3571.6492888334733</v>
      </c>
    </row>
    <row r="163" spans="1:18" ht="15.5">
      <c r="A163" s="212"/>
      <c r="B163" s="205"/>
      <c r="C163" s="206" t="s">
        <v>55</v>
      </c>
      <c r="D163" s="211">
        <v>4.84798949936668E-4</v>
      </c>
      <c r="E163" s="207">
        <f>$D163*(E$152+E$153+E$154+E$155+E$156)</f>
        <v>39.923778873035921</v>
      </c>
      <c r="F163" s="207">
        <f t="shared" si="68"/>
        <v>38.401480669284403</v>
      </c>
      <c r="G163" s="207">
        <f t="shared" si="68"/>
        <v>35.554456059403357</v>
      </c>
      <c r="H163" s="207">
        <f t="shared" si="68"/>
        <v>35.554456059403357</v>
      </c>
      <c r="I163" s="207">
        <f t="shared" si="68"/>
        <v>37.791660625434631</v>
      </c>
      <c r="J163" s="207">
        <f t="shared" si="68"/>
        <v>37.791660625434631</v>
      </c>
      <c r="K163" s="207">
        <f t="shared" si="68"/>
        <v>37.791660625434631</v>
      </c>
      <c r="L163" s="207">
        <f t="shared" si="68"/>
        <v>37.791660625434631</v>
      </c>
      <c r="M163" s="207">
        <f t="shared" si="68"/>
        <v>37.791660625434631</v>
      </c>
      <c r="N163" s="207">
        <f t="shared" si="68"/>
        <v>42.287457946465082</v>
      </c>
      <c r="O163" s="207">
        <f t="shared" si="68"/>
        <v>42.287457946465082</v>
      </c>
      <c r="P163" s="207">
        <f t="shared" si="68"/>
        <v>42.287457946465082</v>
      </c>
      <c r="Q163" s="208">
        <f t="shared" si="63"/>
        <v>465.25484862769554</v>
      </c>
    </row>
    <row r="164" spans="1:18" ht="15.5">
      <c r="A164" s="205"/>
      <c r="B164" s="205"/>
      <c r="C164" s="206" t="s">
        <v>751</v>
      </c>
      <c r="D164" s="178">
        <v>6500</v>
      </c>
      <c r="E164" s="207">
        <v>0</v>
      </c>
      <c r="F164" s="207">
        <v>3250</v>
      </c>
      <c r="G164" s="207">
        <v>0</v>
      </c>
      <c r="H164" s="207">
        <v>0</v>
      </c>
      <c r="I164" s="207">
        <v>3250</v>
      </c>
      <c r="J164" s="207">
        <v>0</v>
      </c>
      <c r="K164" s="207">
        <v>0</v>
      </c>
      <c r="L164" s="207">
        <v>0</v>
      </c>
      <c r="M164" s="207">
        <v>0</v>
      </c>
      <c r="N164" s="207">
        <v>0</v>
      </c>
      <c r="O164" s="207">
        <v>0</v>
      </c>
      <c r="P164" s="207">
        <v>0</v>
      </c>
      <c r="Q164" s="208">
        <f t="shared" si="63"/>
        <v>6500</v>
      </c>
    </row>
    <row r="165" spans="1:18" ht="15.5">
      <c r="A165" s="192" t="s">
        <v>424</v>
      </c>
      <c r="B165" s="192"/>
      <c r="C165" s="192"/>
      <c r="D165" s="192"/>
      <c r="E165" s="180">
        <f t="shared" ref="E165:P165" si="69">SUM(E152:E164)</f>
        <v>91928.458013861804</v>
      </c>
      <c r="F165" s="180">
        <f t="shared" si="69"/>
        <v>97362.870685229063</v>
      </c>
      <c r="G165" s="180">
        <f t="shared" si="69"/>
        <v>89327.429272579087</v>
      </c>
      <c r="H165" s="180">
        <f t="shared" si="69"/>
        <v>89327.429272579087</v>
      </c>
      <c r="I165" s="180">
        <f t="shared" si="69"/>
        <v>97728.814532748598</v>
      </c>
      <c r="J165" s="180">
        <f t="shared" si="69"/>
        <v>94478.814532748598</v>
      </c>
      <c r="K165" s="180">
        <f t="shared" si="69"/>
        <v>94478.814532748598</v>
      </c>
      <c r="L165" s="180">
        <f t="shared" si="69"/>
        <v>94478.814532748598</v>
      </c>
      <c r="M165" s="180">
        <f t="shared" si="69"/>
        <v>94478.814532748598</v>
      </c>
      <c r="N165" s="180">
        <f t="shared" si="69"/>
        <v>104830.8334781374</v>
      </c>
      <c r="O165" s="180">
        <f t="shared" si="69"/>
        <v>104830.8334781374</v>
      </c>
      <c r="P165" s="180">
        <f t="shared" si="69"/>
        <v>104830.8334781374</v>
      </c>
      <c r="Q165" s="180">
        <f t="shared" si="63"/>
        <v>1158082.7603424042</v>
      </c>
    </row>
    <row r="167" spans="1:18" ht="15.5">
      <c r="A167" s="205" t="s">
        <v>425</v>
      </c>
      <c r="B167" s="205"/>
      <c r="C167" s="206" t="s">
        <v>426</v>
      </c>
      <c r="D167" s="198"/>
      <c r="E167" s="214">
        <v>4549.06896551724</v>
      </c>
      <c r="F167" s="214">
        <v>4549.06896551724</v>
      </c>
      <c r="G167" s="214">
        <v>4549.06896551724</v>
      </c>
      <c r="H167" s="214">
        <v>4549.06896551724</v>
      </c>
      <c r="I167" s="214">
        <v>4549.06896551724</v>
      </c>
      <c r="J167" s="214">
        <v>4549.06896551724</v>
      </c>
      <c r="K167" s="214"/>
      <c r="L167" s="214"/>
      <c r="M167" s="214"/>
      <c r="N167" s="214"/>
      <c r="O167" s="214"/>
      <c r="P167" s="214"/>
      <c r="Q167" s="208">
        <f t="shared" ref="Q167:Q177" si="70">SUM(E167:P167)</f>
        <v>27294.413793103438</v>
      </c>
    </row>
    <row r="168" spans="1:18">
      <c r="A168" s="198"/>
      <c r="B168" s="198"/>
      <c r="C168" s="206" t="s">
        <v>428</v>
      </c>
      <c r="D168" s="198"/>
      <c r="E168" s="214">
        <v>3196.2298850574698</v>
      </c>
      <c r="F168" s="214">
        <v>3196.2298850574698</v>
      </c>
      <c r="G168" s="214">
        <v>3196.2298850574698</v>
      </c>
      <c r="H168" s="214">
        <v>3196.2298850574698</v>
      </c>
      <c r="I168" s="214">
        <v>3196.2298850574698</v>
      </c>
      <c r="J168" s="214">
        <v>3196.2298850574698</v>
      </c>
      <c r="K168" s="214">
        <v>3196.2298850574698</v>
      </c>
      <c r="L168" s="214">
        <v>3196.2298850574698</v>
      </c>
      <c r="M168" s="214">
        <v>3196.2298850574698</v>
      </c>
      <c r="N168" s="214">
        <v>3196.2298850574698</v>
      </c>
      <c r="O168" s="214">
        <v>3196.2298850574698</v>
      </c>
      <c r="P168" s="214">
        <v>3196.2298850574698</v>
      </c>
      <c r="Q168" s="208">
        <f t="shared" si="70"/>
        <v>38354.758620689638</v>
      </c>
      <c r="R168" s="221"/>
    </row>
    <row r="169" spans="1:18">
      <c r="A169" s="198"/>
      <c r="B169" s="198"/>
      <c r="C169" s="206" t="s">
        <v>430</v>
      </c>
      <c r="D169" s="198"/>
      <c r="E169" s="214">
        <v>1830.4608045977</v>
      </c>
      <c r="F169" s="214">
        <v>1830.4608045977</v>
      </c>
      <c r="G169" s="214">
        <v>1830.4608045977</v>
      </c>
      <c r="H169" s="214">
        <v>1830.4608045977</v>
      </c>
      <c r="I169" s="214">
        <v>1830.4608045977</v>
      </c>
      <c r="J169" s="214">
        <v>1830.4608045977</v>
      </c>
      <c r="K169" s="214">
        <v>1830.4608045977</v>
      </c>
      <c r="L169" s="214">
        <v>1830.4608045977</v>
      </c>
      <c r="M169" s="214">
        <v>1830.4608045977</v>
      </c>
      <c r="N169" s="214">
        <v>1830.4608045977</v>
      </c>
      <c r="O169" s="214">
        <v>1830.4608045977</v>
      </c>
      <c r="P169" s="214">
        <v>1830.4608045977</v>
      </c>
      <c r="Q169" s="208">
        <f t="shared" si="70"/>
        <v>21965.529655172399</v>
      </c>
    </row>
    <row r="170" spans="1:18">
      <c r="A170" s="198"/>
      <c r="B170" s="198"/>
      <c r="C170" s="206" t="s">
        <v>427</v>
      </c>
      <c r="D170" s="198"/>
      <c r="E170" s="214">
        <v>4597.7011494252902</v>
      </c>
      <c r="F170" s="214">
        <v>4597.7011494252902</v>
      </c>
      <c r="G170" s="214">
        <v>4597.7011494252902</v>
      </c>
      <c r="H170" s="214">
        <v>4597.7011494252902</v>
      </c>
      <c r="I170" s="214">
        <v>4597.7011494252902</v>
      </c>
      <c r="J170" s="214">
        <v>4597.7011494252902</v>
      </c>
      <c r="K170" s="214">
        <v>4597.7011494252902</v>
      </c>
      <c r="L170" s="214">
        <v>4597.7011494252902</v>
      </c>
      <c r="M170" s="214">
        <v>4597.7011494252902</v>
      </c>
      <c r="N170" s="214">
        <v>4597.7011494252902</v>
      </c>
      <c r="O170" s="214">
        <v>4597.7011494252902</v>
      </c>
      <c r="P170" s="214">
        <v>4597.7011494252902</v>
      </c>
      <c r="Q170" s="208">
        <f t="shared" si="70"/>
        <v>55172.413793103471</v>
      </c>
    </row>
    <row r="171" spans="1:18">
      <c r="A171" s="198"/>
      <c r="B171" s="198"/>
      <c r="C171" s="206" t="s">
        <v>426</v>
      </c>
      <c r="D171" s="198"/>
      <c r="E171" s="214">
        <v>785.74712643678197</v>
      </c>
      <c r="F171" s="214">
        <v>785.74712643678197</v>
      </c>
      <c r="G171" s="214">
        <v>785.74712643678197</v>
      </c>
      <c r="H171" s="214">
        <v>785.74712643678197</v>
      </c>
      <c r="I171" s="214">
        <v>785.74712643678197</v>
      </c>
      <c r="J171" s="214">
        <v>785.74712643678197</v>
      </c>
      <c r="K171" s="214"/>
      <c r="L171" s="214"/>
      <c r="M171" s="214"/>
      <c r="N171" s="214"/>
      <c r="O171" s="214"/>
      <c r="P171" s="214"/>
      <c r="Q171" s="208">
        <f t="shared" si="70"/>
        <v>4714.482758620692</v>
      </c>
    </row>
    <row r="172" spans="1:18">
      <c r="A172" s="198"/>
      <c r="B172" s="198"/>
      <c r="C172" s="206" t="s">
        <v>431</v>
      </c>
      <c r="D172" s="198"/>
      <c r="E172" s="214">
        <v>301.72413793103402</v>
      </c>
      <c r="F172" s="214">
        <v>301.72413793103402</v>
      </c>
      <c r="G172" s="214">
        <v>301.72413793103402</v>
      </c>
      <c r="H172" s="214">
        <v>301.72413793103402</v>
      </c>
      <c r="I172" s="214">
        <v>301.72413793103402</v>
      </c>
      <c r="J172" s="214">
        <v>301.72413793103402</v>
      </c>
      <c r="K172" s="214">
        <v>301.72413793103402</v>
      </c>
      <c r="L172" s="214">
        <v>301.72413793103402</v>
      </c>
      <c r="M172" s="214">
        <v>301.72413793103402</v>
      </c>
      <c r="N172" s="214">
        <v>301.72413793103402</v>
      </c>
      <c r="O172" s="214">
        <v>301.72413793103402</v>
      </c>
      <c r="P172" s="214">
        <v>301.72413793103402</v>
      </c>
      <c r="Q172" s="208">
        <f t="shared" si="70"/>
        <v>3620.689655172408</v>
      </c>
    </row>
    <row r="173" spans="1:18">
      <c r="A173" s="198"/>
      <c r="B173" s="198"/>
      <c r="C173" s="206" t="s">
        <v>429</v>
      </c>
      <c r="D173" s="178">
        <v>290</v>
      </c>
      <c r="E173" s="214">
        <v>290</v>
      </c>
      <c r="F173" s="214">
        <v>290</v>
      </c>
      <c r="G173" s="214">
        <v>290</v>
      </c>
      <c r="H173" s="214">
        <v>290</v>
      </c>
      <c r="I173" s="214">
        <v>290</v>
      </c>
      <c r="J173" s="214">
        <v>290</v>
      </c>
      <c r="K173" s="214">
        <v>290</v>
      </c>
      <c r="L173" s="214">
        <v>290</v>
      </c>
      <c r="M173" s="214">
        <v>290</v>
      </c>
      <c r="N173" s="214">
        <v>290</v>
      </c>
      <c r="O173" s="214">
        <v>290</v>
      </c>
      <c r="P173" s="214">
        <v>290</v>
      </c>
      <c r="Q173" s="208">
        <f t="shared" si="70"/>
        <v>3480</v>
      </c>
    </row>
    <row r="174" spans="1:18">
      <c r="A174" s="198"/>
      <c r="B174" s="198"/>
      <c r="C174" s="206" t="s">
        <v>706</v>
      </c>
      <c r="D174" s="209">
        <v>800000</v>
      </c>
      <c r="E174" s="199"/>
      <c r="F174" s="199"/>
      <c r="G174" s="210"/>
      <c r="H174" s="214"/>
      <c r="I174" s="214"/>
      <c r="J174" s="214"/>
      <c r="K174" s="214">
        <f t="shared" ref="K174:P174" si="71">($D174/$R$1)</f>
        <v>9195.4022988505749</v>
      </c>
      <c r="L174" s="214">
        <f t="shared" si="71"/>
        <v>9195.4022988505749</v>
      </c>
      <c r="M174" s="214">
        <f t="shared" si="71"/>
        <v>9195.4022988505749</v>
      </c>
      <c r="N174" s="214">
        <f t="shared" si="71"/>
        <v>9195.4022988505749</v>
      </c>
      <c r="O174" s="214">
        <f t="shared" si="71"/>
        <v>9195.4022988505749</v>
      </c>
      <c r="P174" s="214">
        <f t="shared" si="71"/>
        <v>9195.4022988505749</v>
      </c>
      <c r="Q174" s="208">
        <f t="shared" si="70"/>
        <v>55172.413793103449</v>
      </c>
    </row>
    <row r="175" spans="1:18">
      <c r="A175" s="198"/>
      <c r="B175" s="198"/>
      <c r="C175" s="206" t="s">
        <v>707</v>
      </c>
      <c r="D175" s="198"/>
      <c r="E175" s="199"/>
      <c r="F175" s="199"/>
      <c r="G175" s="199"/>
      <c r="H175" s="214"/>
      <c r="I175" s="214"/>
      <c r="J175" s="214"/>
      <c r="K175" s="214">
        <v>800</v>
      </c>
      <c r="L175" s="214">
        <v>800</v>
      </c>
      <c r="M175" s="214">
        <v>800</v>
      </c>
      <c r="N175" s="214">
        <v>800</v>
      </c>
      <c r="O175" s="214">
        <v>800</v>
      </c>
      <c r="P175" s="214">
        <v>800</v>
      </c>
      <c r="Q175" s="208">
        <f t="shared" si="70"/>
        <v>4800</v>
      </c>
    </row>
    <row r="176" spans="1:18">
      <c r="A176" s="198"/>
      <c r="B176" s="198"/>
      <c r="C176" s="198"/>
      <c r="D176" s="198"/>
      <c r="E176" s="199"/>
      <c r="F176" s="199"/>
      <c r="G176" s="199"/>
      <c r="H176" s="199"/>
      <c r="I176" s="199"/>
      <c r="J176" s="199"/>
      <c r="K176" s="199"/>
      <c r="L176" s="199"/>
      <c r="M176" s="199"/>
      <c r="N176" s="199"/>
      <c r="O176" s="199"/>
      <c r="P176" s="199"/>
      <c r="Q176" s="208">
        <f t="shared" si="70"/>
        <v>0</v>
      </c>
    </row>
    <row r="177" spans="1:17" ht="15.5">
      <c r="A177" s="181" t="s">
        <v>708</v>
      </c>
      <c r="B177" s="181"/>
      <c r="C177" s="181"/>
      <c r="D177" s="181"/>
      <c r="E177" s="182">
        <f t="shared" ref="E177:P177" si="72">SUM(E167:E176)</f>
        <v>15550.932068965516</v>
      </c>
      <c r="F177" s="182">
        <f t="shared" si="72"/>
        <v>15550.932068965516</v>
      </c>
      <c r="G177" s="182">
        <f t="shared" si="72"/>
        <v>15550.932068965516</v>
      </c>
      <c r="H177" s="182">
        <f t="shared" si="72"/>
        <v>15550.932068965516</v>
      </c>
      <c r="I177" s="182">
        <f t="shared" si="72"/>
        <v>15550.932068965516</v>
      </c>
      <c r="J177" s="182">
        <f t="shared" si="72"/>
        <v>15550.932068965516</v>
      </c>
      <c r="K177" s="182">
        <f t="shared" si="72"/>
        <v>20211.518275862072</v>
      </c>
      <c r="L177" s="182">
        <f t="shared" si="72"/>
        <v>20211.518275862072</v>
      </c>
      <c r="M177" s="182">
        <f t="shared" si="72"/>
        <v>20211.518275862072</v>
      </c>
      <c r="N177" s="182">
        <f t="shared" si="72"/>
        <v>20211.518275862072</v>
      </c>
      <c r="O177" s="182">
        <f t="shared" si="72"/>
        <v>20211.518275862072</v>
      </c>
      <c r="P177" s="182">
        <f t="shared" si="72"/>
        <v>20211.518275862072</v>
      </c>
      <c r="Q177" s="182">
        <f t="shared" si="70"/>
        <v>214574.7020689655</v>
      </c>
    </row>
    <row r="178" spans="1:17">
      <c r="A178" s="198"/>
      <c r="B178" s="198"/>
      <c r="C178" s="198"/>
      <c r="D178" s="198"/>
      <c r="E178" s="199"/>
      <c r="F178" s="199"/>
      <c r="G178" s="199"/>
      <c r="H178" s="199"/>
      <c r="I178" s="199"/>
      <c r="J178" s="199"/>
      <c r="K178" s="199"/>
      <c r="L178" s="199"/>
      <c r="M178" s="199"/>
      <c r="N178" s="199"/>
      <c r="O178" s="199"/>
      <c r="P178" s="199"/>
      <c r="Q178" s="199"/>
    </row>
    <row r="179" spans="1:17" ht="15.5">
      <c r="A179" s="205" t="s">
        <v>434</v>
      </c>
      <c r="B179" s="216"/>
      <c r="C179" s="206"/>
      <c r="D179" s="217"/>
      <c r="E179" s="210"/>
      <c r="F179" s="210"/>
      <c r="G179" s="210"/>
      <c r="H179" s="210"/>
      <c r="I179" s="210"/>
      <c r="J179" s="210"/>
      <c r="K179" s="210"/>
      <c r="L179" s="210"/>
      <c r="M179" s="210"/>
      <c r="N179" s="210"/>
      <c r="O179" s="210"/>
      <c r="P179" s="210"/>
      <c r="Q179" s="208"/>
    </row>
    <row r="180" spans="1:17">
      <c r="A180" s="198"/>
      <c r="B180" s="216" t="s">
        <v>709</v>
      </c>
      <c r="C180" s="218" t="s">
        <v>710</v>
      </c>
      <c r="D180" s="219">
        <v>283.83155080213902</v>
      </c>
      <c r="E180" s="210">
        <f>($D180*E$143)/$R$1</f>
        <v>670.14689556511917</v>
      </c>
      <c r="F180" s="210">
        <f>($D180*F$143)/$R$1</f>
        <v>686.84286914171389</v>
      </c>
      <c r="G180" s="210"/>
      <c r="H180" s="210"/>
      <c r="I180" s="210"/>
      <c r="J180" s="210"/>
      <c r="K180" s="210"/>
      <c r="L180" s="210"/>
      <c r="M180" s="210"/>
      <c r="N180" s="210"/>
      <c r="O180" s="210"/>
      <c r="P180" s="210"/>
      <c r="Q180" s="208">
        <f t="shared" ref="Q180:Q186" si="73">SUM(E180:P180)</f>
        <v>1356.9897647068331</v>
      </c>
    </row>
    <row r="181" spans="1:17">
      <c r="A181" s="198"/>
      <c r="B181" s="216"/>
      <c r="C181" s="218" t="s">
        <v>711</v>
      </c>
      <c r="D181" s="209">
        <v>33000</v>
      </c>
      <c r="E181" s="210">
        <f t="shared" ref="E181:P181" si="74">($D181/$R$1)</f>
        <v>379.31034482758622</v>
      </c>
      <c r="F181" s="210">
        <f t="shared" si="74"/>
        <v>379.31034482758622</v>
      </c>
      <c r="G181" s="210">
        <f t="shared" si="74"/>
        <v>379.31034482758622</v>
      </c>
      <c r="H181" s="210">
        <f t="shared" si="74"/>
        <v>379.31034482758622</v>
      </c>
      <c r="I181" s="210">
        <f t="shared" si="74"/>
        <v>379.31034482758622</v>
      </c>
      <c r="J181" s="210">
        <f t="shared" si="74"/>
        <v>379.31034482758622</v>
      </c>
      <c r="K181" s="210">
        <f t="shared" si="74"/>
        <v>379.31034482758622</v>
      </c>
      <c r="L181" s="210">
        <f t="shared" si="74"/>
        <v>379.31034482758622</v>
      </c>
      <c r="M181" s="210">
        <f t="shared" si="74"/>
        <v>379.31034482758622</v>
      </c>
      <c r="N181" s="210">
        <f t="shared" si="74"/>
        <v>379.31034482758622</v>
      </c>
      <c r="O181" s="210">
        <f t="shared" si="74"/>
        <v>379.31034482758622</v>
      </c>
      <c r="P181" s="210">
        <f t="shared" si="74"/>
        <v>379.31034482758622</v>
      </c>
      <c r="Q181" s="208">
        <f t="shared" si="73"/>
        <v>4551.7241379310335</v>
      </c>
    </row>
    <row r="182" spans="1:17">
      <c r="A182" s="198"/>
      <c r="B182" s="216" t="s">
        <v>79</v>
      </c>
      <c r="C182" s="206"/>
      <c r="D182" s="219"/>
      <c r="E182" s="210"/>
      <c r="F182" s="210"/>
      <c r="G182" s="210"/>
      <c r="H182" s="210"/>
      <c r="I182" s="210"/>
      <c r="J182" s="210"/>
      <c r="K182" s="210"/>
      <c r="L182" s="210"/>
      <c r="M182" s="210"/>
      <c r="N182" s="210"/>
      <c r="O182" s="210"/>
      <c r="P182" s="210"/>
      <c r="Q182" s="208">
        <f t="shared" si="73"/>
        <v>0</v>
      </c>
    </row>
    <row r="183" spans="1:17">
      <c r="A183" s="198"/>
      <c r="B183" s="216"/>
      <c r="C183" s="206" t="s">
        <v>443</v>
      </c>
      <c r="D183" s="220"/>
      <c r="E183" s="210">
        <f t="shared" ref="E183:P183" si="75">($D183*E$13)/$R$1</f>
        <v>0</v>
      </c>
      <c r="F183" s="210">
        <f t="shared" si="75"/>
        <v>0</v>
      </c>
      <c r="G183" s="210">
        <f t="shared" si="75"/>
        <v>0</v>
      </c>
      <c r="H183" s="210">
        <f t="shared" si="75"/>
        <v>0</v>
      </c>
      <c r="I183" s="210">
        <f t="shared" si="75"/>
        <v>0</v>
      </c>
      <c r="J183" s="210">
        <f t="shared" si="75"/>
        <v>0</v>
      </c>
      <c r="K183" s="210">
        <f t="shared" si="75"/>
        <v>0</v>
      </c>
      <c r="L183" s="210">
        <f t="shared" si="75"/>
        <v>0</v>
      </c>
      <c r="M183" s="210">
        <f t="shared" si="75"/>
        <v>0</v>
      </c>
      <c r="N183" s="210">
        <f t="shared" si="75"/>
        <v>0</v>
      </c>
      <c r="O183" s="210">
        <f t="shared" si="75"/>
        <v>0</v>
      </c>
      <c r="P183" s="210">
        <f t="shared" si="75"/>
        <v>0</v>
      </c>
      <c r="Q183" s="208">
        <f t="shared" si="73"/>
        <v>0</v>
      </c>
    </row>
    <row r="184" spans="1:17">
      <c r="A184" s="198"/>
      <c r="B184" s="216"/>
      <c r="C184" s="206" t="s">
        <v>444</v>
      </c>
      <c r="D184" s="209">
        <v>152000</v>
      </c>
      <c r="E184" s="210">
        <f t="shared" ref="E184:P186" si="76">($D184/$R$1)</f>
        <v>1747.1264367816093</v>
      </c>
      <c r="F184" s="210">
        <f t="shared" si="76"/>
        <v>1747.1264367816093</v>
      </c>
      <c r="G184" s="210">
        <f t="shared" si="76"/>
        <v>1747.1264367816093</v>
      </c>
      <c r="H184" s="210">
        <f t="shared" si="76"/>
        <v>1747.1264367816093</v>
      </c>
      <c r="I184" s="210">
        <f t="shared" si="76"/>
        <v>1747.1264367816093</v>
      </c>
      <c r="J184" s="210">
        <f t="shared" si="76"/>
        <v>1747.1264367816093</v>
      </c>
      <c r="K184" s="210">
        <f t="shared" si="76"/>
        <v>1747.1264367816093</v>
      </c>
      <c r="L184" s="210">
        <f t="shared" si="76"/>
        <v>1747.1264367816093</v>
      </c>
      <c r="M184" s="210">
        <f t="shared" si="76"/>
        <v>1747.1264367816093</v>
      </c>
      <c r="N184" s="210">
        <f t="shared" si="76"/>
        <v>1747.1264367816093</v>
      </c>
      <c r="O184" s="210">
        <f t="shared" si="76"/>
        <v>1747.1264367816093</v>
      </c>
      <c r="P184" s="210">
        <f t="shared" si="76"/>
        <v>1747.1264367816093</v>
      </c>
      <c r="Q184" s="208">
        <f t="shared" si="73"/>
        <v>20965.517241379312</v>
      </c>
    </row>
    <row r="185" spans="1:17">
      <c r="A185" s="198"/>
      <c r="B185" s="216" t="s">
        <v>80</v>
      </c>
      <c r="C185" s="206" t="s">
        <v>451</v>
      </c>
      <c r="D185" s="209">
        <v>20000</v>
      </c>
      <c r="E185" s="210">
        <f t="shared" si="76"/>
        <v>229.88505747126436</v>
      </c>
      <c r="F185" s="210">
        <f t="shared" si="76"/>
        <v>229.88505747126436</v>
      </c>
      <c r="G185" s="210">
        <f t="shared" si="76"/>
        <v>229.88505747126436</v>
      </c>
      <c r="H185" s="210">
        <f t="shared" si="76"/>
        <v>229.88505747126436</v>
      </c>
      <c r="I185" s="210">
        <f t="shared" si="76"/>
        <v>229.88505747126436</v>
      </c>
      <c r="J185" s="210">
        <f t="shared" si="76"/>
        <v>229.88505747126436</v>
      </c>
      <c r="K185" s="210">
        <f t="shared" si="76"/>
        <v>229.88505747126436</v>
      </c>
      <c r="L185" s="210">
        <f t="shared" si="76"/>
        <v>229.88505747126436</v>
      </c>
      <c r="M185" s="210">
        <f t="shared" si="76"/>
        <v>229.88505747126436</v>
      </c>
      <c r="N185" s="210">
        <f t="shared" si="76"/>
        <v>229.88505747126436</v>
      </c>
      <c r="O185" s="210">
        <f t="shared" si="76"/>
        <v>229.88505747126436</v>
      </c>
      <c r="P185" s="210">
        <f t="shared" si="76"/>
        <v>229.88505747126436</v>
      </c>
      <c r="Q185" s="208">
        <f t="shared" si="73"/>
        <v>2758.6206896551721</v>
      </c>
    </row>
    <row r="186" spans="1:17">
      <c r="A186" s="198"/>
      <c r="B186" s="216" t="s">
        <v>74</v>
      </c>
      <c r="C186" s="206" t="s">
        <v>452</v>
      </c>
      <c r="D186" s="209">
        <v>2500</v>
      </c>
      <c r="E186" s="210">
        <f t="shared" si="76"/>
        <v>28.735632183908045</v>
      </c>
      <c r="F186" s="210">
        <f t="shared" si="76"/>
        <v>28.735632183908045</v>
      </c>
      <c r="G186" s="210">
        <f t="shared" si="76"/>
        <v>28.735632183908045</v>
      </c>
      <c r="H186" s="210">
        <f t="shared" si="76"/>
        <v>28.735632183908045</v>
      </c>
      <c r="I186" s="210">
        <f t="shared" si="76"/>
        <v>28.735632183908045</v>
      </c>
      <c r="J186" s="210">
        <f t="shared" si="76"/>
        <v>28.735632183908045</v>
      </c>
      <c r="K186" s="210">
        <f t="shared" si="76"/>
        <v>28.735632183908045</v>
      </c>
      <c r="L186" s="210">
        <f t="shared" si="76"/>
        <v>28.735632183908045</v>
      </c>
      <c r="M186" s="210">
        <f t="shared" si="76"/>
        <v>28.735632183908045</v>
      </c>
      <c r="N186" s="210">
        <f t="shared" si="76"/>
        <v>28.735632183908045</v>
      </c>
      <c r="O186" s="210">
        <f t="shared" si="76"/>
        <v>28.735632183908045</v>
      </c>
      <c r="P186" s="210">
        <f t="shared" si="76"/>
        <v>28.735632183908045</v>
      </c>
      <c r="Q186" s="208">
        <f t="shared" si="73"/>
        <v>344.82758620689651</v>
      </c>
    </row>
    <row r="187" spans="1:17">
      <c r="A187" s="198"/>
      <c r="B187" s="198"/>
      <c r="C187" s="198"/>
      <c r="D187" s="198"/>
      <c r="E187" s="199"/>
      <c r="F187" s="199"/>
      <c r="G187" s="199"/>
      <c r="H187" s="199"/>
      <c r="I187" s="199"/>
      <c r="J187" s="199"/>
      <c r="K187" s="199"/>
      <c r="L187" s="199"/>
      <c r="M187" s="199"/>
      <c r="N187" s="199"/>
      <c r="O187" s="199"/>
      <c r="P187" s="199"/>
      <c r="Q187" s="199"/>
    </row>
    <row r="188" spans="1:17" ht="15.5">
      <c r="A188" s="181" t="s">
        <v>434</v>
      </c>
      <c r="B188" s="181"/>
      <c r="C188" s="181"/>
      <c r="D188" s="181"/>
      <c r="E188" s="182">
        <f t="shared" ref="E188:P188" si="77">SUM(E179:E187)</f>
        <v>3055.2043668294868</v>
      </c>
      <c r="F188" s="182">
        <f t="shared" si="77"/>
        <v>3071.9003404060813</v>
      </c>
      <c r="G188" s="182">
        <f t="shared" si="77"/>
        <v>2385.0574712643675</v>
      </c>
      <c r="H188" s="182">
        <f t="shared" si="77"/>
        <v>2385.0574712643675</v>
      </c>
      <c r="I188" s="182">
        <f t="shared" si="77"/>
        <v>2385.0574712643675</v>
      </c>
      <c r="J188" s="182">
        <f t="shared" si="77"/>
        <v>2385.0574712643675</v>
      </c>
      <c r="K188" s="182">
        <f t="shared" si="77"/>
        <v>2385.0574712643675</v>
      </c>
      <c r="L188" s="182">
        <f t="shared" si="77"/>
        <v>2385.0574712643675</v>
      </c>
      <c r="M188" s="182">
        <f t="shared" si="77"/>
        <v>2385.0574712643675</v>
      </c>
      <c r="N188" s="182">
        <f t="shared" si="77"/>
        <v>2385.0574712643675</v>
      </c>
      <c r="O188" s="182">
        <f t="shared" si="77"/>
        <v>2385.0574712643675</v>
      </c>
      <c r="P188" s="182">
        <f t="shared" si="77"/>
        <v>2385.0574712643675</v>
      </c>
      <c r="Q188" s="182">
        <f>SUM(E188:P188)</f>
        <v>29977.679419879252</v>
      </c>
    </row>
    <row r="189" spans="1:17">
      <c r="A189" s="198"/>
      <c r="B189" s="198"/>
      <c r="C189" s="198"/>
      <c r="D189" s="198"/>
      <c r="E189" s="199"/>
      <c r="F189" s="199"/>
      <c r="G189" s="199"/>
      <c r="H189" s="199"/>
      <c r="I189" s="199"/>
      <c r="J189" s="199"/>
      <c r="K189" s="199"/>
      <c r="L189" s="199"/>
      <c r="M189" s="199"/>
      <c r="N189" s="199"/>
      <c r="O189" s="199"/>
      <c r="P189" s="199"/>
      <c r="Q189" s="199"/>
    </row>
    <row r="190" spans="1:17" ht="15.5">
      <c r="A190" s="205" t="s">
        <v>712</v>
      </c>
      <c r="B190" s="198"/>
      <c r="C190" s="198"/>
      <c r="D190" s="198"/>
      <c r="E190" s="199"/>
      <c r="F190" s="199"/>
      <c r="G190" s="199"/>
      <c r="H190" s="199"/>
      <c r="I190" s="199"/>
      <c r="J190" s="199"/>
      <c r="K190" s="199"/>
      <c r="L190" s="199"/>
      <c r="M190" s="199"/>
      <c r="N190" s="199"/>
      <c r="O190" s="199"/>
      <c r="P190" s="199"/>
      <c r="Q190" s="199"/>
    </row>
    <row r="191" spans="1:17">
      <c r="A191" s="198"/>
      <c r="B191" s="216" t="s">
        <v>78</v>
      </c>
      <c r="C191" s="206" t="s">
        <v>435</v>
      </c>
      <c r="D191" s="209">
        <v>51.383565062388598</v>
      </c>
      <c r="E191" s="210">
        <f t="shared" ref="E191:P191" si="78">($D191*(E$150))/$R$1</f>
        <v>78.795997481319262</v>
      </c>
      <c r="F191" s="210">
        <f t="shared" si="78"/>
        <v>81.227944441675419</v>
      </c>
      <c r="G191" s="210">
        <f t="shared" si="78"/>
        <v>74.300369814602817</v>
      </c>
      <c r="H191" s="210">
        <f t="shared" si="78"/>
        <v>74.300369814602817</v>
      </c>
      <c r="I191" s="210">
        <f t="shared" si="78"/>
        <v>79.1642637353157</v>
      </c>
      <c r="J191" s="210">
        <f t="shared" si="78"/>
        <v>79.1642637353157</v>
      </c>
      <c r="K191" s="210">
        <f t="shared" si="78"/>
        <v>79.1642637353157</v>
      </c>
      <c r="L191" s="210">
        <f t="shared" si="78"/>
        <v>79.1642637353157</v>
      </c>
      <c r="M191" s="210">
        <f t="shared" si="78"/>
        <v>79.1642637353157</v>
      </c>
      <c r="N191" s="210">
        <f t="shared" si="78"/>
        <v>91.671419531435035</v>
      </c>
      <c r="O191" s="210">
        <f t="shared" si="78"/>
        <v>91.671419531435035</v>
      </c>
      <c r="P191" s="210">
        <f t="shared" si="78"/>
        <v>91.671419531435035</v>
      </c>
      <c r="Q191" s="208">
        <f t="shared" ref="Q191:Q201" si="79">SUM(E191:P191)</f>
        <v>979.46025882308379</v>
      </c>
    </row>
    <row r="192" spans="1:17">
      <c r="A192" s="198"/>
      <c r="B192" s="198"/>
      <c r="C192" s="206" t="s">
        <v>439</v>
      </c>
      <c r="D192" s="209">
        <v>6500</v>
      </c>
      <c r="E192" s="210">
        <f t="shared" ref="E192:P192" si="80">($D192)/$R$1</f>
        <v>74.712643678160916</v>
      </c>
      <c r="F192" s="210">
        <f t="shared" si="80"/>
        <v>74.712643678160916</v>
      </c>
      <c r="G192" s="210">
        <f t="shared" si="80"/>
        <v>74.712643678160916</v>
      </c>
      <c r="H192" s="210">
        <f t="shared" si="80"/>
        <v>74.712643678160916</v>
      </c>
      <c r="I192" s="210">
        <f t="shared" si="80"/>
        <v>74.712643678160916</v>
      </c>
      <c r="J192" s="210">
        <f t="shared" si="80"/>
        <v>74.712643678160916</v>
      </c>
      <c r="K192" s="210">
        <f t="shared" si="80"/>
        <v>74.712643678160916</v>
      </c>
      <c r="L192" s="210">
        <f t="shared" si="80"/>
        <v>74.712643678160916</v>
      </c>
      <c r="M192" s="210">
        <f t="shared" si="80"/>
        <v>74.712643678160916</v>
      </c>
      <c r="N192" s="210">
        <f t="shared" si="80"/>
        <v>74.712643678160916</v>
      </c>
      <c r="O192" s="210">
        <f t="shared" si="80"/>
        <v>74.712643678160916</v>
      </c>
      <c r="P192" s="210">
        <f t="shared" si="80"/>
        <v>74.712643678160916</v>
      </c>
      <c r="Q192" s="208">
        <f t="shared" si="79"/>
        <v>896.55172413793105</v>
      </c>
    </row>
    <row r="193" spans="1:17">
      <c r="A193" s="243" t="s">
        <v>752</v>
      </c>
      <c r="B193" s="198"/>
      <c r="C193" s="206" t="s">
        <v>78</v>
      </c>
      <c r="D193" s="219">
        <v>169.72192513369001</v>
      </c>
      <c r="E193" s="210">
        <f t="shared" ref="E193:P193" si="81">($D193*(E$150))/$R$1</f>
        <v>260.26626157841025</v>
      </c>
      <c r="F193" s="210">
        <f t="shared" si="81"/>
        <v>268.29907750765767</v>
      </c>
      <c r="G193" s="210">
        <f t="shared" si="81"/>
        <v>245.4170275606271</v>
      </c>
      <c r="H193" s="210">
        <f t="shared" si="81"/>
        <v>245.4170275606271</v>
      </c>
      <c r="I193" s="210">
        <f t="shared" si="81"/>
        <v>261.48265941912371</v>
      </c>
      <c r="J193" s="210">
        <f t="shared" si="81"/>
        <v>261.48265941912371</v>
      </c>
      <c r="K193" s="210">
        <f t="shared" si="81"/>
        <v>261.48265941912371</v>
      </c>
      <c r="L193" s="210">
        <f t="shared" si="81"/>
        <v>261.48265941912371</v>
      </c>
      <c r="M193" s="210">
        <f t="shared" si="81"/>
        <v>261.48265941912371</v>
      </c>
      <c r="N193" s="210">
        <f t="shared" si="81"/>
        <v>302.79428419811654</v>
      </c>
      <c r="O193" s="210">
        <f t="shared" si="81"/>
        <v>302.79428419811654</v>
      </c>
      <c r="P193" s="210">
        <f t="shared" si="81"/>
        <v>302.79428419811654</v>
      </c>
      <c r="Q193" s="208">
        <f t="shared" si="79"/>
        <v>3235.19554389729</v>
      </c>
    </row>
    <row r="194" spans="1:17">
      <c r="A194" s="198"/>
      <c r="B194" s="216" t="s">
        <v>88</v>
      </c>
      <c r="C194" s="206" t="s">
        <v>351</v>
      </c>
      <c r="D194" s="217"/>
      <c r="E194" s="210">
        <f t="shared" ref="E194:P194" si="82">($D194*(E$13+E$4))/$R$1</f>
        <v>0</v>
      </c>
      <c r="F194" s="210">
        <f t="shared" si="82"/>
        <v>0</v>
      </c>
      <c r="G194" s="210">
        <f t="shared" si="82"/>
        <v>0</v>
      </c>
      <c r="H194" s="210">
        <f t="shared" si="82"/>
        <v>0</v>
      </c>
      <c r="I194" s="210">
        <f t="shared" si="82"/>
        <v>0</v>
      </c>
      <c r="J194" s="210">
        <f t="shared" si="82"/>
        <v>0</v>
      </c>
      <c r="K194" s="210">
        <f t="shared" si="82"/>
        <v>0</v>
      </c>
      <c r="L194" s="210">
        <f t="shared" si="82"/>
        <v>0</v>
      </c>
      <c r="M194" s="210">
        <f t="shared" si="82"/>
        <v>0</v>
      </c>
      <c r="N194" s="210">
        <f t="shared" si="82"/>
        <v>0</v>
      </c>
      <c r="O194" s="210">
        <f t="shared" si="82"/>
        <v>0</v>
      </c>
      <c r="P194" s="210">
        <f t="shared" si="82"/>
        <v>0</v>
      </c>
      <c r="Q194" s="208">
        <f t="shared" si="79"/>
        <v>0</v>
      </c>
    </row>
    <row r="195" spans="1:17">
      <c r="A195" s="198"/>
      <c r="B195" s="198"/>
      <c r="C195" s="206" t="s">
        <v>447</v>
      </c>
      <c r="D195" s="209">
        <v>15000</v>
      </c>
      <c r="E195" s="210">
        <f t="shared" ref="E195:P195" si="83">($D195/$R$1)</f>
        <v>172.41379310344828</v>
      </c>
      <c r="F195" s="210">
        <f t="shared" si="83"/>
        <v>172.41379310344828</v>
      </c>
      <c r="G195" s="210">
        <f t="shared" si="83"/>
        <v>172.41379310344828</v>
      </c>
      <c r="H195" s="210">
        <f t="shared" si="83"/>
        <v>172.41379310344828</v>
      </c>
      <c r="I195" s="210">
        <f t="shared" si="83"/>
        <v>172.41379310344828</v>
      </c>
      <c r="J195" s="210">
        <f t="shared" si="83"/>
        <v>172.41379310344828</v>
      </c>
      <c r="K195" s="210">
        <f t="shared" si="83"/>
        <v>172.41379310344828</v>
      </c>
      <c r="L195" s="210">
        <f t="shared" si="83"/>
        <v>172.41379310344828</v>
      </c>
      <c r="M195" s="210">
        <f t="shared" si="83"/>
        <v>172.41379310344828</v>
      </c>
      <c r="N195" s="210">
        <f t="shared" si="83"/>
        <v>172.41379310344828</v>
      </c>
      <c r="O195" s="210">
        <f t="shared" si="83"/>
        <v>172.41379310344828</v>
      </c>
      <c r="P195" s="210">
        <f t="shared" si="83"/>
        <v>172.41379310344828</v>
      </c>
      <c r="Q195" s="208">
        <f t="shared" si="79"/>
        <v>2068.96551724138</v>
      </c>
    </row>
    <row r="196" spans="1:17">
      <c r="A196" s="198"/>
      <c r="B196" s="198"/>
      <c r="C196" s="206" t="s">
        <v>448</v>
      </c>
      <c r="D196" s="217"/>
      <c r="E196" s="210">
        <f t="shared" ref="E196:P196" si="84">($D196*(E$150))/$R$1</f>
        <v>0</v>
      </c>
      <c r="F196" s="210">
        <f t="shared" si="84"/>
        <v>0</v>
      </c>
      <c r="G196" s="210">
        <f t="shared" si="84"/>
        <v>0</v>
      </c>
      <c r="H196" s="210">
        <f t="shared" si="84"/>
        <v>0</v>
      </c>
      <c r="I196" s="210">
        <f t="shared" si="84"/>
        <v>0</v>
      </c>
      <c r="J196" s="210">
        <f t="shared" si="84"/>
        <v>0</v>
      </c>
      <c r="K196" s="210">
        <f t="shared" si="84"/>
        <v>0</v>
      </c>
      <c r="L196" s="210">
        <f t="shared" si="84"/>
        <v>0</v>
      </c>
      <c r="M196" s="210">
        <f t="shared" si="84"/>
        <v>0</v>
      </c>
      <c r="N196" s="210">
        <f t="shared" si="84"/>
        <v>0</v>
      </c>
      <c r="O196" s="210">
        <f t="shared" si="84"/>
        <v>0</v>
      </c>
      <c r="P196" s="210">
        <f t="shared" si="84"/>
        <v>0</v>
      </c>
      <c r="Q196" s="208">
        <f t="shared" si="79"/>
        <v>0</v>
      </c>
    </row>
    <row r="197" spans="1:17">
      <c r="A197" s="198"/>
      <c r="B197" s="198"/>
      <c r="C197" s="206" t="s">
        <v>88</v>
      </c>
      <c r="D197" s="209">
        <v>1000</v>
      </c>
      <c r="E197" s="210">
        <f t="shared" ref="E197:P197" si="85">($D197/$R$1)</f>
        <v>11.494252873563218</v>
      </c>
      <c r="F197" s="210">
        <f t="shared" si="85"/>
        <v>11.494252873563218</v>
      </c>
      <c r="G197" s="210">
        <f t="shared" si="85"/>
        <v>11.494252873563218</v>
      </c>
      <c r="H197" s="210">
        <f t="shared" si="85"/>
        <v>11.494252873563218</v>
      </c>
      <c r="I197" s="210">
        <f t="shared" si="85"/>
        <v>11.494252873563218</v>
      </c>
      <c r="J197" s="210">
        <f t="shared" si="85"/>
        <v>11.494252873563218</v>
      </c>
      <c r="K197" s="210">
        <f t="shared" si="85"/>
        <v>11.494252873563218</v>
      </c>
      <c r="L197" s="210">
        <f t="shared" si="85"/>
        <v>11.494252873563218</v>
      </c>
      <c r="M197" s="210">
        <f t="shared" si="85"/>
        <v>11.494252873563218</v>
      </c>
      <c r="N197" s="210">
        <f t="shared" si="85"/>
        <v>11.494252873563218</v>
      </c>
      <c r="O197" s="210">
        <f t="shared" si="85"/>
        <v>11.494252873563218</v>
      </c>
      <c r="P197" s="210">
        <f t="shared" si="85"/>
        <v>11.494252873563218</v>
      </c>
      <c r="Q197" s="208">
        <f t="shared" si="79"/>
        <v>137.93103448275858</v>
      </c>
    </row>
    <row r="198" spans="1:17">
      <c r="A198" s="198"/>
      <c r="B198" s="198"/>
      <c r="C198" s="206" t="s">
        <v>450</v>
      </c>
      <c r="D198" s="209">
        <v>22787</v>
      </c>
      <c r="E198" s="210"/>
      <c r="F198" s="210"/>
      <c r="G198" s="210"/>
      <c r="H198" s="210"/>
      <c r="I198" s="210"/>
      <c r="J198" s="210">
        <f>($D198/$R$1)</f>
        <v>261.91954022988506</v>
      </c>
      <c r="K198" s="210"/>
      <c r="L198" s="210"/>
      <c r="M198" s="210"/>
      <c r="N198" s="210"/>
      <c r="O198" s="210"/>
      <c r="P198" s="210"/>
      <c r="Q198" s="208">
        <f t="shared" si="79"/>
        <v>261.91954022988506</v>
      </c>
    </row>
    <row r="199" spans="1:17">
      <c r="A199" s="198"/>
      <c r="B199" s="198"/>
      <c r="C199" s="206" t="s">
        <v>713</v>
      </c>
      <c r="D199" s="209"/>
      <c r="E199" s="210">
        <v>1150</v>
      </c>
      <c r="F199" s="210">
        <v>1150</v>
      </c>
      <c r="G199" s="210"/>
      <c r="H199" s="210"/>
      <c r="I199" s="210"/>
      <c r="J199" s="210"/>
      <c r="K199" s="210"/>
      <c r="L199" s="210"/>
      <c r="M199" s="210"/>
      <c r="N199" s="210"/>
      <c r="O199" s="210"/>
      <c r="P199" s="210"/>
      <c r="Q199" s="208">
        <f t="shared" si="79"/>
        <v>2300</v>
      </c>
    </row>
    <row r="200" spans="1:17">
      <c r="A200" s="198"/>
      <c r="B200" s="198"/>
      <c r="C200" s="206" t="s">
        <v>753</v>
      </c>
      <c r="D200" s="178">
        <v>0</v>
      </c>
      <c r="E200" s="210"/>
      <c r="F200" s="210">
        <f>D200</f>
        <v>0</v>
      </c>
      <c r="G200" s="210"/>
      <c r="H200" s="210"/>
      <c r="I200" s="210"/>
      <c r="J200" s="210"/>
      <c r="K200" s="210"/>
      <c r="L200" s="210"/>
      <c r="M200" s="210"/>
      <c r="N200" s="210"/>
      <c r="O200" s="210"/>
      <c r="P200" s="210"/>
      <c r="Q200" s="208">
        <f t="shared" si="79"/>
        <v>0</v>
      </c>
    </row>
    <row r="201" spans="1:17">
      <c r="A201" s="198"/>
      <c r="B201" s="198"/>
      <c r="C201" s="206" t="s">
        <v>715</v>
      </c>
      <c r="D201" s="209"/>
      <c r="E201" s="210">
        <f t="shared" ref="E201:P201" si="86">($D201*(E$150))/$R$1</f>
        <v>0</v>
      </c>
      <c r="F201" s="210">
        <f t="shared" si="86"/>
        <v>0</v>
      </c>
      <c r="G201" s="210">
        <f t="shared" si="86"/>
        <v>0</v>
      </c>
      <c r="H201" s="210">
        <f t="shared" si="86"/>
        <v>0</v>
      </c>
      <c r="I201" s="210">
        <f t="shared" si="86"/>
        <v>0</v>
      </c>
      <c r="J201" s="210">
        <f t="shared" si="86"/>
        <v>0</v>
      </c>
      <c r="K201" s="210">
        <f t="shared" si="86"/>
        <v>0</v>
      </c>
      <c r="L201" s="210">
        <f t="shared" si="86"/>
        <v>0</v>
      </c>
      <c r="M201" s="210">
        <f t="shared" si="86"/>
        <v>0</v>
      </c>
      <c r="N201" s="210">
        <f t="shared" si="86"/>
        <v>0</v>
      </c>
      <c r="O201" s="210">
        <f t="shared" si="86"/>
        <v>0</v>
      </c>
      <c r="P201" s="210">
        <f t="shared" si="86"/>
        <v>0</v>
      </c>
      <c r="Q201" s="208">
        <f t="shared" si="79"/>
        <v>0</v>
      </c>
    </row>
    <row r="202" spans="1:17">
      <c r="A202" s="198"/>
      <c r="B202" s="216"/>
      <c r="C202" s="206"/>
      <c r="D202" s="217"/>
      <c r="E202" s="210"/>
      <c r="F202" s="210"/>
      <c r="G202" s="210"/>
      <c r="H202" s="210"/>
      <c r="I202" s="210"/>
      <c r="J202" s="210"/>
      <c r="K202" s="210"/>
      <c r="L202" s="210"/>
      <c r="M202" s="210"/>
      <c r="N202" s="210"/>
      <c r="O202" s="210"/>
      <c r="P202" s="210"/>
      <c r="Q202" s="208"/>
    </row>
    <row r="203" spans="1:17">
      <c r="A203" s="198"/>
      <c r="B203" s="198"/>
      <c r="C203" s="198"/>
      <c r="D203" s="198"/>
      <c r="E203" s="199"/>
      <c r="F203" s="199"/>
      <c r="G203" s="199"/>
      <c r="H203" s="199"/>
      <c r="I203" s="199"/>
      <c r="J203" s="199"/>
      <c r="K203" s="199"/>
      <c r="L203" s="199"/>
      <c r="M203" s="199"/>
      <c r="N203" s="199"/>
      <c r="O203" s="199"/>
      <c r="P203" s="199"/>
      <c r="Q203" s="199"/>
    </row>
    <row r="204" spans="1:17" ht="15.5">
      <c r="A204" s="181" t="s">
        <v>712</v>
      </c>
      <c r="B204" s="181"/>
      <c r="C204" s="181"/>
      <c r="D204" s="181"/>
      <c r="E204" s="182">
        <f t="shared" ref="E204:P204" si="87">SUM(E191:E203)</f>
        <v>1747.6829487149021</v>
      </c>
      <c r="F204" s="182">
        <f t="shared" si="87"/>
        <v>1758.1477116045055</v>
      </c>
      <c r="G204" s="182">
        <f t="shared" si="87"/>
        <v>578.33808703040233</v>
      </c>
      <c r="H204" s="182">
        <f t="shared" si="87"/>
        <v>578.33808703040233</v>
      </c>
      <c r="I204" s="182">
        <f t="shared" si="87"/>
        <v>599.26761280961182</v>
      </c>
      <c r="J204" s="182">
        <f t="shared" si="87"/>
        <v>861.18715303949693</v>
      </c>
      <c r="K204" s="182">
        <f t="shared" si="87"/>
        <v>599.26761280961182</v>
      </c>
      <c r="L204" s="182">
        <f t="shared" si="87"/>
        <v>599.26761280961182</v>
      </c>
      <c r="M204" s="182">
        <f t="shared" si="87"/>
        <v>599.26761280961182</v>
      </c>
      <c r="N204" s="182">
        <f t="shared" si="87"/>
        <v>653.08639338472403</v>
      </c>
      <c r="O204" s="182">
        <f t="shared" si="87"/>
        <v>653.08639338472403</v>
      </c>
      <c r="P204" s="182">
        <f t="shared" si="87"/>
        <v>653.08639338472403</v>
      </c>
      <c r="Q204" s="182">
        <f>SUM(E204:P204)</f>
        <v>9880.0236188123308</v>
      </c>
    </row>
    <row r="205" spans="1:17">
      <c r="A205" s="198"/>
      <c r="B205" s="198" t="s">
        <v>716</v>
      </c>
      <c r="C205" s="198"/>
      <c r="D205" s="198"/>
      <c r="E205" s="210">
        <v>120</v>
      </c>
      <c r="F205" s="210">
        <v>120</v>
      </c>
      <c r="G205" s="210">
        <v>120</v>
      </c>
      <c r="H205" s="210">
        <v>120</v>
      </c>
      <c r="I205" s="210">
        <v>120</v>
      </c>
      <c r="J205" s="210">
        <v>120</v>
      </c>
      <c r="K205" s="210">
        <v>120</v>
      </c>
      <c r="L205" s="210">
        <v>120</v>
      </c>
      <c r="M205" s="210">
        <v>120</v>
      </c>
      <c r="N205" s="210">
        <v>120</v>
      </c>
      <c r="O205" s="210">
        <v>120</v>
      </c>
      <c r="P205" s="210">
        <v>120</v>
      </c>
      <c r="Q205" s="199"/>
    </row>
    <row r="206" spans="1:17">
      <c r="A206" s="198"/>
      <c r="B206" s="198" t="s">
        <v>717</v>
      </c>
      <c r="C206" s="198"/>
      <c r="D206" s="198"/>
      <c r="E206" s="210">
        <f t="shared" ref="E206:P206" si="88">E143-E205</f>
        <v>85.413315571842986</v>
      </c>
      <c r="F206" s="210">
        <f t="shared" si="88"/>
        <v>90.530962630666011</v>
      </c>
      <c r="G206" s="210">
        <f t="shared" si="88"/>
        <v>75.801550865959996</v>
      </c>
      <c r="H206" s="210">
        <f t="shared" si="88"/>
        <v>75.801550865959996</v>
      </c>
      <c r="I206" s="210">
        <f t="shared" si="88"/>
        <v>87.036844983607011</v>
      </c>
      <c r="J206" s="210">
        <f t="shared" si="88"/>
        <v>87.036844983607011</v>
      </c>
      <c r="K206" s="210">
        <f t="shared" si="88"/>
        <v>87.036844983607011</v>
      </c>
      <c r="L206" s="210">
        <f t="shared" si="88"/>
        <v>87.036844983607011</v>
      </c>
      <c r="M206" s="210">
        <f t="shared" si="88"/>
        <v>87.036844983607011</v>
      </c>
      <c r="N206" s="210">
        <f t="shared" si="88"/>
        <v>111.213315571843</v>
      </c>
      <c r="O206" s="210">
        <f t="shared" si="88"/>
        <v>111.213315571843</v>
      </c>
      <c r="P206" s="210">
        <f t="shared" si="88"/>
        <v>111.213315571843</v>
      </c>
      <c r="Q206" s="199"/>
    </row>
    <row r="207" spans="1:17" ht="15.5">
      <c r="A207" s="205" t="s">
        <v>718</v>
      </c>
      <c r="B207" s="198" t="s">
        <v>719</v>
      </c>
      <c r="C207" s="121" t="s">
        <v>455</v>
      </c>
      <c r="D207" s="219">
        <v>1000</v>
      </c>
      <c r="E207" s="210">
        <f t="shared" ref="E207:P207" si="89">($D207*E$205)/$R$1</f>
        <v>1379.3103448275863</v>
      </c>
      <c r="F207" s="210">
        <f t="shared" si="89"/>
        <v>1379.3103448275863</v>
      </c>
      <c r="G207" s="210">
        <f t="shared" si="89"/>
        <v>1379.3103448275863</v>
      </c>
      <c r="H207" s="210">
        <f t="shared" si="89"/>
        <v>1379.3103448275863</v>
      </c>
      <c r="I207" s="210">
        <f t="shared" si="89"/>
        <v>1379.3103448275863</v>
      </c>
      <c r="J207" s="210">
        <f t="shared" si="89"/>
        <v>1379.3103448275863</v>
      </c>
      <c r="K207" s="210">
        <f t="shared" si="89"/>
        <v>1379.3103448275863</v>
      </c>
      <c r="L207" s="210">
        <f t="shared" si="89"/>
        <v>1379.3103448275863</v>
      </c>
      <c r="M207" s="210">
        <f t="shared" si="89"/>
        <v>1379.3103448275863</v>
      </c>
      <c r="N207" s="210">
        <f t="shared" si="89"/>
        <v>1379.3103448275863</v>
      </c>
      <c r="O207" s="210">
        <f t="shared" si="89"/>
        <v>1379.3103448275863</v>
      </c>
      <c r="P207" s="210">
        <f t="shared" si="89"/>
        <v>1379.3103448275863</v>
      </c>
      <c r="Q207" s="208">
        <f>SUM(E207:P207)</f>
        <v>16551.72413793104</v>
      </c>
    </row>
    <row r="208" spans="1:17" ht="14.5">
      <c r="A208" s="198"/>
      <c r="B208" s="198" t="s">
        <v>720</v>
      </c>
      <c r="C208" s="121" t="s">
        <v>721</v>
      </c>
      <c r="D208" s="219">
        <v>1000</v>
      </c>
      <c r="E208" s="210">
        <f t="shared" ref="E208:P208" si="90">($D208*E$206)/$R$1</f>
        <v>981.76224795221833</v>
      </c>
      <c r="F208" s="210">
        <f t="shared" si="90"/>
        <v>1040.5857773639771</v>
      </c>
      <c r="G208" s="210">
        <f t="shared" si="90"/>
        <v>871.28219386160924</v>
      </c>
      <c r="H208" s="210">
        <f t="shared" si="90"/>
        <v>871.28219386160924</v>
      </c>
      <c r="I208" s="210">
        <f t="shared" si="90"/>
        <v>1000.4235055587012</v>
      </c>
      <c r="J208" s="210">
        <f t="shared" si="90"/>
        <v>1000.4235055587012</v>
      </c>
      <c r="K208" s="210">
        <f t="shared" si="90"/>
        <v>1000.4235055587012</v>
      </c>
      <c r="L208" s="210">
        <f t="shared" si="90"/>
        <v>1000.4235055587012</v>
      </c>
      <c r="M208" s="210">
        <f t="shared" si="90"/>
        <v>1000.4235055587012</v>
      </c>
      <c r="N208" s="210">
        <f t="shared" si="90"/>
        <v>1278.3139720901493</v>
      </c>
      <c r="O208" s="210">
        <f t="shared" si="90"/>
        <v>1278.3139720901493</v>
      </c>
      <c r="P208" s="210">
        <f t="shared" si="90"/>
        <v>1278.3139720901493</v>
      </c>
      <c r="Q208" s="208">
        <f>SUM(E208:P208)</f>
        <v>12601.971857103368</v>
      </c>
    </row>
    <row r="209" spans="1:17" ht="15.5">
      <c r="A209" s="181" t="s">
        <v>718</v>
      </c>
      <c r="B209" s="181"/>
      <c r="C209" s="181"/>
      <c r="D209" s="181"/>
      <c r="E209" s="182">
        <f t="shared" ref="E209:P209" si="91">SUM(E207:E208)</f>
        <v>2361.0725927798048</v>
      </c>
      <c r="F209" s="182">
        <f t="shared" si="91"/>
        <v>2419.8961221915633</v>
      </c>
      <c r="G209" s="182">
        <f t="shared" si="91"/>
        <v>2250.5925386891954</v>
      </c>
      <c r="H209" s="182">
        <f t="shared" si="91"/>
        <v>2250.5925386891954</v>
      </c>
      <c r="I209" s="182">
        <f t="shared" si="91"/>
        <v>2379.7338503862875</v>
      </c>
      <c r="J209" s="182">
        <f t="shared" si="91"/>
        <v>2379.7338503862875</v>
      </c>
      <c r="K209" s="182">
        <f t="shared" si="91"/>
        <v>2379.7338503862875</v>
      </c>
      <c r="L209" s="182">
        <f t="shared" si="91"/>
        <v>2379.7338503862875</v>
      </c>
      <c r="M209" s="182">
        <f t="shared" si="91"/>
        <v>2379.7338503862875</v>
      </c>
      <c r="N209" s="182">
        <f t="shared" si="91"/>
        <v>2657.6243169177355</v>
      </c>
      <c r="O209" s="182">
        <f t="shared" si="91"/>
        <v>2657.6243169177355</v>
      </c>
      <c r="P209" s="182">
        <f t="shared" si="91"/>
        <v>2657.6243169177355</v>
      </c>
      <c r="Q209" s="182">
        <f>SUM(E209:P209)</f>
        <v>29153.69599503441</v>
      </c>
    </row>
    <row r="210" spans="1:17">
      <c r="A210" s="198"/>
      <c r="B210" s="198"/>
      <c r="C210" s="198"/>
      <c r="D210" s="198"/>
      <c r="E210" s="199"/>
      <c r="F210" s="199"/>
      <c r="G210" s="199"/>
      <c r="H210" s="199"/>
      <c r="I210" s="199"/>
      <c r="J210" s="199"/>
      <c r="K210" s="199"/>
      <c r="L210" s="199"/>
      <c r="M210" s="199"/>
      <c r="N210" s="199"/>
      <c r="O210" s="199"/>
      <c r="P210" s="199"/>
      <c r="Q210" s="199"/>
    </row>
    <row r="211" spans="1:17" ht="15.5">
      <c r="A211" s="205" t="s">
        <v>661</v>
      </c>
      <c r="B211" s="225" t="s">
        <v>95</v>
      </c>
      <c r="C211" s="198"/>
      <c r="D211" s="178">
        <f>1200/87</f>
        <v>13.793103448275861</v>
      </c>
      <c r="E211" s="207">
        <f t="shared" ref="E211:P211" si="92">$D211*E143</f>
        <v>2833.2871113357651</v>
      </c>
      <c r="F211" s="207">
        <f t="shared" si="92"/>
        <v>2903.8753466298758</v>
      </c>
      <c r="G211" s="207">
        <f t="shared" si="92"/>
        <v>2700.711046427034</v>
      </c>
      <c r="H211" s="207">
        <f t="shared" si="92"/>
        <v>2700.711046427034</v>
      </c>
      <c r="I211" s="207">
        <f t="shared" si="92"/>
        <v>2855.680620463545</v>
      </c>
      <c r="J211" s="207">
        <f t="shared" si="92"/>
        <v>2855.680620463545</v>
      </c>
      <c r="K211" s="207">
        <f t="shared" si="92"/>
        <v>2855.680620463545</v>
      </c>
      <c r="L211" s="207">
        <f t="shared" si="92"/>
        <v>2855.680620463545</v>
      </c>
      <c r="M211" s="207">
        <f t="shared" si="92"/>
        <v>2855.680620463545</v>
      </c>
      <c r="N211" s="207">
        <f t="shared" si="92"/>
        <v>3189.1491803012827</v>
      </c>
      <c r="O211" s="207">
        <f t="shared" si="92"/>
        <v>3189.1491803012827</v>
      </c>
      <c r="P211" s="207">
        <f t="shared" si="92"/>
        <v>3189.1491803012827</v>
      </c>
      <c r="Q211" s="208">
        <f t="shared" ref="Q211:Q221" si="93">SUM(E211:P211)</f>
        <v>34984.435194041282</v>
      </c>
    </row>
    <row r="212" spans="1:17" ht="14.5">
      <c r="A212" s="198"/>
      <c r="B212" s="225" t="s">
        <v>91</v>
      </c>
      <c r="C212" s="198" t="s">
        <v>722</v>
      </c>
      <c r="D212" s="227">
        <v>0.01</v>
      </c>
      <c r="E212" s="207">
        <f t="shared" ref="E212:P212" si="94">$D212*(E$152+E$153)</f>
        <v>771.78793605863473</v>
      </c>
      <c r="F212" s="207">
        <f t="shared" si="94"/>
        <v>792.11146547039766</v>
      </c>
      <c r="G212" s="207">
        <f t="shared" si="94"/>
        <v>733.38558311745601</v>
      </c>
      <c r="H212" s="207">
        <f t="shared" si="94"/>
        <v>733.38558311745601</v>
      </c>
      <c r="I212" s="207">
        <f t="shared" si="94"/>
        <v>779.5326419409854</v>
      </c>
      <c r="J212" s="207">
        <f t="shared" si="94"/>
        <v>779.5326419409854</v>
      </c>
      <c r="K212" s="207">
        <f t="shared" si="94"/>
        <v>779.5326419409854</v>
      </c>
      <c r="L212" s="207">
        <f t="shared" si="94"/>
        <v>779.5326419409854</v>
      </c>
      <c r="M212" s="207">
        <f t="shared" si="94"/>
        <v>779.5326419409854</v>
      </c>
      <c r="N212" s="207">
        <f t="shared" si="94"/>
        <v>872.26793605863486</v>
      </c>
      <c r="O212" s="207">
        <f t="shared" si="94"/>
        <v>872.26793605863486</v>
      </c>
      <c r="P212" s="207">
        <f t="shared" si="94"/>
        <v>872.26793605863486</v>
      </c>
      <c r="Q212" s="208">
        <f t="shared" si="93"/>
        <v>9545.1375856447776</v>
      </c>
    </row>
    <row r="213" spans="1:17" ht="14.5">
      <c r="A213" s="198"/>
      <c r="B213" s="225" t="s">
        <v>85</v>
      </c>
      <c r="C213" s="198" t="s">
        <v>723</v>
      </c>
      <c r="D213" s="209">
        <v>836838</v>
      </c>
      <c r="E213" s="199"/>
      <c r="F213" s="199"/>
      <c r="G213" s="199"/>
      <c r="H213" s="199"/>
      <c r="I213" s="199"/>
      <c r="J213" s="199"/>
      <c r="K213" s="199"/>
      <c r="L213" s="199"/>
      <c r="M213" s="199"/>
      <c r="N213" s="228">
        <f>D213/$R$1</f>
        <v>9618.8275862068967</v>
      </c>
      <c r="O213" s="199"/>
      <c r="P213" s="199"/>
      <c r="Q213" s="208">
        <f t="shared" si="93"/>
        <v>9618.8275862068967</v>
      </c>
    </row>
    <row r="214" spans="1:17" ht="14.5">
      <c r="A214" s="198"/>
      <c r="B214" s="225" t="s">
        <v>90</v>
      </c>
      <c r="C214" s="198" t="s">
        <v>724</v>
      </c>
      <c r="D214" s="209">
        <f>750*$E$143</f>
        <v>154059.98667888224</v>
      </c>
      <c r="E214" s="210"/>
      <c r="F214" s="210"/>
      <c r="G214" s="210">
        <f>($D214/$R$1)</f>
        <v>1770.8044445848534</v>
      </c>
      <c r="H214" s="210"/>
      <c r="I214" s="210"/>
      <c r="J214" s="210">
        <f>($D214/$R$1)</f>
        <v>1770.8044445848534</v>
      </c>
      <c r="K214" s="210"/>
      <c r="L214" s="210"/>
      <c r="M214" s="210">
        <f>($D214/$R$1)</f>
        <v>1770.8044445848534</v>
      </c>
      <c r="N214" s="210"/>
      <c r="O214" s="210"/>
      <c r="P214" s="210">
        <f>($D214/$R$1)</f>
        <v>1770.8044445848534</v>
      </c>
      <c r="Q214" s="208">
        <f t="shared" si="93"/>
        <v>7083.2177783394136</v>
      </c>
    </row>
    <row r="215" spans="1:17" ht="14.5">
      <c r="A215" s="198"/>
      <c r="B215" s="225" t="s">
        <v>475</v>
      </c>
      <c r="C215" s="198" t="s">
        <v>725</v>
      </c>
      <c r="D215" s="209">
        <f>100*$E$143</f>
        <v>20541.331557184298</v>
      </c>
      <c r="E215" s="210">
        <f>($D215/$R$1)</f>
        <v>236.10725927798043</v>
      </c>
      <c r="F215" s="228">
        <f>($D215/$R$1)</f>
        <v>236.10725927798043</v>
      </c>
      <c r="G215" s="228">
        <f>($D215/$R$1)</f>
        <v>236.10725927798043</v>
      </c>
      <c r="H215" s="228">
        <f>($D215/$R$1)</f>
        <v>236.10725927798043</v>
      </c>
      <c r="I215" s="228">
        <f>($D215/$R$1)</f>
        <v>236.10725927798043</v>
      </c>
      <c r="J215" s="228">
        <f>($D215/$R$1)</f>
        <v>236.10725927798043</v>
      </c>
      <c r="K215" s="228">
        <f>($D215/$R$1)</f>
        <v>236.10725927798043</v>
      </c>
      <c r="L215" s="228">
        <f>($D215/$R$1)</f>
        <v>236.10725927798043</v>
      </c>
      <c r="M215" s="228">
        <f>($D215/$R$1)</f>
        <v>236.10725927798043</v>
      </c>
      <c r="N215" s="228">
        <f>($D215/$R$1)</f>
        <v>236.10725927798043</v>
      </c>
      <c r="O215" s="228">
        <f>($D215/$R$1)</f>
        <v>236.10725927798043</v>
      </c>
      <c r="P215" s="228">
        <f>($D215/$R$1)</f>
        <v>236.10725927798043</v>
      </c>
      <c r="Q215" s="208">
        <f t="shared" si="93"/>
        <v>2833.2871113357655</v>
      </c>
    </row>
    <row r="216" spans="1:17" ht="14.5">
      <c r="A216" s="198"/>
      <c r="B216" s="225" t="s">
        <v>86</v>
      </c>
      <c r="C216" s="198" t="s">
        <v>726</v>
      </c>
      <c r="D216" s="209">
        <v>10000</v>
      </c>
      <c r="E216" s="199"/>
      <c r="F216" s="199"/>
      <c r="G216" s="199"/>
      <c r="H216" s="199"/>
      <c r="I216" s="199"/>
      <c r="J216" s="199"/>
      <c r="K216" s="199"/>
      <c r="L216" s="228">
        <f>D216/$R$1</f>
        <v>114.94252873563218</v>
      </c>
      <c r="M216" s="199"/>
      <c r="N216" s="199"/>
      <c r="O216" s="199"/>
      <c r="P216" s="199"/>
      <c r="Q216" s="208">
        <f t="shared" si="93"/>
        <v>114.94252873563218</v>
      </c>
    </row>
    <row r="217" spans="1:17" ht="14.5">
      <c r="A217" s="198"/>
      <c r="B217" s="225" t="s">
        <v>84</v>
      </c>
      <c r="C217" s="198" t="s">
        <v>727</v>
      </c>
      <c r="D217" s="209">
        <v>68000</v>
      </c>
      <c r="E217" s="199"/>
      <c r="F217" s="199"/>
      <c r="G217" s="199"/>
      <c r="H217" s="199"/>
      <c r="I217" s="199"/>
      <c r="J217" s="199"/>
      <c r="K217" s="199"/>
      <c r="L217" s="199"/>
      <c r="M217" s="228">
        <f>D217/$R$1</f>
        <v>781.60919540229884</v>
      </c>
      <c r="N217" s="199"/>
      <c r="O217" s="199"/>
      <c r="P217" s="199"/>
      <c r="Q217" s="208">
        <f t="shared" si="93"/>
        <v>781.60919540229884</v>
      </c>
    </row>
    <row r="218" spans="1:17" ht="14.5">
      <c r="A218" s="198"/>
      <c r="B218" s="225" t="s">
        <v>93</v>
      </c>
      <c r="C218" s="198"/>
      <c r="D218" s="198"/>
      <c r="E218" s="199"/>
      <c r="F218" s="199"/>
      <c r="G218" s="199"/>
      <c r="H218" s="199"/>
      <c r="I218" s="199"/>
      <c r="J218" s="199"/>
      <c r="K218" s="199"/>
      <c r="L218" s="199"/>
      <c r="M218" s="199"/>
      <c r="N218" s="199"/>
      <c r="O218" s="199"/>
      <c r="P218" s="199"/>
      <c r="Q218" s="208">
        <f t="shared" si="93"/>
        <v>0</v>
      </c>
    </row>
    <row r="219" spans="1:17" ht="14.5">
      <c r="A219" s="198"/>
      <c r="B219" s="225" t="s">
        <v>61</v>
      </c>
      <c r="C219" s="198"/>
      <c r="D219" s="198"/>
      <c r="E219" s="199"/>
      <c r="F219" s="199"/>
      <c r="G219" s="199"/>
      <c r="H219" s="199"/>
      <c r="I219" s="199"/>
      <c r="J219" s="199"/>
      <c r="K219" s="199"/>
      <c r="L219" s="199"/>
      <c r="M219" s="199"/>
      <c r="N219" s="199"/>
      <c r="O219" s="199"/>
      <c r="P219" s="199"/>
      <c r="Q219" s="208">
        <f t="shared" si="93"/>
        <v>0</v>
      </c>
    </row>
    <row r="220" spans="1:17">
      <c r="A220" s="198"/>
      <c r="B220" s="198"/>
      <c r="C220" s="198"/>
      <c r="D220" s="198"/>
      <c r="E220" s="199"/>
      <c r="F220" s="199"/>
      <c r="G220" s="199"/>
      <c r="H220" s="199"/>
      <c r="I220" s="199"/>
      <c r="J220" s="199"/>
      <c r="K220" s="199"/>
      <c r="L220" s="199"/>
      <c r="M220" s="199"/>
      <c r="N220" s="199"/>
      <c r="O220" s="199"/>
      <c r="P220" s="199"/>
      <c r="Q220" s="208">
        <f t="shared" si="93"/>
        <v>0</v>
      </c>
    </row>
    <row r="221" spans="1:17" ht="15.5">
      <c r="A221" s="181" t="s">
        <v>661</v>
      </c>
      <c r="B221" s="181"/>
      <c r="C221" s="181"/>
      <c r="D221" s="181"/>
      <c r="E221" s="182">
        <f t="shared" ref="E221:P221" si="95">SUM(E211:E220)</f>
        <v>3841.1823066723805</v>
      </c>
      <c r="F221" s="182">
        <f t="shared" si="95"/>
        <v>3932.0940713782543</v>
      </c>
      <c r="G221" s="182">
        <f t="shared" si="95"/>
        <v>5441.0083334073233</v>
      </c>
      <c r="H221" s="182">
        <f t="shared" si="95"/>
        <v>3670.2038888224706</v>
      </c>
      <c r="I221" s="182">
        <f t="shared" si="95"/>
        <v>3871.3205216825108</v>
      </c>
      <c r="J221" s="182">
        <f t="shared" si="95"/>
        <v>5642.1249662673636</v>
      </c>
      <c r="K221" s="182">
        <f t="shared" si="95"/>
        <v>3871.3205216825108</v>
      </c>
      <c r="L221" s="182">
        <f t="shared" si="95"/>
        <v>3986.2630504181429</v>
      </c>
      <c r="M221" s="182">
        <f t="shared" si="95"/>
        <v>6423.7341616696622</v>
      </c>
      <c r="N221" s="182">
        <f t="shared" si="95"/>
        <v>13916.351961844795</v>
      </c>
      <c r="O221" s="182">
        <f t="shared" si="95"/>
        <v>4297.5243756378977</v>
      </c>
      <c r="P221" s="182">
        <f t="shared" si="95"/>
        <v>6068.3288202227513</v>
      </c>
      <c r="Q221" s="182">
        <f t="shared" si="93"/>
        <v>64961.456979706061</v>
      </c>
    </row>
    <row r="222" spans="1:17">
      <c r="A222" s="198"/>
      <c r="B222" s="198"/>
      <c r="C222" s="198"/>
      <c r="D222" s="198"/>
      <c r="E222" s="199"/>
      <c r="F222" s="199"/>
      <c r="G222" s="199"/>
      <c r="H222" s="199"/>
      <c r="I222" s="199"/>
      <c r="J222" s="199"/>
      <c r="K222" s="199"/>
      <c r="L222" s="199"/>
      <c r="M222" s="199"/>
      <c r="N222" s="199"/>
      <c r="O222" s="199"/>
      <c r="P222" s="199"/>
      <c r="Q222" s="199"/>
    </row>
    <row r="223" spans="1:17" ht="15.5">
      <c r="A223" s="205" t="s">
        <v>728</v>
      </c>
      <c r="B223" s="231" t="s">
        <v>147</v>
      </c>
      <c r="C223" s="167">
        <v>1</v>
      </c>
      <c r="D223" s="232">
        <v>9945</v>
      </c>
      <c r="E223" s="233">
        <f t="shared" ref="E223:P226" si="96">$C223*$D223</f>
        <v>9945</v>
      </c>
      <c r="F223" s="233">
        <f t="shared" si="96"/>
        <v>9945</v>
      </c>
      <c r="G223" s="233">
        <f t="shared" si="96"/>
        <v>9945</v>
      </c>
      <c r="H223" s="233">
        <f t="shared" si="96"/>
        <v>9945</v>
      </c>
      <c r="I223" s="233">
        <f t="shared" si="96"/>
        <v>9945</v>
      </c>
      <c r="J223" s="233">
        <f t="shared" si="96"/>
        <v>9945</v>
      </c>
      <c r="K223" s="233">
        <f t="shared" si="96"/>
        <v>9945</v>
      </c>
      <c r="L223" s="233">
        <f t="shared" si="96"/>
        <v>9945</v>
      </c>
      <c r="M223" s="233">
        <f t="shared" si="96"/>
        <v>9945</v>
      </c>
      <c r="N223" s="233">
        <f t="shared" si="96"/>
        <v>9945</v>
      </c>
      <c r="O223" s="233">
        <f t="shared" si="96"/>
        <v>9945</v>
      </c>
      <c r="P223" s="233">
        <f t="shared" si="96"/>
        <v>9945</v>
      </c>
      <c r="Q223" s="234">
        <f t="shared" ref="Q223:Q228" si="97">SUM(E223:P223)</f>
        <v>119340</v>
      </c>
    </row>
    <row r="224" spans="1:17" ht="14.5">
      <c r="A224" s="198"/>
      <c r="B224" s="225" t="s">
        <v>140</v>
      </c>
      <c r="C224" s="121">
        <v>2</v>
      </c>
      <c r="D224" s="178">
        <v>250</v>
      </c>
      <c r="E224" s="236">
        <f t="shared" si="96"/>
        <v>500</v>
      </c>
      <c r="F224" s="236">
        <f t="shared" si="96"/>
        <v>500</v>
      </c>
      <c r="G224" s="236">
        <f t="shared" si="96"/>
        <v>500</v>
      </c>
      <c r="H224" s="236">
        <f t="shared" si="96"/>
        <v>500</v>
      </c>
      <c r="I224" s="236">
        <f t="shared" si="96"/>
        <v>500</v>
      </c>
      <c r="J224" s="236">
        <f t="shared" si="96"/>
        <v>500</v>
      </c>
      <c r="K224" s="236">
        <f t="shared" si="96"/>
        <v>500</v>
      </c>
      <c r="L224" s="236">
        <f t="shared" si="96"/>
        <v>500</v>
      </c>
      <c r="M224" s="236">
        <f t="shared" si="96"/>
        <v>500</v>
      </c>
      <c r="N224" s="236">
        <f t="shared" si="96"/>
        <v>500</v>
      </c>
      <c r="O224" s="236">
        <f t="shared" si="96"/>
        <v>500</v>
      </c>
      <c r="P224" s="236">
        <f t="shared" si="96"/>
        <v>500</v>
      </c>
      <c r="Q224" s="208">
        <f t="shared" si="97"/>
        <v>6000</v>
      </c>
    </row>
    <row r="225" spans="1:17" ht="14.5">
      <c r="A225" s="198"/>
      <c r="B225" s="225" t="s">
        <v>141</v>
      </c>
      <c r="C225" s="121">
        <v>3</v>
      </c>
      <c r="D225" s="178">
        <v>300</v>
      </c>
      <c r="E225" s="236">
        <f t="shared" si="96"/>
        <v>900</v>
      </c>
      <c r="F225" s="236">
        <f t="shared" si="96"/>
        <v>900</v>
      </c>
      <c r="G225" s="236">
        <f t="shared" si="96"/>
        <v>900</v>
      </c>
      <c r="H225" s="236">
        <f t="shared" si="96"/>
        <v>900</v>
      </c>
      <c r="I225" s="236">
        <f t="shared" si="96"/>
        <v>900</v>
      </c>
      <c r="J225" s="236">
        <f t="shared" si="96"/>
        <v>900</v>
      </c>
      <c r="K225" s="236">
        <f t="shared" si="96"/>
        <v>900</v>
      </c>
      <c r="L225" s="236">
        <f t="shared" si="96"/>
        <v>900</v>
      </c>
      <c r="M225" s="236">
        <f t="shared" si="96"/>
        <v>900</v>
      </c>
      <c r="N225" s="236">
        <f t="shared" si="96"/>
        <v>900</v>
      </c>
      <c r="O225" s="236">
        <f t="shared" si="96"/>
        <v>900</v>
      </c>
      <c r="P225" s="236">
        <f t="shared" si="96"/>
        <v>900</v>
      </c>
      <c r="Q225" s="208">
        <f t="shared" si="97"/>
        <v>10800</v>
      </c>
    </row>
    <row r="226" spans="1:17" ht="14.5">
      <c r="A226" s="198"/>
      <c r="B226" s="225" t="s">
        <v>139</v>
      </c>
      <c r="C226" s="121">
        <v>3</v>
      </c>
      <c r="D226" s="178">
        <v>220</v>
      </c>
      <c r="E226" s="236">
        <f t="shared" si="96"/>
        <v>660</v>
      </c>
      <c r="F226" s="236">
        <f t="shared" si="96"/>
        <v>660</v>
      </c>
      <c r="G226" s="236">
        <f t="shared" si="96"/>
        <v>660</v>
      </c>
      <c r="H226" s="236">
        <f t="shared" si="96"/>
        <v>660</v>
      </c>
      <c r="I226" s="236">
        <f t="shared" si="96"/>
        <v>660</v>
      </c>
      <c r="J226" s="236">
        <f t="shared" si="96"/>
        <v>660</v>
      </c>
      <c r="K226" s="236">
        <f t="shared" si="96"/>
        <v>660</v>
      </c>
      <c r="L226" s="236">
        <f t="shared" si="96"/>
        <v>660</v>
      </c>
      <c r="M226" s="236">
        <f t="shared" si="96"/>
        <v>660</v>
      </c>
      <c r="N226" s="236">
        <f t="shared" si="96"/>
        <v>660</v>
      </c>
      <c r="O226" s="236">
        <f t="shared" si="96"/>
        <v>660</v>
      </c>
      <c r="P226" s="236">
        <f t="shared" si="96"/>
        <v>660</v>
      </c>
      <c r="Q226" s="208">
        <f t="shared" si="97"/>
        <v>7920</v>
      </c>
    </row>
    <row r="227" spans="1:17" ht="14.5">
      <c r="A227" s="198"/>
      <c r="B227" s="198" t="s">
        <v>729</v>
      </c>
      <c r="C227" s="121">
        <v>1</v>
      </c>
      <c r="D227" s="178">
        <v>1450</v>
      </c>
      <c r="E227" s="236">
        <v>1100</v>
      </c>
      <c r="F227" s="236">
        <v>1100</v>
      </c>
      <c r="G227" s="236"/>
      <c r="H227" s="236"/>
      <c r="I227" s="236">
        <f t="shared" ref="I227:P227" si="98">$C227*$D227</f>
        <v>1450</v>
      </c>
      <c r="J227" s="236">
        <f t="shared" si="98"/>
        <v>1450</v>
      </c>
      <c r="K227" s="236">
        <f t="shared" si="98"/>
        <v>1450</v>
      </c>
      <c r="L227" s="236">
        <f t="shared" si="98"/>
        <v>1450</v>
      </c>
      <c r="M227" s="236">
        <f t="shared" si="98"/>
        <v>1450</v>
      </c>
      <c r="N227" s="236">
        <f t="shared" si="98"/>
        <v>1450</v>
      </c>
      <c r="O227" s="236">
        <f t="shared" si="98"/>
        <v>1450</v>
      </c>
      <c r="P227" s="236">
        <f t="shared" si="98"/>
        <v>1450</v>
      </c>
      <c r="Q227" s="208">
        <f t="shared" si="97"/>
        <v>13800</v>
      </c>
    </row>
    <row r="228" spans="1:17" ht="15.5">
      <c r="A228" s="181" t="s">
        <v>728</v>
      </c>
      <c r="B228" s="181"/>
      <c r="C228" s="181"/>
      <c r="D228" s="181"/>
      <c r="E228" s="182">
        <f t="shared" ref="E228:P228" si="99">SUM(E223:E227)</f>
        <v>13105</v>
      </c>
      <c r="F228" s="182">
        <f t="shared" si="99"/>
        <v>13105</v>
      </c>
      <c r="G228" s="182">
        <f t="shared" si="99"/>
        <v>12005</v>
      </c>
      <c r="H228" s="182">
        <f t="shared" si="99"/>
        <v>12005</v>
      </c>
      <c r="I228" s="182">
        <f t="shared" si="99"/>
        <v>13455</v>
      </c>
      <c r="J228" s="182">
        <f t="shared" si="99"/>
        <v>13455</v>
      </c>
      <c r="K228" s="182">
        <f t="shared" si="99"/>
        <v>13455</v>
      </c>
      <c r="L228" s="182">
        <f t="shared" si="99"/>
        <v>13455</v>
      </c>
      <c r="M228" s="182">
        <f t="shared" si="99"/>
        <v>13455</v>
      </c>
      <c r="N228" s="182">
        <f t="shared" si="99"/>
        <v>13455</v>
      </c>
      <c r="O228" s="182">
        <f t="shared" si="99"/>
        <v>13455</v>
      </c>
      <c r="P228" s="182">
        <f t="shared" si="99"/>
        <v>13455</v>
      </c>
      <c r="Q228" s="182">
        <f t="shared" si="97"/>
        <v>157860</v>
      </c>
    </row>
    <row r="229" spans="1:17">
      <c r="A229" s="198"/>
      <c r="B229" s="198"/>
      <c r="C229" s="198"/>
      <c r="D229" s="198"/>
      <c r="E229" s="199"/>
      <c r="F229" s="199"/>
      <c r="G229" s="199"/>
      <c r="H229" s="199"/>
      <c r="I229" s="199"/>
      <c r="J229" s="199"/>
      <c r="K229" s="199"/>
      <c r="L229" s="199"/>
      <c r="M229" s="199"/>
      <c r="N229" s="199"/>
      <c r="O229" s="199"/>
      <c r="P229" s="199"/>
      <c r="Q229" s="199"/>
    </row>
    <row r="230" spans="1:17" ht="15.5">
      <c r="A230" s="205" t="s">
        <v>730</v>
      </c>
      <c r="B230" s="198"/>
      <c r="C230" s="198"/>
      <c r="D230" s="198"/>
      <c r="E230" s="199"/>
      <c r="F230" s="199"/>
      <c r="G230" s="199"/>
      <c r="H230" s="199"/>
      <c r="I230" s="199"/>
      <c r="J230" s="199"/>
      <c r="K230" s="199"/>
      <c r="L230" s="199"/>
      <c r="M230" s="199"/>
      <c r="N230" s="199"/>
      <c r="O230" s="199"/>
      <c r="P230" s="199"/>
      <c r="Q230" s="199"/>
    </row>
    <row r="231" spans="1:17" ht="14.5">
      <c r="A231" s="198"/>
      <c r="B231" s="225" t="s">
        <v>53</v>
      </c>
      <c r="C231" s="198"/>
      <c r="D231" s="198"/>
      <c r="E231" s="199"/>
      <c r="F231" s="199"/>
      <c r="G231" s="199"/>
      <c r="H231" s="199"/>
      <c r="I231" s="199"/>
      <c r="J231" s="199"/>
      <c r="K231" s="199"/>
      <c r="L231" s="199"/>
      <c r="M231" s="199"/>
      <c r="N231" s="199"/>
      <c r="O231" s="199"/>
      <c r="P231" s="199"/>
      <c r="Q231" s="199"/>
    </row>
    <row r="232" spans="1:17" ht="14.5">
      <c r="A232" s="198"/>
      <c r="B232" s="225" t="s">
        <v>485</v>
      </c>
      <c r="C232" s="121" t="s">
        <v>483</v>
      </c>
      <c r="D232" s="209">
        <f>125000</f>
        <v>125000</v>
      </c>
      <c r="E232" s="210">
        <f t="shared" ref="E232:P232" si="100">$D232/$R$1</f>
        <v>1436.7816091954023</v>
      </c>
      <c r="F232" s="210">
        <f t="shared" si="100"/>
        <v>1436.7816091954023</v>
      </c>
      <c r="G232" s="210">
        <f t="shared" si="100"/>
        <v>1436.7816091954023</v>
      </c>
      <c r="H232" s="210">
        <f t="shared" si="100"/>
        <v>1436.7816091954023</v>
      </c>
      <c r="I232" s="210">
        <f t="shared" si="100"/>
        <v>1436.7816091954023</v>
      </c>
      <c r="J232" s="210">
        <f t="shared" si="100"/>
        <v>1436.7816091954023</v>
      </c>
      <c r="K232" s="210">
        <f t="shared" si="100"/>
        <v>1436.7816091954023</v>
      </c>
      <c r="L232" s="210">
        <f t="shared" si="100"/>
        <v>1436.7816091954023</v>
      </c>
      <c r="M232" s="210">
        <f t="shared" si="100"/>
        <v>1436.7816091954023</v>
      </c>
      <c r="N232" s="210">
        <f t="shared" si="100"/>
        <v>1436.7816091954023</v>
      </c>
      <c r="O232" s="210">
        <f t="shared" si="100"/>
        <v>1436.7816091954023</v>
      </c>
      <c r="P232" s="210">
        <f t="shared" si="100"/>
        <v>1436.7816091954023</v>
      </c>
      <c r="Q232" s="208">
        <f>SUM(E232:P232)</f>
        <v>17241.37931034483</v>
      </c>
    </row>
    <row r="233" spans="1:17" ht="14.5">
      <c r="A233" s="198"/>
      <c r="B233" s="225"/>
      <c r="C233" s="121" t="s">
        <v>731</v>
      </c>
      <c r="D233" s="198"/>
      <c r="E233" s="228">
        <f>(41000+5500)/$R$1</f>
        <v>534.48275862068965</v>
      </c>
      <c r="F233" s="228">
        <f t="shared" ref="F233:P233" si="101">5500/$R$1</f>
        <v>63.218390804597703</v>
      </c>
      <c r="G233" s="228">
        <f t="shared" si="101"/>
        <v>63.218390804597703</v>
      </c>
      <c r="H233" s="228">
        <f t="shared" si="101"/>
        <v>63.218390804597703</v>
      </c>
      <c r="I233" s="228">
        <f t="shared" si="101"/>
        <v>63.218390804597703</v>
      </c>
      <c r="J233" s="228">
        <f t="shared" si="101"/>
        <v>63.218390804597703</v>
      </c>
      <c r="K233" s="228">
        <f t="shared" si="101"/>
        <v>63.218390804597703</v>
      </c>
      <c r="L233" s="228">
        <f t="shared" si="101"/>
        <v>63.218390804597703</v>
      </c>
      <c r="M233" s="228">
        <f t="shared" si="101"/>
        <v>63.218390804597703</v>
      </c>
      <c r="N233" s="228">
        <f t="shared" si="101"/>
        <v>63.218390804597703</v>
      </c>
      <c r="O233" s="228">
        <f t="shared" si="101"/>
        <v>63.218390804597703</v>
      </c>
      <c r="P233" s="228">
        <f t="shared" si="101"/>
        <v>63.218390804597703</v>
      </c>
      <c r="Q233" s="208">
        <f>SUM(E233:P233)</f>
        <v>1229.8850574712642</v>
      </c>
    </row>
    <row r="234" spans="1:17" ht="14.5">
      <c r="A234" s="198"/>
      <c r="B234" s="225"/>
      <c r="C234" s="121" t="s">
        <v>754</v>
      </c>
      <c r="D234" s="198"/>
      <c r="E234" s="228"/>
      <c r="F234" s="228">
        <f>275000/$R$1</f>
        <v>3160.9195402298851</v>
      </c>
      <c r="G234" s="199"/>
      <c r="H234" s="199"/>
      <c r="I234" s="199"/>
      <c r="J234" s="199"/>
      <c r="K234" s="199"/>
      <c r="L234" s="199"/>
      <c r="M234" s="199"/>
      <c r="N234" s="199"/>
      <c r="O234" s="199"/>
      <c r="P234" s="199"/>
      <c r="Q234" s="208">
        <f>SUM(E234:P234)</f>
        <v>3160.9195402298851</v>
      </c>
    </row>
    <row r="235" spans="1:17">
      <c r="A235" s="198"/>
      <c r="B235" s="198"/>
      <c r="C235" s="198"/>
      <c r="D235" s="198"/>
      <c r="E235" s="199"/>
      <c r="F235" s="199"/>
      <c r="G235" s="199"/>
      <c r="H235" s="199"/>
      <c r="I235" s="199"/>
      <c r="J235" s="199"/>
      <c r="K235" s="199"/>
      <c r="L235" s="199"/>
      <c r="M235" s="199"/>
      <c r="N235" s="199"/>
      <c r="O235" s="199"/>
      <c r="P235" s="199"/>
      <c r="Q235" s="199"/>
    </row>
    <row r="236" spans="1:17" ht="15.5">
      <c r="A236" s="181" t="s">
        <v>730</v>
      </c>
      <c r="B236" s="181"/>
      <c r="C236" s="181"/>
      <c r="D236" s="181"/>
      <c r="E236" s="182">
        <f t="shared" ref="E236:P236" si="102">SUM(E231:E235)</f>
        <v>1971.2643678160921</v>
      </c>
      <c r="F236" s="182">
        <f t="shared" si="102"/>
        <v>4660.9195402298847</v>
      </c>
      <c r="G236" s="182">
        <f t="shared" si="102"/>
        <v>1500</v>
      </c>
      <c r="H236" s="182">
        <f t="shared" si="102"/>
        <v>1500</v>
      </c>
      <c r="I236" s="182">
        <f t="shared" si="102"/>
        <v>1500</v>
      </c>
      <c r="J236" s="182">
        <f t="shared" si="102"/>
        <v>1500</v>
      </c>
      <c r="K236" s="182">
        <f t="shared" si="102"/>
        <v>1500</v>
      </c>
      <c r="L236" s="182">
        <f t="shared" si="102"/>
        <v>1500</v>
      </c>
      <c r="M236" s="182">
        <f t="shared" si="102"/>
        <v>1500</v>
      </c>
      <c r="N236" s="182">
        <f t="shared" si="102"/>
        <v>1500</v>
      </c>
      <c r="O236" s="182">
        <f t="shared" si="102"/>
        <v>1500</v>
      </c>
      <c r="P236" s="182">
        <f t="shared" si="102"/>
        <v>1500</v>
      </c>
      <c r="Q236" s="182">
        <f>SUM(E236:P236)</f>
        <v>21632.183908045976</v>
      </c>
    </row>
    <row r="237" spans="1:17">
      <c r="A237" s="198"/>
      <c r="B237" s="198"/>
      <c r="C237" s="198"/>
      <c r="D237" s="198"/>
      <c r="E237" s="199"/>
      <c r="F237" s="199"/>
      <c r="G237" s="199"/>
      <c r="H237" s="199"/>
      <c r="I237" s="199"/>
      <c r="J237" s="199"/>
      <c r="K237" s="199"/>
      <c r="L237" s="199"/>
      <c r="M237" s="199"/>
      <c r="N237" s="199"/>
      <c r="O237" s="199"/>
      <c r="P237" s="199"/>
      <c r="Q237" s="199"/>
    </row>
    <row r="238" spans="1:17" ht="15.5">
      <c r="A238" s="205" t="s">
        <v>733</v>
      </c>
      <c r="B238" s="225" t="s">
        <v>106</v>
      </c>
      <c r="C238" s="121">
        <v>9</v>
      </c>
      <c r="D238" s="178">
        <v>180</v>
      </c>
      <c r="E238" s="236">
        <f t="shared" ref="E238:P238" si="103">$C238*$D238</f>
        <v>1620</v>
      </c>
      <c r="F238" s="236">
        <f t="shared" si="103"/>
        <v>1620</v>
      </c>
      <c r="G238" s="236">
        <f t="shared" si="103"/>
        <v>1620</v>
      </c>
      <c r="H238" s="236">
        <f t="shared" si="103"/>
        <v>1620</v>
      </c>
      <c r="I238" s="236">
        <f t="shared" si="103"/>
        <v>1620</v>
      </c>
      <c r="J238" s="236">
        <f t="shared" si="103"/>
        <v>1620</v>
      </c>
      <c r="K238" s="236">
        <f t="shared" si="103"/>
        <v>1620</v>
      </c>
      <c r="L238" s="236">
        <f t="shared" si="103"/>
        <v>1620</v>
      </c>
      <c r="M238" s="236">
        <f t="shared" si="103"/>
        <v>1620</v>
      </c>
      <c r="N238" s="236">
        <f t="shared" si="103"/>
        <v>1620</v>
      </c>
      <c r="O238" s="236">
        <f t="shared" si="103"/>
        <v>1620</v>
      </c>
      <c r="P238" s="236">
        <f t="shared" si="103"/>
        <v>1620</v>
      </c>
      <c r="Q238" s="208">
        <f>SUM(E238:P238)</f>
        <v>19440</v>
      </c>
    </row>
    <row r="239" spans="1:17" ht="15.5">
      <c r="A239" s="205"/>
      <c r="B239" s="225" t="s">
        <v>735</v>
      </c>
      <c r="C239" s="121">
        <v>1</v>
      </c>
      <c r="D239" s="178"/>
      <c r="E239" s="236">
        <v>2000</v>
      </c>
      <c r="F239" s="236">
        <v>2000</v>
      </c>
      <c r="G239" s="236">
        <f t="shared" ref="G239:P239" si="104">$C239*$D239</f>
        <v>0</v>
      </c>
      <c r="H239" s="236">
        <f t="shared" si="104"/>
        <v>0</v>
      </c>
      <c r="I239" s="236">
        <f t="shared" si="104"/>
        <v>0</v>
      </c>
      <c r="J239" s="236">
        <f t="shared" si="104"/>
        <v>0</v>
      </c>
      <c r="K239" s="236">
        <f t="shared" si="104"/>
        <v>0</v>
      </c>
      <c r="L239" s="236">
        <f t="shared" si="104"/>
        <v>0</v>
      </c>
      <c r="M239" s="236">
        <f t="shared" si="104"/>
        <v>0</v>
      </c>
      <c r="N239" s="236">
        <f t="shared" si="104"/>
        <v>0</v>
      </c>
      <c r="O239" s="236">
        <f t="shared" si="104"/>
        <v>0</v>
      </c>
      <c r="P239" s="236">
        <f t="shared" si="104"/>
        <v>0</v>
      </c>
      <c r="Q239" s="208">
        <f>SUM(E239:P239)</f>
        <v>4000</v>
      </c>
    </row>
    <row r="240" spans="1:17" ht="15.5">
      <c r="A240" s="205"/>
      <c r="B240" s="225"/>
      <c r="C240" s="121"/>
      <c r="D240" s="178"/>
      <c r="E240" s="236"/>
      <c r="F240" s="236"/>
      <c r="G240" s="236"/>
      <c r="H240" s="236"/>
      <c r="I240" s="236"/>
      <c r="J240" s="236"/>
      <c r="K240" s="236"/>
      <c r="L240" s="236"/>
      <c r="M240" s="236"/>
      <c r="N240" s="236"/>
      <c r="O240" s="236"/>
      <c r="P240" s="236"/>
      <c r="Q240" s="208"/>
    </row>
    <row r="241" spans="1:17" ht="15.5">
      <c r="A241" s="205"/>
      <c r="B241" s="225" t="s">
        <v>590</v>
      </c>
      <c r="C241" s="121" t="s">
        <v>736</v>
      </c>
      <c r="D241" s="178">
        <v>0</v>
      </c>
      <c r="E241" s="199"/>
      <c r="F241" s="199"/>
      <c r="G241" s="236"/>
      <c r="H241" s="199"/>
      <c r="I241" s="199"/>
      <c r="J241" s="236"/>
      <c r="K241" s="199"/>
      <c r="L241" s="199"/>
      <c r="M241" s="236"/>
      <c r="N241" s="199"/>
      <c r="O241" s="199"/>
      <c r="P241" s="236"/>
      <c r="Q241" s="208">
        <f>SUM(E241:P241)</f>
        <v>0</v>
      </c>
    </row>
    <row r="242" spans="1:17" ht="15.5">
      <c r="A242" s="158" t="s">
        <v>755</v>
      </c>
      <c r="B242" s="225" t="s">
        <v>118</v>
      </c>
      <c r="C242" s="121" t="s">
        <v>118</v>
      </c>
      <c r="D242" s="178"/>
      <c r="E242" s="199"/>
      <c r="F242" s="199"/>
      <c r="G242" s="236">
        <v>2000</v>
      </c>
      <c r="H242" s="199"/>
      <c r="I242" s="199"/>
      <c r="J242" s="199"/>
      <c r="K242" s="199"/>
      <c r="L242" s="199"/>
      <c r="M242" s="199"/>
      <c r="N242" s="199"/>
      <c r="O242" s="199"/>
      <c r="P242" s="199"/>
      <c r="Q242" s="208">
        <f>SUM(E242:P242)</f>
        <v>2000</v>
      </c>
    </row>
    <row r="243" spans="1:17" ht="15.5">
      <c r="A243" s="158" t="s">
        <v>755</v>
      </c>
      <c r="B243" s="225" t="s">
        <v>123</v>
      </c>
      <c r="C243" s="121" t="s">
        <v>123</v>
      </c>
      <c r="D243" s="178"/>
      <c r="E243" s="199"/>
      <c r="F243" s="199"/>
      <c r="G243" s="236">
        <v>3000</v>
      </c>
      <c r="H243" s="199"/>
      <c r="I243" s="199"/>
      <c r="J243" s="199"/>
      <c r="K243" s="199"/>
      <c r="L243" s="199"/>
      <c r="M243" s="199"/>
      <c r="N243" s="199"/>
      <c r="O243" s="199"/>
      <c r="P243" s="199"/>
      <c r="Q243" s="208">
        <f>SUM(E243:P243)</f>
        <v>3000</v>
      </c>
    </row>
    <row r="244" spans="1:17" ht="15.5">
      <c r="A244" s="205"/>
      <c r="B244" s="225" t="s">
        <v>738</v>
      </c>
      <c r="C244" s="121"/>
      <c r="D244" s="178"/>
      <c r="E244" s="199"/>
      <c r="F244" s="199"/>
      <c r="G244" s="199"/>
      <c r="H244" s="199"/>
      <c r="I244" s="199"/>
      <c r="J244" s="199"/>
      <c r="K244" s="199"/>
      <c r="L244" s="199"/>
      <c r="M244" s="199"/>
      <c r="N244" s="199"/>
      <c r="O244" s="199"/>
      <c r="P244" s="199"/>
      <c r="Q244" s="199"/>
    </row>
    <row r="245" spans="1:17" ht="15.5">
      <c r="A245" s="205"/>
      <c r="B245" s="147"/>
      <c r="C245" s="121"/>
      <c r="D245" s="121"/>
      <c r="E245" s="199"/>
      <c r="F245" s="199"/>
      <c r="G245" s="199"/>
      <c r="H245" s="199"/>
      <c r="I245" s="199"/>
      <c r="J245" s="199"/>
      <c r="K245" s="199"/>
      <c r="L245" s="199"/>
      <c r="M245" s="199"/>
      <c r="N245" s="199"/>
      <c r="O245" s="199"/>
      <c r="P245" s="199"/>
      <c r="Q245" s="199"/>
    </row>
    <row r="246" spans="1:17" ht="15.5">
      <c r="A246" s="181" t="s">
        <v>733</v>
      </c>
      <c r="B246" s="181"/>
      <c r="C246" s="181"/>
      <c r="D246" s="181"/>
      <c r="E246" s="182">
        <f t="shared" ref="E246:P246" si="105">SUM(E238:E245)</f>
        <v>3620</v>
      </c>
      <c r="F246" s="182">
        <f t="shared" si="105"/>
        <v>3620</v>
      </c>
      <c r="G246" s="182">
        <f t="shared" si="105"/>
        <v>6620</v>
      </c>
      <c r="H246" s="182">
        <f t="shared" si="105"/>
        <v>1620</v>
      </c>
      <c r="I246" s="182">
        <f t="shared" si="105"/>
        <v>1620</v>
      </c>
      <c r="J246" s="182">
        <f t="shared" si="105"/>
        <v>1620</v>
      </c>
      <c r="K246" s="182">
        <f t="shared" si="105"/>
        <v>1620</v>
      </c>
      <c r="L246" s="182">
        <f t="shared" si="105"/>
        <v>1620</v>
      </c>
      <c r="M246" s="182">
        <f t="shared" si="105"/>
        <v>1620</v>
      </c>
      <c r="N246" s="182">
        <f t="shared" si="105"/>
        <v>1620</v>
      </c>
      <c r="O246" s="182">
        <f t="shared" si="105"/>
        <v>1620</v>
      </c>
      <c r="P246" s="182">
        <f t="shared" si="105"/>
        <v>1620</v>
      </c>
      <c r="Q246" s="182">
        <f>SUM(E246:P246)</f>
        <v>28440</v>
      </c>
    </row>
    <row r="247" spans="1:17">
      <c r="A247" s="198"/>
      <c r="B247" s="198"/>
      <c r="C247" s="198"/>
      <c r="D247" s="198"/>
      <c r="E247" s="199"/>
      <c r="F247" s="199"/>
      <c r="G247" s="199"/>
      <c r="H247" s="199"/>
      <c r="I247" s="199"/>
      <c r="J247" s="199"/>
      <c r="K247" s="199"/>
      <c r="L247" s="199"/>
      <c r="M247" s="199"/>
      <c r="N247" s="199"/>
      <c r="O247" s="199"/>
      <c r="P247" s="199"/>
      <c r="Q247" s="199"/>
    </row>
    <row r="248" spans="1:17" ht="15.5">
      <c r="A248" s="205" t="s">
        <v>739</v>
      </c>
      <c r="B248" s="225"/>
    </row>
    <row r="249" spans="1:17" ht="14.5">
      <c r="A249" s="198"/>
      <c r="B249" s="225" t="s">
        <v>137</v>
      </c>
      <c r="C249" s="121" t="s">
        <v>740</v>
      </c>
      <c r="D249" s="209">
        <v>30000</v>
      </c>
      <c r="E249" s="210">
        <f t="shared" ref="E249:P250" si="106">$D249/$R$1</f>
        <v>344.82758620689657</v>
      </c>
      <c r="F249" s="210">
        <f t="shared" si="106"/>
        <v>344.82758620689657</v>
      </c>
      <c r="G249" s="210">
        <f t="shared" si="106"/>
        <v>344.82758620689657</v>
      </c>
      <c r="H249" s="210">
        <f t="shared" si="106"/>
        <v>344.82758620689657</v>
      </c>
      <c r="I249" s="210">
        <f t="shared" si="106"/>
        <v>344.82758620689657</v>
      </c>
      <c r="J249" s="210">
        <f t="shared" si="106"/>
        <v>344.82758620689657</v>
      </c>
      <c r="K249" s="210">
        <f t="shared" si="106"/>
        <v>344.82758620689657</v>
      </c>
      <c r="L249" s="210">
        <f t="shared" si="106"/>
        <v>344.82758620689657</v>
      </c>
      <c r="M249" s="210">
        <f t="shared" si="106"/>
        <v>344.82758620689657</v>
      </c>
      <c r="N249" s="210">
        <f t="shared" si="106"/>
        <v>344.82758620689657</v>
      </c>
      <c r="O249" s="210">
        <f t="shared" si="106"/>
        <v>344.82758620689657</v>
      </c>
      <c r="P249" s="210">
        <f t="shared" si="106"/>
        <v>344.82758620689657</v>
      </c>
      <c r="Q249" s="208">
        <f t="shared" ref="Q249:Q259" si="107">SUM(E249:P249)</f>
        <v>4137.93103448276</v>
      </c>
    </row>
    <row r="250" spans="1:17" ht="14.5">
      <c r="A250" s="198"/>
      <c r="B250" s="225"/>
      <c r="C250" s="121" t="s">
        <v>741</v>
      </c>
      <c r="D250" s="209">
        <v>20000</v>
      </c>
      <c r="E250" s="210">
        <f t="shared" si="106"/>
        <v>229.88505747126436</v>
      </c>
      <c r="F250" s="210">
        <f t="shared" si="106"/>
        <v>229.88505747126436</v>
      </c>
      <c r="G250" s="210">
        <f t="shared" si="106"/>
        <v>229.88505747126436</v>
      </c>
      <c r="H250" s="210">
        <f t="shared" si="106"/>
        <v>229.88505747126436</v>
      </c>
      <c r="I250" s="210">
        <f t="shared" si="106"/>
        <v>229.88505747126436</v>
      </c>
      <c r="J250" s="210">
        <f t="shared" si="106"/>
        <v>229.88505747126436</v>
      </c>
      <c r="K250" s="210">
        <f t="shared" si="106"/>
        <v>229.88505747126436</v>
      </c>
      <c r="L250" s="210">
        <f t="shared" si="106"/>
        <v>229.88505747126436</v>
      </c>
      <c r="M250" s="210">
        <f t="shared" si="106"/>
        <v>229.88505747126436</v>
      </c>
      <c r="N250" s="210">
        <f t="shared" si="106"/>
        <v>229.88505747126436</v>
      </c>
      <c r="O250" s="210">
        <f t="shared" si="106"/>
        <v>229.88505747126436</v>
      </c>
      <c r="P250" s="210">
        <f t="shared" si="106"/>
        <v>229.88505747126436</v>
      </c>
      <c r="Q250" s="208">
        <f t="shared" si="107"/>
        <v>2758.6206896551721</v>
      </c>
    </row>
    <row r="251" spans="1:17" ht="14.5">
      <c r="A251" s="198"/>
      <c r="B251" s="225" t="s">
        <v>527</v>
      </c>
      <c r="C251" s="121"/>
      <c r="D251" s="209"/>
      <c r="E251" s="199"/>
      <c r="F251" s="199"/>
      <c r="G251" s="199"/>
      <c r="H251" s="199"/>
      <c r="I251" s="199"/>
      <c r="J251" s="199"/>
      <c r="K251" s="199"/>
      <c r="L251" s="199"/>
      <c r="M251" s="199"/>
      <c r="N251" s="199"/>
      <c r="O251" s="199"/>
      <c r="P251" s="199"/>
      <c r="Q251" s="208">
        <f t="shared" si="107"/>
        <v>0</v>
      </c>
    </row>
    <row r="252" spans="1:17" ht="14.5">
      <c r="A252" s="198"/>
      <c r="B252" s="225" t="s">
        <v>129</v>
      </c>
      <c r="C252" s="121" t="s">
        <v>524</v>
      </c>
      <c r="D252" s="209">
        <v>40000</v>
      </c>
      <c r="E252" s="210">
        <f t="shared" ref="E252:P254" si="108">$D252/$R$1</f>
        <v>459.77011494252872</v>
      </c>
      <c r="F252" s="210">
        <f t="shared" si="108"/>
        <v>459.77011494252872</v>
      </c>
      <c r="G252" s="210">
        <f t="shared" si="108"/>
        <v>459.77011494252872</v>
      </c>
      <c r="H252" s="210">
        <f t="shared" si="108"/>
        <v>459.77011494252872</v>
      </c>
      <c r="I252" s="210">
        <f t="shared" si="108"/>
        <v>459.77011494252872</v>
      </c>
      <c r="J252" s="210">
        <f t="shared" si="108"/>
        <v>459.77011494252872</v>
      </c>
      <c r="K252" s="210">
        <f t="shared" si="108"/>
        <v>459.77011494252872</v>
      </c>
      <c r="L252" s="210">
        <f t="shared" si="108"/>
        <v>459.77011494252872</v>
      </c>
      <c r="M252" s="210">
        <f t="shared" si="108"/>
        <v>459.77011494252872</v>
      </c>
      <c r="N252" s="210">
        <f t="shared" si="108"/>
        <v>459.77011494252872</v>
      </c>
      <c r="O252" s="210">
        <f t="shared" si="108"/>
        <v>459.77011494252872</v>
      </c>
      <c r="P252" s="210">
        <f t="shared" si="108"/>
        <v>459.77011494252872</v>
      </c>
      <c r="Q252" s="208">
        <f t="shared" si="107"/>
        <v>5517.2413793103442</v>
      </c>
    </row>
    <row r="253" spans="1:17" ht="14.5">
      <c r="A253" s="198"/>
      <c r="B253" s="225"/>
      <c r="C253" s="121" t="s">
        <v>525</v>
      </c>
      <c r="D253" s="209">
        <v>20000</v>
      </c>
      <c r="E253" s="210">
        <f t="shared" si="108"/>
        <v>229.88505747126436</v>
      </c>
      <c r="F253" s="210">
        <f t="shared" si="108"/>
        <v>229.88505747126436</v>
      </c>
      <c r="G253" s="210">
        <f t="shared" si="108"/>
        <v>229.88505747126436</v>
      </c>
      <c r="H253" s="210">
        <f t="shared" si="108"/>
        <v>229.88505747126436</v>
      </c>
      <c r="I253" s="210">
        <f t="shared" si="108"/>
        <v>229.88505747126436</v>
      </c>
      <c r="J253" s="210">
        <f t="shared" si="108"/>
        <v>229.88505747126436</v>
      </c>
      <c r="K253" s="210">
        <f t="shared" si="108"/>
        <v>229.88505747126436</v>
      </c>
      <c r="L253" s="210">
        <f t="shared" si="108"/>
        <v>229.88505747126436</v>
      </c>
      <c r="M253" s="210">
        <f t="shared" si="108"/>
        <v>229.88505747126436</v>
      </c>
      <c r="N253" s="210">
        <f t="shared" si="108"/>
        <v>229.88505747126436</v>
      </c>
      <c r="O253" s="210">
        <f t="shared" si="108"/>
        <v>229.88505747126436</v>
      </c>
      <c r="P253" s="210">
        <f t="shared" si="108"/>
        <v>229.88505747126436</v>
      </c>
      <c r="Q253" s="208">
        <f t="shared" si="107"/>
        <v>2758.6206896551721</v>
      </c>
    </row>
    <row r="254" spans="1:17" ht="14.5">
      <c r="A254" s="198"/>
      <c r="B254" s="225" t="s">
        <v>539</v>
      </c>
      <c r="C254" s="121" t="s">
        <v>539</v>
      </c>
      <c r="D254" s="209">
        <v>5000</v>
      </c>
      <c r="E254" s="210">
        <f t="shared" si="108"/>
        <v>57.47126436781609</v>
      </c>
      <c r="F254" s="210">
        <f t="shared" si="108"/>
        <v>57.47126436781609</v>
      </c>
      <c r="G254" s="210">
        <f t="shared" si="108"/>
        <v>57.47126436781609</v>
      </c>
      <c r="H254" s="210">
        <f t="shared" si="108"/>
        <v>57.47126436781609</v>
      </c>
      <c r="I254" s="210">
        <f t="shared" si="108"/>
        <v>57.47126436781609</v>
      </c>
      <c r="J254" s="210">
        <f t="shared" si="108"/>
        <v>57.47126436781609</v>
      </c>
      <c r="K254" s="210">
        <f t="shared" si="108"/>
        <v>57.47126436781609</v>
      </c>
      <c r="L254" s="210">
        <f t="shared" si="108"/>
        <v>57.47126436781609</v>
      </c>
      <c r="M254" s="210">
        <f t="shared" si="108"/>
        <v>57.47126436781609</v>
      </c>
      <c r="N254" s="210">
        <f t="shared" si="108"/>
        <v>57.47126436781609</v>
      </c>
      <c r="O254" s="210">
        <f t="shared" si="108"/>
        <v>57.47126436781609</v>
      </c>
      <c r="P254" s="210">
        <f t="shared" si="108"/>
        <v>57.47126436781609</v>
      </c>
      <c r="Q254" s="208">
        <f t="shared" si="107"/>
        <v>689.65517241379303</v>
      </c>
    </row>
    <row r="255" spans="1:17" ht="14.5">
      <c r="A255" s="198" t="s">
        <v>656</v>
      </c>
      <c r="B255" s="225" t="s">
        <v>103</v>
      </c>
      <c r="C255" s="121" t="s">
        <v>742</v>
      </c>
      <c r="D255" s="198"/>
      <c r="E255" s="199"/>
      <c r="F255" s="199"/>
      <c r="G255" s="199"/>
      <c r="H255" s="199"/>
      <c r="I255" s="199"/>
      <c r="J255" s="199"/>
      <c r="K255" s="199"/>
      <c r="L255" s="199"/>
      <c r="M255" s="199"/>
      <c r="N255" s="199"/>
      <c r="O255" s="199"/>
      <c r="P255" s="199"/>
      <c r="Q255" s="208">
        <f t="shared" si="107"/>
        <v>0</v>
      </c>
    </row>
    <row r="256" spans="1:17" ht="14.5">
      <c r="A256" s="198"/>
      <c r="B256" s="225" t="s">
        <v>485</v>
      </c>
      <c r="C256" s="121" t="s">
        <v>743</v>
      </c>
      <c r="D256" s="178">
        <v>6000</v>
      </c>
      <c r="E256" s="199"/>
      <c r="F256" s="199"/>
      <c r="G256" s="199"/>
      <c r="H256" s="199"/>
      <c r="I256" s="199"/>
      <c r="J256" s="199"/>
      <c r="K256" s="236">
        <v>6000</v>
      </c>
      <c r="L256" s="199"/>
      <c r="M256" s="199"/>
      <c r="N256" s="199"/>
      <c r="O256" s="199"/>
      <c r="P256" s="199"/>
      <c r="Q256" s="208">
        <f t="shared" si="107"/>
        <v>6000</v>
      </c>
    </row>
    <row r="257" spans="1:19" ht="14.5">
      <c r="A257" s="198" t="s">
        <v>656</v>
      </c>
      <c r="B257" s="225" t="s">
        <v>92</v>
      </c>
      <c r="C257" s="121" t="s">
        <v>473</v>
      </c>
      <c r="D257" s="198"/>
      <c r="E257" s="199"/>
      <c r="F257" s="199"/>
      <c r="G257" s="199"/>
      <c r="H257" s="199"/>
      <c r="I257" s="199"/>
      <c r="J257" s="199"/>
      <c r="K257" s="199"/>
      <c r="L257" s="199"/>
      <c r="M257" s="199"/>
      <c r="N257" s="199"/>
      <c r="O257" s="199"/>
      <c r="P257" s="199"/>
      <c r="Q257" s="208">
        <f t="shared" si="107"/>
        <v>0</v>
      </c>
    </row>
    <row r="258" spans="1:19" ht="14.5">
      <c r="A258" s="198" t="s">
        <v>656</v>
      </c>
      <c r="B258" s="225" t="s">
        <v>744</v>
      </c>
      <c r="C258" s="121" t="s">
        <v>744</v>
      </c>
      <c r="Q258" s="208">
        <f t="shared" si="107"/>
        <v>0</v>
      </c>
    </row>
    <row r="259" spans="1:19" ht="14.5">
      <c r="A259" s="198"/>
      <c r="B259" s="225" t="s">
        <v>544</v>
      </c>
      <c r="C259" s="121" t="s">
        <v>544</v>
      </c>
      <c r="D259" s="209">
        <v>5000</v>
      </c>
      <c r="E259" s="210">
        <f t="shared" ref="E259:P259" si="109">$D259/$R$1</f>
        <v>57.47126436781609</v>
      </c>
      <c r="F259" s="210">
        <f t="shared" si="109"/>
        <v>57.47126436781609</v>
      </c>
      <c r="G259" s="210">
        <f t="shared" si="109"/>
        <v>57.47126436781609</v>
      </c>
      <c r="H259" s="210">
        <f t="shared" si="109"/>
        <v>57.47126436781609</v>
      </c>
      <c r="I259" s="210">
        <f t="shared" si="109"/>
        <v>57.47126436781609</v>
      </c>
      <c r="J259" s="210">
        <f t="shared" si="109"/>
        <v>57.47126436781609</v>
      </c>
      <c r="K259" s="210">
        <f t="shared" si="109"/>
        <v>57.47126436781609</v>
      </c>
      <c r="L259" s="210">
        <f t="shared" si="109"/>
        <v>57.47126436781609</v>
      </c>
      <c r="M259" s="210">
        <f t="shared" si="109"/>
        <v>57.47126436781609</v>
      </c>
      <c r="N259" s="210">
        <f t="shared" si="109"/>
        <v>57.47126436781609</v>
      </c>
      <c r="O259" s="210">
        <f t="shared" si="109"/>
        <v>57.47126436781609</v>
      </c>
      <c r="P259" s="210">
        <f t="shared" si="109"/>
        <v>57.47126436781609</v>
      </c>
      <c r="Q259" s="208">
        <f t="shared" si="107"/>
        <v>689.65517241379303</v>
      </c>
    </row>
    <row r="260" spans="1:19" ht="14.5">
      <c r="A260" s="198" t="s">
        <v>656</v>
      </c>
      <c r="B260" s="225" t="s">
        <v>745</v>
      </c>
      <c r="C260" s="121"/>
      <c r="D260" s="209">
        <v>500000</v>
      </c>
      <c r="E260" s="210"/>
      <c r="F260" s="210">
        <f>D260/$R$1</f>
        <v>5747.1264367816093</v>
      </c>
      <c r="G260" s="210"/>
      <c r="H260" s="210"/>
      <c r="I260" s="210"/>
      <c r="J260" s="210"/>
      <c r="K260" s="210"/>
      <c r="L260" s="210"/>
      <c r="M260" s="210"/>
      <c r="N260" s="210"/>
      <c r="O260" s="210"/>
      <c r="P260" s="210"/>
      <c r="Q260" s="208"/>
    </row>
    <row r="261" spans="1:19" ht="14.5">
      <c r="A261" s="198" t="s">
        <v>656</v>
      </c>
      <c r="B261" s="225" t="s">
        <v>543</v>
      </c>
      <c r="C261" s="121"/>
      <c r="Q261" s="208">
        <f>SUM(E261:P261)</f>
        <v>0</v>
      </c>
    </row>
    <row r="262" spans="1:19" ht="14.5">
      <c r="A262" s="198" t="s">
        <v>656</v>
      </c>
      <c r="B262" s="225" t="s">
        <v>747</v>
      </c>
      <c r="C262" s="121"/>
      <c r="Q262" s="208">
        <f>SUM(E262:P262)</f>
        <v>0</v>
      </c>
    </row>
    <row r="263" spans="1:19">
      <c r="Q263" s="208">
        <f>SUM(E263:P263)</f>
        <v>0</v>
      </c>
    </row>
    <row r="264" spans="1:19" ht="15.5">
      <c r="A264" s="181" t="s">
        <v>739</v>
      </c>
      <c r="B264" s="181"/>
      <c r="C264" s="181"/>
      <c r="D264" s="181"/>
      <c r="E264" s="182">
        <f t="shared" ref="E264:P264" si="110">SUM(E249:E263)</f>
        <v>1379.3103448275863</v>
      </c>
      <c r="F264" s="182">
        <f t="shared" si="110"/>
        <v>7126.4367816091954</v>
      </c>
      <c r="G264" s="182">
        <f t="shared" si="110"/>
        <v>1379.3103448275863</v>
      </c>
      <c r="H264" s="182">
        <f t="shared" si="110"/>
        <v>1379.3103448275863</v>
      </c>
      <c r="I264" s="182">
        <f t="shared" si="110"/>
        <v>1379.3103448275863</v>
      </c>
      <c r="J264" s="182">
        <f t="shared" si="110"/>
        <v>1379.3103448275863</v>
      </c>
      <c r="K264" s="182">
        <f t="shared" si="110"/>
        <v>7379.3103448275861</v>
      </c>
      <c r="L264" s="182">
        <f t="shared" si="110"/>
        <v>1379.3103448275863</v>
      </c>
      <c r="M264" s="182">
        <f t="shared" si="110"/>
        <v>1379.3103448275863</v>
      </c>
      <c r="N264" s="182">
        <f t="shared" si="110"/>
        <v>1379.3103448275863</v>
      </c>
      <c r="O264" s="182">
        <f t="shared" si="110"/>
        <v>1379.3103448275863</v>
      </c>
      <c r="P264" s="182">
        <f t="shared" si="110"/>
        <v>1379.3103448275863</v>
      </c>
      <c r="Q264" s="182">
        <f>SUM(E264:P264)</f>
        <v>28298.850574712651</v>
      </c>
    </row>
    <row r="267" spans="1:19" ht="15.5">
      <c r="A267" s="192" t="s">
        <v>748</v>
      </c>
      <c r="B267" s="192"/>
      <c r="C267" s="192"/>
      <c r="D267" s="192"/>
      <c r="E267" s="180">
        <f t="shared" ref="E267:P267" si="111">E264+E246+E236+E228+E221+E209+E188+E177+E165+E204</f>
        <v>138560.10701046759</v>
      </c>
      <c r="F267" s="180">
        <f t="shared" si="111"/>
        <v>152608.19732161405</v>
      </c>
      <c r="G267" s="180">
        <f t="shared" si="111"/>
        <v>137037.66811676347</v>
      </c>
      <c r="H267" s="180">
        <f t="shared" si="111"/>
        <v>130266.86367217862</v>
      </c>
      <c r="I267" s="180">
        <f t="shared" si="111"/>
        <v>140469.43640268449</v>
      </c>
      <c r="J267" s="180">
        <f t="shared" si="111"/>
        <v>139252.16038749923</v>
      </c>
      <c r="K267" s="180">
        <f t="shared" si="111"/>
        <v>147880.02260958104</v>
      </c>
      <c r="L267" s="180">
        <f t="shared" si="111"/>
        <v>141994.96513831668</v>
      </c>
      <c r="M267" s="180">
        <f t="shared" si="111"/>
        <v>144432.43624956819</v>
      </c>
      <c r="N267" s="180">
        <f t="shared" si="111"/>
        <v>162608.7822422387</v>
      </c>
      <c r="O267" s="180">
        <f t="shared" si="111"/>
        <v>152989.9546560318</v>
      </c>
      <c r="P267" s="180">
        <f t="shared" si="111"/>
        <v>154760.75910061665</v>
      </c>
      <c r="Q267" s="180">
        <f>SUM(E267:P267)</f>
        <v>1742861.3529075605</v>
      </c>
      <c r="S267" s="180">
        <v>1778216.0184981199</v>
      </c>
    </row>
    <row r="335" spans="1:17">
      <c r="A335" s="244"/>
      <c r="B335" s="244"/>
      <c r="C335" s="244"/>
      <c r="D335" s="244"/>
      <c r="E335" s="245"/>
      <c r="F335" s="245"/>
      <c r="G335" s="245"/>
      <c r="H335" s="245"/>
      <c r="I335" s="245"/>
      <c r="J335" s="245"/>
      <c r="K335" s="245"/>
      <c r="L335" s="245"/>
      <c r="M335" s="245"/>
      <c r="N335" s="245"/>
      <c r="O335" s="245"/>
      <c r="P335" s="245"/>
      <c r="Q335" s="245"/>
    </row>
    <row r="336" spans="1:17">
      <c r="A336" s="246" t="s">
        <v>756</v>
      </c>
      <c r="B336" s="246"/>
      <c r="C336" s="246"/>
      <c r="D336" s="246"/>
      <c r="E336" s="247"/>
      <c r="F336" s="247"/>
      <c r="G336" s="247"/>
      <c r="H336" s="247"/>
      <c r="I336" s="247"/>
      <c r="J336" s="247"/>
      <c r="K336" s="247"/>
      <c r="L336" s="247"/>
      <c r="M336" s="247"/>
      <c r="N336" s="247"/>
      <c r="O336" s="247"/>
      <c r="P336" s="247"/>
      <c r="Q336" s="248" t="s">
        <v>757</v>
      </c>
    </row>
    <row r="337" spans="1:19">
      <c r="A337" s="168" t="s">
        <v>758</v>
      </c>
      <c r="B337" s="168"/>
      <c r="C337" s="168" t="s">
        <v>654</v>
      </c>
      <c r="D337" s="168"/>
      <c r="E337" s="169">
        <v>45658</v>
      </c>
      <c r="F337" s="169">
        <v>45689</v>
      </c>
      <c r="G337" s="169">
        <v>45717</v>
      </c>
      <c r="H337" s="169">
        <v>45748</v>
      </c>
      <c r="I337" s="169">
        <v>45778</v>
      </c>
      <c r="J337" s="169">
        <v>45809</v>
      </c>
      <c r="K337" s="169">
        <v>45839</v>
      </c>
      <c r="L337" s="169">
        <v>45870</v>
      </c>
      <c r="M337" s="169">
        <v>45901</v>
      </c>
      <c r="N337" s="169">
        <v>45931</v>
      </c>
      <c r="O337" s="169">
        <v>45962</v>
      </c>
      <c r="P337" s="169">
        <v>45992</v>
      </c>
      <c r="Q337" s="170" t="s">
        <v>698</v>
      </c>
      <c r="R337" s="171" t="s">
        <v>759</v>
      </c>
      <c r="S337" s="249" t="s">
        <v>760</v>
      </c>
    </row>
    <row r="338" spans="1:19" ht="22" customHeight="1">
      <c r="A338" s="250" t="s">
        <v>761</v>
      </c>
      <c r="B338" s="250"/>
      <c r="C338" s="250">
        <v>800</v>
      </c>
      <c r="D338" s="250"/>
      <c r="E338" s="245">
        <v>267</v>
      </c>
      <c r="F338" s="245">
        <v>267</v>
      </c>
      <c r="G338" s="245">
        <v>258</v>
      </c>
      <c r="H338" s="245">
        <v>258</v>
      </c>
      <c r="I338" s="245">
        <v>265</v>
      </c>
      <c r="J338" s="245">
        <v>265</v>
      </c>
      <c r="K338" s="245">
        <v>265</v>
      </c>
      <c r="L338" s="245">
        <v>265</v>
      </c>
      <c r="M338" s="245">
        <v>265</v>
      </c>
      <c r="N338" s="245">
        <v>283</v>
      </c>
      <c r="O338" s="245">
        <v>283</v>
      </c>
      <c r="P338" s="245">
        <v>283</v>
      </c>
      <c r="Q338" s="245"/>
    </row>
    <row r="339" spans="1:19">
      <c r="A339" s="250" t="s">
        <v>762</v>
      </c>
      <c r="B339" s="250"/>
      <c r="C339" s="250">
        <v>800</v>
      </c>
      <c r="D339" s="250"/>
      <c r="E339" s="245" t="e">
        <v>#REF!</v>
      </c>
      <c r="F339" s="245" t="e">
        <v>#REF!</v>
      </c>
      <c r="G339" s="245" t="e">
        <v>#REF!</v>
      </c>
      <c r="H339" s="245" t="e">
        <v>#REF!</v>
      </c>
      <c r="I339" s="245" t="e">
        <v>#REF!</v>
      </c>
      <c r="J339" s="245" t="e">
        <v>#REF!</v>
      </c>
      <c r="K339" s="245" t="e">
        <v>#REF!</v>
      </c>
      <c r="L339" s="245" t="e">
        <v>#REF!</v>
      </c>
      <c r="M339" s="245" t="e">
        <v>#REF!</v>
      </c>
      <c r="N339" s="245" t="e">
        <v>#REF!</v>
      </c>
      <c r="O339" s="245" t="e">
        <v>#REF!</v>
      </c>
      <c r="P339" s="245" t="e">
        <v>#REF!</v>
      </c>
      <c r="Q339" s="245"/>
    </row>
    <row r="340" spans="1:19">
      <c r="A340" s="244" t="s">
        <v>19</v>
      </c>
      <c r="B340" s="244"/>
      <c r="C340" s="244"/>
      <c r="D340" s="244"/>
      <c r="E340" s="245" t="e">
        <f t="shared" ref="E340:P340" si="112">SUM(E338:E339)</f>
        <v>#REF!</v>
      </c>
      <c r="F340" s="245" t="e">
        <f t="shared" si="112"/>
        <v>#REF!</v>
      </c>
      <c r="G340" s="245" t="e">
        <f t="shared" si="112"/>
        <v>#REF!</v>
      </c>
      <c r="H340" s="245" t="e">
        <f t="shared" si="112"/>
        <v>#REF!</v>
      </c>
      <c r="I340" s="245" t="e">
        <f t="shared" si="112"/>
        <v>#REF!</v>
      </c>
      <c r="J340" s="245" t="e">
        <f t="shared" si="112"/>
        <v>#REF!</v>
      </c>
      <c r="K340" s="245" t="e">
        <f t="shared" si="112"/>
        <v>#REF!</v>
      </c>
      <c r="L340" s="245" t="e">
        <f t="shared" si="112"/>
        <v>#REF!</v>
      </c>
      <c r="M340" s="245" t="e">
        <f t="shared" si="112"/>
        <v>#REF!</v>
      </c>
      <c r="N340" s="245" t="e">
        <f t="shared" si="112"/>
        <v>#REF!</v>
      </c>
      <c r="O340" s="245" t="e">
        <f t="shared" si="112"/>
        <v>#REF!</v>
      </c>
      <c r="P340" s="245" t="e">
        <f t="shared" si="112"/>
        <v>#REF!</v>
      </c>
      <c r="Q340" s="245"/>
    </row>
    <row r="341" spans="1:19">
      <c r="A341" s="244" t="s">
        <v>763</v>
      </c>
      <c r="B341" s="244"/>
      <c r="C341" s="244"/>
      <c r="D341" s="244"/>
      <c r="E341" s="245"/>
      <c r="F341" s="245"/>
      <c r="G341" s="245"/>
      <c r="H341" s="245"/>
      <c r="I341" s="245"/>
      <c r="J341" s="245"/>
      <c r="K341" s="245"/>
      <c r="L341" s="245"/>
      <c r="M341" s="245"/>
      <c r="N341" s="245"/>
      <c r="O341" s="245"/>
      <c r="P341" s="245"/>
      <c r="Q341" s="245"/>
    </row>
    <row r="342" spans="1:19" ht="14.25" customHeight="1">
      <c r="A342" s="250" t="s">
        <v>761</v>
      </c>
      <c r="B342" s="250"/>
      <c r="C342" s="244"/>
      <c r="D342" s="244"/>
      <c r="E342" s="251">
        <f t="shared" ref="E342:P342" si="113">E338*$C$338</f>
        <v>213600</v>
      </c>
      <c r="F342" s="251">
        <f t="shared" si="113"/>
        <v>213600</v>
      </c>
      <c r="G342" s="251">
        <f t="shared" si="113"/>
        <v>206400</v>
      </c>
      <c r="H342" s="251">
        <f t="shared" si="113"/>
        <v>206400</v>
      </c>
      <c r="I342" s="251">
        <f t="shared" si="113"/>
        <v>212000</v>
      </c>
      <c r="J342" s="251">
        <f t="shared" si="113"/>
        <v>212000</v>
      </c>
      <c r="K342" s="251">
        <f t="shared" si="113"/>
        <v>212000</v>
      </c>
      <c r="L342" s="251">
        <f t="shared" si="113"/>
        <v>212000</v>
      </c>
      <c r="M342" s="251">
        <f t="shared" si="113"/>
        <v>212000</v>
      </c>
      <c r="N342" s="251">
        <f t="shared" si="113"/>
        <v>226400</v>
      </c>
      <c r="O342" s="251">
        <f t="shared" si="113"/>
        <v>226400</v>
      </c>
      <c r="P342" s="251">
        <f t="shared" si="113"/>
        <v>226400</v>
      </c>
      <c r="Q342" s="252">
        <f>SUM(E342:P342)</f>
        <v>2579200</v>
      </c>
      <c r="R342" s="253" t="s">
        <v>764</v>
      </c>
    </row>
    <row r="343" spans="1:19">
      <c r="A343" s="250" t="s">
        <v>762</v>
      </c>
      <c r="B343" s="250"/>
      <c r="C343" s="244"/>
      <c r="D343" s="244"/>
      <c r="E343" s="251" t="e">
        <f>E339*C339</f>
        <v>#REF!</v>
      </c>
      <c r="F343" s="251" t="e">
        <f t="shared" ref="F343:P343" si="114">F339*E339</f>
        <v>#REF!</v>
      </c>
      <c r="G343" s="251" t="e">
        <f t="shared" si="114"/>
        <v>#REF!</v>
      </c>
      <c r="H343" s="251" t="e">
        <f t="shared" si="114"/>
        <v>#REF!</v>
      </c>
      <c r="I343" s="251" t="e">
        <f t="shared" si="114"/>
        <v>#REF!</v>
      </c>
      <c r="J343" s="251" t="e">
        <f t="shared" si="114"/>
        <v>#REF!</v>
      </c>
      <c r="K343" s="251" t="e">
        <f t="shared" si="114"/>
        <v>#REF!</v>
      </c>
      <c r="L343" s="251" t="e">
        <f t="shared" si="114"/>
        <v>#REF!</v>
      </c>
      <c r="M343" s="251" t="e">
        <f t="shared" si="114"/>
        <v>#REF!</v>
      </c>
      <c r="N343" s="251" t="e">
        <f t="shared" si="114"/>
        <v>#REF!</v>
      </c>
      <c r="O343" s="251" t="e">
        <f t="shared" si="114"/>
        <v>#REF!</v>
      </c>
      <c r="P343" s="251" t="e">
        <f t="shared" si="114"/>
        <v>#REF!</v>
      </c>
      <c r="Q343" s="252" t="e">
        <f>SUM(E343:P343)</f>
        <v>#REF!</v>
      </c>
    </row>
    <row r="344" spans="1:19">
      <c r="A344" s="244" t="s">
        <v>19</v>
      </c>
      <c r="B344" s="244"/>
      <c r="C344" s="244"/>
      <c r="D344" s="244"/>
      <c r="E344" s="245" t="e">
        <f t="shared" ref="E344:Q344" si="115">SUM(E342:E343)</f>
        <v>#REF!</v>
      </c>
      <c r="F344" s="245" t="e">
        <f t="shared" si="115"/>
        <v>#REF!</v>
      </c>
      <c r="G344" s="245" t="e">
        <f t="shared" si="115"/>
        <v>#REF!</v>
      </c>
      <c r="H344" s="245" t="e">
        <f t="shared" si="115"/>
        <v>#REF!</v>
      </c>
      <c r="I344" s="245" t="e">
        <f t="shared" si="115"/>
        <v>#REF!</v>
      </c>
      <c r="J344" s="245" t="e">
        <f t="shared" si="115"/>
        <v>#REF!</v>
      </c>
      <c r="K344" s="245" t="e">
        <f t="shared" si="115"/>
        <v>#REF!</v>
      </c>
      <c r="L344" s="245" t="e">
        <f t="shared" si="115"/>
        <v>#REF!</v>
      </c>
      <c r="M344" s="245" t="e">
        <f t="shared" si="115"/>
        <v>#REF!</v>
      </c>
      <c r="N344" s="245" t="e">
        <f t="shared" si="115"/>
        <v>#REF!</v>
      </c>
      <c r="O344" s="245" t="e">
        <f t="shared" si="115"/>
        <v>#REF!</v>
      </c>
      <c r="P344" s="245" t="e">
        <f t="shared" si="115"/>
        <v>#REF!</v>
      </c>
      <c r="Q344" s="245" t="e">
        <f t="shared" si="115"/>
        <v>#REF!</v>
      </c>
    </row>
    <row r="345" spans="1:19">
      <c r="A345" s="244"/>
      <c r="B345" s="244"/>
      <c r="C345" s="244"/>
      <c r="D345" s="244"/>
      <c r="E345" s="245"/>
      <c r="F345" s="245"/>
      <c r="G345" s="245"/>
      <c r="H345" s="245"/>
      <c r="I345" s="245"/>
      <c r="J345" s="245"/>
      <c r="K345" s="245"/>
      <c r="L345" s="245"/>
      <c r="M345" s="245"/>
      <c r="N345" s="245"/>
      <c r="O345" s="245"/>
      <c r="P345" s="245"/>
      <c r="Q345" s="245"/>
    </row>
    <row r="346" spans="1:19">
      <c r="A346" s="168" t="s">
        <v>765</v>
      </c>
      <c r="B346" s="168"/>
      <c r="C346" s="168" t="s">
        <v>766</v>
      </c>
      <c r="D346" s="168"/>
      <c r="E346" s="169">
        <v>45658</v>
      </c>
      <c r="F346" s="169">
        <v>45689</v>
      </c>
      <c r="G346" s="169">
        <v>45717</v>
      </c>
      <c r="H346" s="169">
        <v>45748</v>
      </c>
      <c r="I346" s="169">
        <v>45778</v>
      </c>
      <c r="J346" s="169">
        <v>45809</v>
      </c>
      <c r="K346" s="169">
        <v>45839</v>
      </c>
      <c r="L346" s="169">
        <v>45870</v>
      </c>
      <c r="M346" s="169">
        <v>45901</v>
      </c>
      <c r="N346" s="169">
        <v>45931</v>
      </c>
      <c r="O346" s="169">
        <v>45962</v>
      </c>
      <c r="P346" s="169">
        <v>45992</v>
      </c>
      <c r="Q346" s="170" t="s">
        <v>698</v>
      </c>
    </row>
    <row r="347" spans="1:19">
      <c r="A347" s="250" t="s">
        <v>761</v>
      </c>
      <c r="B347" s="250"/>
      <c r="C347" s="250">
        <f>Q417/139/12</f>
        <v>790.83213429256591</v>
      </c>
      <c r="D347" s="250"/>
      <c r="E347" s="245">
        <f t="shared" ref="E347:P347" si="116">E338</f>
        <v>267</v>
      </c>
      <c r="F347" s="245">
        <f t="shared" si="116"/>
        <v>267</v>
      </c>
      <c r="G347" s="245">
        <f t="shared" si="116"/>
        <v>258</v>
      </c>
      <c r="H347" s="245">
        <f t="shared" si="116"/>
        <v>258</v>
      </c>
      <c r="I347" s="245">
        <f t="shared" si="116"/>
        <v>265</v>
      </c>
      <c r="J347" s="245">
        <f t="shared" si="116"/>
        <v>265</v>
      </c>
      <c r="K347" s="245">
        <f t="shared" si="116"/>
        <v>265</v>
      </c>
      <c r="L347" s="245">
        <f t="shared" si="116"/>
        <v>265</v>
      </c>
      <c r="M347" s="245">
        <f t="shared" si="116"/>
        <v>265</v>
      </c>
      <c r="N347" s="245">
        <f t="shared" si="116"/>
        <v>283</v>
      </c>
      <c r="O347" s="245">
        <f t="shared" si="116"/>
        <v>283</v>
      </c>
      <c r="P347" s="245">
        <f t="shared" si="116"/>
        <v>283</v>
      </c>
      <c r="Q347" s="245"/>
    </row>
    <row r="348" spans="1:19">
      <c r="A348" s="250" t="s">
        <v>762</v>
      </c>
      <c r="B348" s="250"/>
      <c r="C348" s="250">
        <f>C347</f>
        <v>790.83213429256591</v>
      </c>
      <c r="D348" s="250"/>
      <c r="E348" s="245" t="e">
        <f t="shared" ref="E348:P348" si="117">E339</f>
        <v>#REF!</v>
      </c>
      <c r="F348" s="245" t="e">
        <f t="shared" si="117"/>
        <v>#REF!</v>
      </c>
      <c r="G348" s="245" t="e">
        <f t="shared" si="117"/>
        <v>#REF!</v>
      </c>
      <c r="H348" s="245" t="e">
        <f t="shared" si="117"/>
        <v>#REF!</v>
      </c>
      <c r="I348" s="245" t="e">
        <f t="shared" si="117"/>
        <v>#REF!</v>
      </c>
      <c r="J348" s="245" t="e">
        <f t="shared" si="117"/>
        <v>#REF!</v>
      </c>
      <c r="K348" s="245" t="e">
        <f t="shared" si="117"/>
        <v>#REF!</v>
      </c>
      <c r="L348" s="245" t="e">
        <f t="shared" si="117"/>
        <v>#REF!</v>
      </c>
      <c r="M348" s="245" t="e">
        <f t="shared" si="117"/>
        <v>#REF!</v>
      </c>
      <c r="N348" s="245" t="e">
        <f t="shared" si="117"/>
        <v>#REF!</v>
      </c>
      <c r="O348" s="245" t="e">
        <f t="shared" si="117"/>
        <v>#REF!</v>
      </c>
      <c r="P348" s="245" t="e">
        <f t="shared" si="117"/>
        <v>#REF!</v>
      </c>
      <c r="Q348" s="245"/>
    </row>
    <row r="349" spans="1:19">
      <c r="A349" s="244" t="s">
        <v>19</v>
      </c>
      <c r="B349" s="244"/>
      <c r="C349" s="244"/>
      <c r="D349" s="244"/>
      <c r="E349" s="245" t="e">
        <f t="shared" ref="E349:P349" si="118">SUM(E347:E348)</f>
        <v>#REF!</v>
      </c>
      <c r="F349" s="245" t="e">
        <f t="shared" si="118"/>
        <v>#REF!</v>
      </c>
      <c r="G349" s="245" t="e">
        <f t="shared" si="118"/>
        <v>#REF!</v>
      </c>
      <c r="H349" s="245" t="e">
        <f t="shared" si="118"/>
        <v>#REF!</v>
      </c>
      <c r="I349" s="245" t="e">
        <f t="shared" si="118"/>
        <v>#REF!</v>
      </c>
      <c r="J349" s="245" t="e">
        <f t="shared" si="118"/>
        <v>#REF!</v>
      </c>
      <c r="K349" s="245" t="e">
        <f t="shared" si="118"/>
        <v>#REF!</v>
      </c>
      <c r="L349" s="245" t="e">
        <f t="shared" si="118"/>
        <v>#REF!</v>
      </c>
      <c r="M349" s="245" t="e">
        <f t="shared" si="118"/>
        <v>#REF!</v>
      </c>
      <c r="N349" s="245" t="e">
        <f t="shared" si="118"/>
        <v>#REF!</v>
      </c>
      <c r="O349" s="245" t="e">
        <f t="shared" si="118"/>
        <v>#REF!</v>
      </c>
      <c r="P349" s="245" t="e">
        <f t="shared" si="118"/>
        <v>#REF!</v>
      </c>
      <c r="Q349" s="245"/>
    </row>
    <row r="350" spans="1:19">
      <c r="A350" s="244" t="s">
        <v>763</v>
      </c>
      <c r="B350" s="244"/>
      <c r="C350" s="244"/>
      <c r="D350" s="244"/>
      <c r="E350" s="245"/>
      <c r="F350" s="245"/>
      <c r="G350" s="245"/>
      <c r="H350" s="245"/>
      <c r="I350" s="245"/>
      <c r="J350" s="245"/>
      <c r="K350" s="245"/>
      <c r="L350" s="245"/>
      <c r="M350" s="245"/>
      <c r="N350" s="245"/>
      <c r="O350" s="245"/>
      <c r="P350" s="245"/>
      <c r="Q350" s="245"/>
    </row>
    <row r="351" spans="1:19">
      <c r="A351" s="250" t="s">
        <v>761</v>
      </c>
      <c r="B351" s="250"/>
      <c r="C351" s="244"/>
      <c r="D351" s="244"/>
      <c r="E351" s="251">
        <f t="shared" ref="E351:P351" si="119">E417</f>
        <v>105459</v>
      </c>
      <c r="F351" s="251">
        <f t="shared" si="119"/>
        <v>105459</v>
      </c>
      <c r="G351" s="251">
        <f t="shared" si="119"/>
        <v>110819</v>
      </c>
      <c r="H351" s="251">
        <f t="shared" si="119"/>
        <v>110819</v>
      </c>
      <c r="I351" s="251">
        <f t="shared" si="119"/>
        <v>110819</v>
      </c>
      <c r="J351" s="251">
        <f t="shared" si="119"/>
        <v>110819</v>
      </c>
      <c r="K351" s="251">
        <f t="shared" si="119"/>
        <v>110819</v>
      </c>
      <c r="L351" s="251">
        <f t="shared" si="119"/>
        <v>110819</v>
      </c>
      <c r="M351" s="251">
        <f t="shared" si="119"/>
        <v>110819</v>
      </c>
      <c r="N351" s="251">
        <f t="shared" si="119"/>
        <v>110819</v>
      </c>
      <c r="O351" s="251">
        <f t="shared" si="119"/>
        <v>110819</v>
      </c>
      <c r="P351" s="251">
        <f t="shared" si="119"/>
        <v>110819</v>
      </c>
      <c r="Q351" s="252">
        <f>SUM(E351:P351)</f>
        <v>1319108</v>
      </c>
    </row>
    <row r="352" spans="1:19">
      <c r="A352" s="250" t="s">
        <v>762</v>
      </c>
      <c r="B352" s="250"/>
      <c r="C352" s="244"/>
      <c r="D352" s="244"/>
      <c r="E352" s="251" t="e">
        <f>E348*C348</f>
        <v>#REF!</v>
      </c>
      <c r="F352" s="251" t="e">
        <f t="shared" ref="F352:P352" si="120">F348*E348</f>
        <v>#REF!</v>
      </c>
      <c r="G352" s="251" t="e">
        <f t="shared" si="120"/>
        <v>#REF!</v>
      </c>
      <c r="H352" s="251" t="e">
        <f t="shared" si="120"/>
        <v>#REF!</v>
      </c>
      <c r="I352" s="251" t="e">
        <f t="shared" si="120"/>
        <v>#REF!</v>
      </c>
      <c r="J352" s="251" t="e">
        <f t="shared" si="120"/>
        <v>#REF!</v>
      </c>
      <c r="K352" s="251" t="e">
        <f t="shared" si="120"/>
        <v>#REF!</v>
      </c>
      <c r="L352" s="251" t="e">
        <f t="shared" si="120"/>
        <v>#REF!</v>
      </c>
      <c r="M352" s="251" t="e">
        <f t="shared" si="120"/>
        <v>#REF!</v>
      </c>
      <c r="N352" s="251" t="e">
        <f t="shared" si="120"/>
        <v>#REF!</v>
      </c>
      <c r="O352" s="251" t="e">
        <f t="shared" si="120"/>
        <v>#REF!</v>
      </c>
      <c r="P352" s="251" t="e">
        <f t="shared" si="120"/>
        <v>#REF!</v>
      </c>
      <c r="Q352" s="252" t="e">
        <f>SUM(E352:P352)</f>
        <v>#REF!</v>
      </c>
    </row>
    <row r="353" spans="1:20">
      <c r="A353" s="244" t="s">
        <v>19</v>
      </c>
      <c r="B353" s="244"/>
      <c r="C353" s="244"/>
      <c r="D353" s="244"/>
      <c r="E353" s="245" t="e">
        <f t="shared" ref="E353:Q353" si="121">SUM(E351:E352)</f>
        <v>#REF!</v>
      </c>
      <c r="F353" s="245" t="e">
        <f t="shared" si="121"/>
        <v>#REF!</v>
      </c>
      <c r="G353" s="245" t="e">
        <f t="shared" si="121"/>
        <v>#REF!</v>
      </c>
      <c r="H353" s="245" t="e">
        <f t="shared" si="121"/>
        <v>#REF!</v>
      </c>
      <c r="I353" s="245" t="e">
        <f t="shared" si="121"/>
        <v>#REF!</v>
      </c>
      <c r="J353" s="245" t="e">
        <f t="shared" si="121"/>
        <v>#REF!</v>
      </c>
      <c r="K353" s="245" t="e">
        <f t="shared" si="121"/>
        <v>#REF!</v>
      </c>
      <c r="L353" s="245" t="e">
        <f t="shared" si="121"/>
        <v>#REF!</v>
      </c>
      <c r="M353" s="245" t="e">
        <f t="shared" si="121"/>
        <v>#REF!</v>
      </c>
      <c r="N353" s="245" t="e">
        <f t="shared" si="121"/>
        <v>#REF!</v>
      </c>
      <c r="O353" s="245" t="e">
        <f t="shared" si="121"/>
        <v>#REF!</v>
      </c>
      <c r="P353" s="245" t="e">
        <f t="shared" si="121"/>
        <v>#REF!</v>
      </c>
      <c r="Q353" s="245" t="e">
        <f t="shared" si="121"/>
        <v>#REF!</v>
      </c>
    </row>
    <row r="354" spans="1:20">
      <c r="A354" s="244"/>
      <c r="B354" s="244"/>
      <c r="C354" s="244"/>
      <c r="D354" s="244"/>
      <c r="E354" s="245"/>
      <c r="F354" s="245"/>
      <c r="G354" s="245"/>
      <c r="H354" s="245"/>
      <c r="I354" s="245"/>
      <c r="J354" s="245"/>
      <c r="K354" s="245"/>
      <c r="L354" s="245"/>
      <c r="M354" s="245"/>
      <c r="N354" s="245"/>
      <c r="O354" s="245"/>
      <c r="P354" s="245"/>
      <c r="Q354" s="245"/>
    </row>
    <row r="355" spans="1:20">
      <c r="A355" s="168" t="s">
        <v>81</v>
      </c>
      <c r="B355" s="168"/>
      <c r="C355" s="168" t="s">
        <v>654</v>
      </c>
      <c r="D355" s="168"/>
      <c r="E355" s="169">
        <v>45658</v>
      </c>
      <c r="F355" s="169">
        <v>45689</v>
      </c>
      <c r="G355" s="169">
        <v>45717</v>
      </c>
      <c r="H355" s="169">
        <v>45748</v>
      </c>
      <c r="I355" s="169">
        <v>45778</v>
      </c>
      <c r="J355" s="169">
        <v>45809</v>
      </c>
      <c r="K355" s="169">
        <v>45839</v>
      </c>
      <c r="L355" s="169">
        <v>45870</v>
      </c>
      <c r="M355" s="169">
        <v>45901</v>
      </c>
      <c r="N355" s="169">
        <v>45931</v>
      </c>
      <c r="O355" s="169">
        <v>45962</v>
      </c>
      <c r="P355" s="169">
        <v>45992</v>
      </c>
      <c r="Q355" s="170" t="s">
        <v>698</v>
      </c>
    </row>
    <row r="356" spans="1:20">
      <c r="A356" s="254" t="s">
        <v>761</v>
      </c>
      <c r="B356" s="254"/>
      <c r="C356" s="254">
        <v>13000</v>
      </c>
      <c r="D356" s="254"/>
      <c r="E356" s="255" t="e">
        <v>#REF!</v>
      </c>
      <c r="F356" s="255" t="e">
        <v>#REF!</v>
      </c>
      <c r="G356" s="255" t="e">
        <v>#REF!</v>
      </c>
      <c r="H356" s="255" t="e">
        <v>#REF!</v>
      </c>
      <c r="I356" s="255" t="e">
        <v>#REF!</v>
      </c>
      <c r="J356" s="255" t="e">
        <v>#REF!</v>
      </c>
      <c r="K356" s="255" t="e">
        <v>#REF!</v>
      </c>
      <c r="L356" s="255" t="e">
        <v>#REF!</v>
      </c>
      <c r="M356" s="255" t="e">
        <v>#REF!</v>
      </c>
      <c r="N356" s="255" t="e">
        <v>#REF!</v>
      </c>
      <c r="O356" s="255" t="e">
        <v>#REF!</v>
      </c>
      <c r="P356" s="255" t="e">
        <v>#REF!</v>
      </c>
      <c r="Q356" s="255"/>
    </row>
    <row r="357" spans="1:20">
      <c r="A357" s="254" t="s">
        <v>762</v>
      </c>
      <c r="B357" s="254"/>
      <c r="C357" s="254">
        <v>13000</v>
      </c>
      <c r="D357" s="254"/>
      <c r="E357" s="255" t="e">
        <v>#REF!</v>
      </c>
      <c r="F357" s="255" t="e">
        <v>#REF!</v>
      </c>
      <c r="G357" s="255" t="e">
        <v>#REF!</v>
      </c>
      <c r="H357" s="255" t="e">
        <v>#REF!</v>
      </c>
      <c r="I357" s="255" t="e">
        <v>#REF!</v>
      </c>
      <c r="J357" s="255" t="e">
        <v>#REF!</v>
      </c>
      <c r="K357" s="255" t="e">
        <v>#REF!</v>
      </c>
      <c r="L357" s="255" t="e">
        <v>#REF!</v>
      </c>
      <c r="M357" s="255" t="e">
        <v>#REF!</v>
      </c>
      <c r="N357" s="255" t="e">
        <v>#REF!</v>
      </c>
      <c r="O357" s="255" t="e">
        <v>#REF!</v>
      </c>
      <c r="P357" s="255" t="e">
        <v>#REF!</v>
      </c>
      <c r="Q357" s="255"/>
    </row>
    <row r="358" spans="1:20">
      <c r="A358" s="256" t="s">
        <v>19</v>
      </c>
      <c r="B358" s="256"/>
      <c r="C358" s="256"/>
      <c r="D358" s="256"/>
      <c r="E358" s="255" t="e">
        <f t="shared" ref="E358:P358" si="122">SUM(E356:E357)</f>
        <v>#REF!</v>
      </c>
      <c r="F358" s="255" t="e">
        <f t="shared" si="122"/>
        <v>#REF!</v>
      </c>
      <c r="G358" s="255" t="e">
        <f t="shared" si="122"/>
        <v>#REF!</v>
      </c>
      <c r="H358" s="255" t="e">
        <f t="shared" si="122"/>
        <v>#REF!</v>
      </c>
      <c r="I358" s="255" t="e">
        <f t="shared" si="122"/>
        <v>#REF!</v>
      </c>
      <c r="J358" s="255" t="e">
        <f t="shared" si="122"/>
        <v>#REF!</v>
      </c>
      <c r="K358" s="255" t="e">
        <f t="shared" si="122"/>
        <v>#REF!</v>
      </c>
      <c r="L358" s="255" t="e">
        <f t="shared" si="122"/>
        <v>#REF!</v>
      </c>
      <c r="M358" s="255" t="e">
        <f t="shared" si="122"/>
        <v>#REF!</v>
      </c>
      <c r="N358" s="255" t="e">
        <f t="shared" si="122"/>
        <v>#REF!</v>
      </c>
      <c r="O358" s="255" t="e">
        <f t="shared" si="122"/>
        <v>#REF!</v>
      </c>
      <c r="P358" s="255" t="e">
        <f t="shared" si="122"/>
        <v>#REF!</v>
      </c>
      <c r="Q358" s="255"/>
    </row>
    <row r="359" spans="1:20">
      <c r="A359" s="256" t="s">
        <v>763</v>
      </c>
      <c r="B359" s="256"/>
      <c r="C359" s="256"/>
      <c r="D359" s="256"/>
      <c r="E359" s="255"/>
      <c r="F359" s="255"/>
      <c r="G359" s="255"/>
      <c r="H359" s="255"/>
      <c r="I359" s="255"/>
      <c r="J359" s="255"/>
      <c r="K359" s="255"/>
      <c r="L359" s="255"/>
      <c r="M359" s="255"/>
      <c r="N359" s="255"/>
      <c r="O359" s="255"/>
      <c r="P359" s="255"/>
      <c r="Q359" s="255"/>
    </row>
    <row r="360" spans="1:20">
      <c r="A360" s="254" t="s">
        <v>761</v>
      </c>
      <c r="B360" s="254"/>
      <c r="C360" s="256"/>
      <c r="D360" s="256"/>
      <c r="E360" s="257">
        <v>275000</v>
      </c>
      <c r="F360" s="257">
        <v>275000</v>
      </c>
      <c r="G360" s="257">
        <v>275000</v>
      </c>
      <c r="H360" s="257">
        <v>275000</v>
      </c>
      <c r="I360" s="257">
        <v>275000</v>
      </c>
      <c r="J360" s="257">
        <v>275000</v>
      </c>
      <c r="K360" s="257">
        <v>275000</v>
      </c>
      <c r="L360" s="257">
        <v>275000</v>
      </c>
      <c r="M360" s="257">
        <v>275000</v>
      </c>
      <c r="N360" s="257">
        <v>275000</v>
      </c>
      <c r="O360" s="257">
        <v>275000</v>
      </c>
      <c r="P360" s="257">
        <v>275000</v>
      </c>
      <c r="Q360" s="255">
        <f>SUM(E360:P360)</f>
        <v>3300000</v>
      </c>
      <c r="R360" s="258" t="s">
        <v>767</v>
      </c>
    </row>
    <row r="361" spans="1:20">
      <c r="A361" s="254" t="s">
        <v>762</v>
      </c>
      <c r="B361" s="254"/>
      <c r="C361" s="256"/>
      <c r="D361" s="256"/>
      <c r="E361" s="257" t="e">
        <f t="shared" ref="E361:P361" si="123">$C$357*E357</f>
        <v>#REF!</v>
      </c>
      <c r="F361" s="257" t="e">
        <f t="shared" si="123"/>
        <v>#REF!</v>
      </c>
      <c r="G361" s="257" t="e">
        <f t="shared" si="123"/>
        <v>#REF!</v>
      </c>
      <c r="H361" s="257" t="e">
        <f t="shared" si="123"/>
        <v>#REF!</v>
      </c>
      <c r="I361" s="257" t="e">
        <f t="shared" si="123"/>
        <v>#REF!</v>
      </c>
      <c r="J361" s="257" t="e">
        <f t="shared" si="123"/>
        <v>#REF!</v>
      </c>
      <c r="K361" s="257" t="e">
        <f t="shared" si="123"/>
        <v>#REF!</v>
      </c>
      <c r="L361" s="257" t="e">
        <f t="shared" si="123"/>
        <v>#REF!</v>
      </c>
      <c r="M361" s="257" t="e">
        <f t="shared" si="123"/>
        <v>#REF!</v>
      </c>
      <c r="N361" s="257" t="e">
        <f t="shared" si="123"/>
        <v>#REF!</v>
      </c>
      <c r="O361" s="257" t="e">
        <f t="shared" si="123"/>
        <v>#REF!</v>
      </c>
      <c r="P361" s="257" t="e">
        <f t="shared" si="123"/>
        <v>#REF!</v>
      </c>
      <c r="Q361" s="255" t="e">
        <f>SUM(E361:P361)</f>
        <v>#REF!</v>
      </c>
    </row>
    <row r="362" spans="1:20">
      <c r="A362" s="244" t="s">
        <v>19</v>
      </c>
      <c r="B362" s="244"/>
      <c r="C362" s="244"/>
      <c r="D362" s="244"/>
      <c r="E362" s="245" t="e">
        <f t="shared" ref="E362:Q362" si="124">SUM(E360:E361)</f>
        <v>#REF!</v>
      </c>
      <c r="F362" s="245" t="e">
        <f t="shared" si="124"/>
        <v>#REF!</v>
      </c>
      <c r="G362" s="245" t="e">
        <f t="shared" si="124"/>
        <v>#REF!</v>
      </c>
      <c r="H362" s="245" t="e">
        <f t="shared" si="124"/>
        <v>#REF!</v>
      </c>
      <c r="I362" s="245" t="e">
        <f t="shared" si="124"/>
        <v>#REF!</v>
      </c>
      <c r="J362" s="245" t="e">
        <f t="shared" si="124"/>
        <v>#REF!</v>
      </c>
      <c r="K362" s="245" t="e">
        <f t="shared" si="124"/>
        <v>#REF!</v>
      </c>
      <c r="L362" s="245" t="e">
        <f t="shared" si="124"/>
        <v>#REF!</v>
      </c>
      <c r="M362" s="245" t="e">
        <f t="shared" si="124"/>
        <v>#REF!</v>
      </c>
      <c r="N362" s="245" t="e">
        <f t="shared" si="124"/>
        <v>#REF!</v>
      </c>
      <c r="O362" s="245" t="e">
        <f t="shared" si="124"/>
        <v>#REF!</v>
      </c>
      <c r="P362" s="245" t="e">
        <f t="shared" si="124"/>
        <v>#REF!</v>
      </c>
      <c r="Q362" s="245" t="e">
        <f t="shared" si="124"/>
        <v>#REF!</v>
      </c>
      <c r="R362" s="245"/>
      <c r="T362" s="221"/>
    </row>
    <row r="363" spans="1:20">
      <c r="A363" s="244"/>
      <c r="B363" s="244"/>
      <c r="C363" s="244"/>
      <c r="D363" s="244"/>
      <c r="E363" s="245"/>
      <c r="F363" s="245"/>
      <c r="G363" s="245"/>
      <c r="H363" s="245"/>
      <c r="I363" s="245"/>
      <c r="J363" s="245"/>
      <c r="K363" s="245"/>
      <c r="L363" s="245"/>
      <c r="M363" s="245"/>
      <c r="N363" s="245"/>
      <c r="O363" s="245"/>
      <c r="P363" s="245"/>
      <c r="Q363" s="245"/>
      <c r="R363" s="259"/>
    </row>
    <row r="364" spans="1:20">
      <c r="A364" s="168" t="s">
        <v>768</v>
      </c>
      <c r="B364" s="168"/>
      <c r="C364" s="168" t="s">
        <v>654</v>
      </c>
      <c r="D364" s="168"/>
      <c r="E364" s="169">
        <v>45658</v>
      </c>
      <c r="F364" s="169">
        <v>45689</v>
      </c>
      <c r="G364" s="169">
        <v>45717</v>
      </c>
      <c r="H364" s="169">
        <v>45748</v>
      </c>
      <c r="I364" s="169">
        <v>45778</v>
      </c>
      <c r="J364" s="169">
        <v>45809</v>
      </c>
      <c r="K364" s="169">
        <v>45839</v>
      </c>
      <c r="L364" s="169">
        <v>45870</v>
      </c>
      <c r="M364" s="169">
        <v>45901</v>
      </c>
      <c r="N364" s="169">
        <v>45931</v>
      </c>
      <c r="O364" s="169">
        <v>45962</v>
      </c>
      <c r="P364" s="169">
        <v>45992</v>
      </c>
      <c r="Q364" s="170" t="s">
        <v>698</v>
      </c>
    </row>
    <row r="365" spans="1:20">
      <c r="A365" s="250" t="s">
        <v>761</v>
      </c>
      <c r="B365" s="250"/>
      <c r="C365" s="250">
        <f>Q433/139/12</f>
        <v>6.9172661870503598</v>
      </c>
      <c r="D365" s="250"/>
      <c r="E365" s="245">
        <f t="shared" ref="E365:P365" si="125">E347</f>
        <v>267</v>
      </c>
      <c r="F365" s="245">
        <f t="shared" si="125"/>
        <v>267</v>
      </c>
      <c r="G365" s="245">
        <f t="shared" si="125"/>
        <v>258</v>
      </c>
      <c r="H365" s="245">
        <f t="shared" si="125"/>
        <v>258</v>
      </c>
      <c r="I365" s="245">
        <f t="shared" si="125"/>
        <v>265</v>
      </c>
      <c r="J365" s="245">
        <f t="shared" si="125"/>
        <v>265</v>
      </c>
      <c r="K365" s="245">
        <f t="shared" si="125"/>
        <v>265</v>
      </c>
      <c r="L365" s="245">
        <f t="shared" si="125"/>
        <v>265</v>
      </c>
      <c r="M365" s="245">
        <f t="shared" si="125"/>
        <v>265</v>
      </c>
      <c r="N365" s="245">
        <f t="shared" si="125"/>
        <v>283</v>
      </c>
      <c r="O365" s="245">
        <f t="shared" si="125"/>
        <v>283</v>
      </c>
      <c r="P365" s="245">
        <f t="shared" si="125"/>
        <v>283</v>
      </c>
      <c r="Q365" s="245"/>
    </row>
    <row r="366" spans="1:20">
      <c r="A366" s="250" t="s">
        <v>762</v>
      </c>
      <c r="B366" s="250"/>
      <c r="C366" s="250">
        <f>C365</f>
        <v>6.9172661870503598</v>
      </c>
      <c r="D366" s="250"/>
      <c r="E366" s="245" t="e">
        <f t="shared" ref="E366:P366" si="126">E348</f>
        <v>#REF!</v>
      </c>
      <c r="F366" s="245" t="e">
        <f t="shared" si="126"/>
        <v>#REF!</v>
      </c>
      <c r="G366" s="245" t="e">
        <f t="shared" si="126"/>
        <v>#REF!</v>
      </c>
      <c r="H366" s="245" t="e">
        <f t="shared" si="126"/>
        <v>#REF!</v>
      </c>
      <c r="I366" s="245" t="e">
        <f t="shared" si="126"/>
        <v>#REF!</v>
      </c>
      <c r="J366" s="245" t="e">
        <f t="shared" si="126"/>
        <v>#REF!</v>
      </c>
      <c r="K366" s="245" t="e">
        <f t="shared" si="126"/>
        <v>#REF!</v>
      </c>
      <c r="L366" s="245" t="e">
        <f t="shared" si="126"/>
        <v>#REF!</v>
      </c>
      <c r="M366" s="245" t="e">
        <f t="shared" si="126"/>
        <v>#REF!</v>
      </c>
      <c r="N366" s="245" t="e">
        <f t="shared" si="126"/>
        <v>#REF!</v>
      </c>
      <c r="O366" s="245" t="e">
        <f t="shared" si="126"/>
        <v>#REF!</v>
      </c>
      <c r="P366" s="245" t="e">
        <f t="shared" si="126"/>
        <v>#REF!</v>
      </c>
      <c r="Q366" s="245"/>
    </row>
    <row r="367" spans="1:20">
      <c r="A367" s="244" t="s">
        <v>19</v>
      </c>
      <c r="B367" s="244"/>
      <c r="C367" s="244"/>
      <c r="D367" s="244"/>
      <c r="E367" s="245" t="e">
        <f t="shared" ref="E367:P367" si="127">SUM(E365:E366)</f>
        <v>#REF!</v>
      </c>
      <c r="F367" s="245" t="e">
        <f t="shared" si="127"/>
        <v>#REF!</v>
      </c>
      <c r="G367" s="245" t="e">
        <f t="shared" si="127"/>
        <v>#REF!</v>
      </c>
      <c r="H367" s="245" t="e">
        <f t="shared" si="127"/>
        <v>#REF!</v>
      </c>
      <c r="I367" s="245" t="e">
        <f t="shared" si="127"/>
        <v>#REF!</v>
      </c>
      <c r="J367" s="245" t="e">
        <f t="shared" si="127"/>
        <v>#REF!</v>
      </c>
      <c r="K367" s="245" t="e">
        <f t="shared" si="127"/>
        <v>#REF!</v>
      </c>
      <c r="L367" s="245" t="e">
        <f t="shared" si="127"/>
        <v>#REF!</v>
      </c>
      <c r="M367" s="245" t="e">
        <f t="shared" si="127"/>
        <v>#REF!</v>
      </c>
      <c r="N367" s="245" t="e">
        <f t="shared" si="127"/>
        <v>#REF!</v>
      </c>
      <c r="O367" s="245" t="e">
        <f t="shared" si="127"/>
        <v>#REF!</v>
      </c>
      <c r="P367" s="245" t="e">
        <f t="shared" si="127"/>
        <v>#REF!</v>
      </c>
      <c r="Q367" s="245"/>
    </row>
    <row r="368" spans="1:20">
      <c r="A368" s="244" t="s">
        <v>763</v>
      </c>
      <c r="B368" s="244"/>
      <c r="C368" s="244"/>
      <c r="D368" s="244"/>
      <c r="E368" s="245"/>
      <c r="F368" s="245"/>
      <c r="G368" s="245"/>
      <c r="H368" s="245"/>
      <c r="I368" s="245"/>
      <c r="J368" s="245"/>
      <c r="K368" s="245"/>
      <c r="L368" s="245"/>
      <c r="M368" s="245"/>
      <c r="N368" s="245"/>
      <c r="O368" s="245"/>
      <c r="P368" s="245"/>
      <c r="Q368" s="245"/>
    </row>
    <row r="369" spans="1:17">
      <c r="A369" s="250" t="s">
        <v>761</v>
      </c>
      <c r="B369" s="250"/>
      <c r="C369" s="244"/>
      <c r="D369" s="244"/>
      <c r="E369" s="251">
        <f t="shared" ref="E369:P369" si="128">E433</f>
        <v>0</v>
      </c>
      <c r="F369" s="251">
        <f t="shared" si="128"/>
        <v>0</v>
      </c>
      <c r="G369" s="251">
        <f t="shared" si="128"/>
        <v>1030</v>
      </c>
      <c r="H369" s="251">
        <f t="shared" si="128"/>
        <v>0</v>
      </c>
      <c r="I369" s="251">
        <f t="shared" si="128"/>
        <v>0</v>
      </c>
      <c r="J369" s="251">
        <f t="shared" si="128"/>
        <v>7881</v>
      </c>
      <c r="K369" s="251">
        <f t="shared" si="128"/>
        <v>0</v>
      </c>
      <c r="L369" s="251">
        <f t="shared" si="128"/>
        <v>0</v>
      </c>
      <c r="M369" s="251">
        <f t="shared" si="128"/>
        <v>2627</v>
      </c>
      <c r="N369" s="251">
        <f t="shared" si="128"/>
        <v>0</v>
      </c>
      <c r="O369" s="251">
        <f t="shared" si="128"/>
        <v>0</v>
      </c>
      <c r="P369" s="251">
        <f t="shared" si="128"/>
        <v>0</v>
      </c>
      <c r="Q369" s="252">
        <f>SUM(E369:P369)</f>
        <v>11538</v>
      </c>
    </row>
    <row r="370" spans="1:17">
      <c r="A370" s="250" t="s">
        <v>762</v>
      </c>
      <c r="B370" s="250"/>
      <c r="C370" s="244"/>
      <c r="D370" s="244"/>
      <c r="E370" s="251" t="e">
        <f t="shared" ref="E370:P370" si="129">E366*$C366</f>
        <v>#REF!</v>
      </c>
      <c r="F370" s="251" t="e">
        <f t="shared" si="129"/>
        <v>#REF!</v>
      </c>
      <c r="G370" s="251" t="e">
        <f t="shared" si="129"/>
        <v>#REF!</v>
      </c>
      <c r="H370" s="251" t="e">
        <f t="shared" si="129"/>
        <v>#REF!</v>
      </c>
      <c r="I370" s="251" t="e">
        <f t="shared" si="129"/>
        <v>#REF!</v>
      </c>
      <c r="J370" s="251" t="e">
        <f t="shared" si="129"/>
        <v>#REF!</v>
      </c>
      <c r="K370" s="251" t="e">
        <f t="shared" si="129"/>
        <v>#REF!</v>
      </c>
      <c r="L370" s="251" t="e">
        <f t="shared" si="129"/>
        <v>#REF!</v>
      </c>
      <c r="M370" s="251" t="e">
        <f t="shared" si="129"/>
        <v>#REF!</v>
      </c>
      <c r="N370" s="251" t="e">
        <f t="shared" si="129"/>
        <v>#REF!</v>
      </c>
      <c r="O370" s="251" t="e">
        <f t="shared" si="129"/>
        <v>#REF!</v>
      </c>
      <c r="P370" s="251" t="e">
        <f t="shared" si="129"/>
        <v>#REF!</v>
      </c>
      <c r="Q370" s="252" t="e">
        <f>SUM(E370:P370)</f>
        <v>#REF!</v>
      </c>
    </row>
    <row r="371" spans="1:17">
      <c r="A371" s="244" t="s">
        <v>19</v>
      </c>
      <c r="B371" s="244"/>
      <c r="C371" s="244"/>
      <c r="D371" s="244"/>
      <c r="E371" s="245" t="e">
        <f t="shared" ref="E371:Q371" si="130">SUM(E369:E370)</f>
        <v>#REF!</v>
      </c>
      <c r="F371" s="245" t="e">
        <f t="shared" si="130"/>
        <v>#REF!</v>
      </c>
      <c r="G371" s="245" t="e">
        <f t="shared" si="130"/>
        <v>#REF!</v>
      </c>
      <c r="H371" s="245" t="e">
        <f t="shared" si="130"/>
        <v>#REF!</v>
      </c>
      <c r="I371" s="245" t="e">
        <f t="shared" si="130"/>
        <v>#REF!</v>
      </c>
      <c r="J371" s="245" t="e">
        <f t="shared" si="130"/>
        <v>#REF!</v>
      </c>
      <c r="K371" s="245" t="e">
        <f t="shared" si="130"/>
        <v>#REF!</v>
      </c>
      <c r="L371" s="245" t="e">
        <f t="shared" si="130"/>
        <v>#REF!</v>
      </c>
      <c r="M371" s="245" t="e">
        <f t="shared" si="130"/>
        <v>#REF!</v>
      </c>
      <c r="N371" s="245" t="e">
        <f t="shared" si="130"/>
        <v>#REF!</v>
      </c>
      <c r="O371" s="245" t="e">
        <f t="shared" si="130"/>
        <v>#REF!</v>
      </c>
      <c r="P371" s="245" t="e">
        <f t="shared" si="130"/>
        <v>#REF!</v>
      </c>
      <c r="Q371" s="245" t="e">
        <f t="shared" si="130"/>
        <v>#REF!</v>
      </c>
    </row>
    <row r="372" spans="1:17">
      <c r="A372" s="244"/>
      <c r="B372" s="244"/>
      <c r="C372" s="244"/>
      <c r="D372" s="244"/>
      <c r="E372" s="245"/>
      <c r="F372" s="245"/>
      <c r="G372" s="245"/>
      <c r="H372" s="245" t="e">
        <f>H369+H353+H405</f>
        <v>#REF!</v>
      </c>
      <c r="I372" s="245"/>
      <c r="J372" s="245"/>
      <c r="K372" s="245"/>
      <c r="L372" s="245"/>
      <c r="M372" s="245"/>
      <c r="N372" s="245"/>
      <c r="O372" s="245"/>
      <c r="P372" s="245"/>
      <c r="Q372" s="245"/>
    </row>
    <row r="373" spans="1:17">
      <c r="A373" s="168" t="s">
        <v>769</v>
      </c>
      <c r="B373" s="168"/>
      <c r="C373" s="168" t="s">
        <v>654</v>
      </c>
      <c r="D373" s="168"/>
      <c r="E373" s="169">
        <v>45658</v>
      </c>
      <c r="F373" s="169">
        <v>45689</v>
      </c>
      <c r="G373" s="169">
        <v>45717</v>
      </c>
      <c r="H373" s="169">
        <v>45748</v>
      </c>
      <c r="I373" s="169">
        <v>45778</v>
      </c>
      <c r="J373" s="169">
        <v>45809</v>
      </c>
      <c r="K373" s="169">
        <v>45839</v>
      </c>
      <c r="L373" s="169">
        <v>45870</v>
      </c>
      <c r="M373" s="169">
        <v>45901</v>
      </c>
      <c r="N373" s="169">
        <v>45931</v>
      </c>
      <c r="O373" s="169">
        <v>45962</v>
      </c>
      <c r="P373" s="169">
        <v>45992</v>
      </c>
      <c r="Q373" s="170" t="s">
        <v>698</v>
      </c>
    </row>
    <row r="374" spans="1:17">
      <c r="A374" s="250" t="s">
        <v>761</v>
      </c>
      <c r="B374" s="250"/>
      <c r="C374" s="260">
        <f>(Q452+Q468+Q475+Q482)/139/12</f>
        <v>962.99360511590714</v>
      </c>
      <c r="D374" s="260"/>
      <c r="E374" s="245">
        <f t="shared" ref="E374:P374" si="131">E338</f>
        <v>267</v>
      </c>
      <c r="F374" s="245">
        <f t="shared" si="131"/>
        <v>267</v>
      </c>
      <c r="G374" s="245">
        <f t="shared" si="131"/>
        <v>258</v>
      </c>
      <c r="H374" s="245">
        <f t="shared" si="131"/>
        <v>258</v>
      </c>
      <c r="I374" s="245">
        <f t="shared" si="131"/>
        <v>265</v>
      </c>
      <c r="J374" s="245">
        <f t="shared" si="131"/>
        <v>265</v>
      </c>
      <c r="K374" s="245">
        <f t="shared" si="131"/>
        <v>265</v>
      </c>
      <c r="L374" s="245">
        <f t="shared" si="131"/>
        <v>265</v>
      </c>
      <c r="M374" s="245">
        <f t="shared" si="131"/>
        <v>265</v>
      </c>
      <c r="N374" s="245">
        <f t="shared" si="131"/>
        <v>283</v>
      </c>
      <c r="O374" s="245">
        <f t="shared" si="131"/>
        <v>283</v>
      </c>
      <c r="P374" s="245">
        <f t="shared" si="131"/>
        <v>283</v>
      </c>
      <c r="Q374" s="245"/>
    </row>
    <row r="375" spans="1:17">
      <c r="A375" s="250" t="s">
        <v>762</v>
      </c>
      <c r="B375" s="250"/>
      <c r="C375" s="250">
        <f>C374</f>
        <v>962.99360511590714</v>
      </c>
      <c r="D375" s="250"/>
      <c r="E375" s="245" t="e">
        <f t="shared" ref="E375:P375" si="132">E339</f>
        <v>#REF!</v>
      </c>
      <c r="F375" s="245" t="e">
        <f t="shared" si="132"/>
        <v>#REF!</v>
      </c>
      <c r="G375" s="245" t="e">
        <f t="shared" si="132"/>
        <v>#REF!</v>
      </c>
      <c r="H375" s="245" t="e">
        <f t="shared" si="132"/>
        <v>#REF!</v>
      </c>
      <c r="I375" s="245" t="e">
        <f t="shared" si="132"/>
        <v>#REF!</v>
      </c>
      <c r="J375" s="245" t="e">
        <f t="shared" si="132"/>
        <v>#REF!</v>
      </c>
      <c r="K375" s="245" t="e">
        <f t="shared" si="132"/>
        <v>#REF!</v>
      </c>
      <c r="L375" s="245" t="e">
        <f t="shared" si="132"/>
        <v>#REF!</v>
      </c>
      <c r="M375" s="245" t="e">
        <f t="shared" si="132"/>
        <v>#REF!</v>
      </c>
      <c r="N375" s="245" t="e">
        <f t="shared" si="132"/>
        <v>#REF!</v>
      </c>
      <c r="O375" s="245" t="e">
        <f t="shared" si="132"/>
        <v>#REF!</v>
      </c>
      <c r="P375" s="245" t="e">
        <f t="shared" si="132"/>
        <v>#REF!</v>
      </c>
      <c r="Q375" s="245"/>
    </row>
    <row r="376" spans="1:17">
      <c r="A376" s="244" t="s">
        <v>19</v>
      </c>
      <c r="B376" s="244"/>
      <c r="C376" s="244"/>
      <c r="D376" s="244"/>
      <c r="E376" s="245" t="e">
        <f t="shared" ref="E376:P376" si="133">SUM(E374:E375)</f>
        <v>#REF!</v>
      </c>
      <c r="F376" s="245" t="e">
        <f t="shared" si="133"/>
        <v>#REF!</v>
      </c>
      <c r="G376" s="245" t="e">
        <f t="shared" si="133"/>
        <v>#REF!</v>
      </c>
      <c r="H376" s="245" t="e">
        <f t="shared" si="133"/>
        <v>#REF!</v>
      </c>
      <c r="I376" s="245" t="e">
        <f t="shared" si="133"/>
        <v>#REF!</v>
      </c>
      <c r="J376" s="245" t="e">
        <f t="shared" si="133"/>
        <v>#REF!</v>
      </c>
      <c r="K376" s="245" t="e">
        <f t="shared" si="133"/>
        <v>#REF!</v>
      </c>
      <c r="L376" s="245" t="e">
        <f t="shared" si="133"/>
        <v>#REF!</v>
      </c>
      <c r="M376" s="245" t="e">
        <f t="shared" si="133"/>
        <v>#REF!</v>
      </c>
      <c r="N376" s="245" t="e">
        <f t="shared" si="133"/>
        <v>#REF!</v>
      </c>
      <c r="O376" s="245" t="e">
        <f t="shared" si="133"/>
        <v>#REF!</v>
      </c>
      <c r="P376" s="245" t="e">
        <f t="shared" si="133"/>
        <v>#REF!</v>
      </c>
      <c r="Q376" s="245"/>
    </row>
    <row r="377" spans="1:17">
      <c r="A377" s="244" t="s">
        <v>763</v>
      </c>
      <c r="B377" s="244"/>
      <c r="C377" s="244"/>
      <c r="D377" s="244"/>
      <c r="E377" s="245"/>
      <c r="F377" s="245"/>
      <c r="G377" s="245"/>
      <c r="H377" s="245"/>
      <c r="I377" s="245"/>
      <c r="J377" s="245"/>
      <c r="K377" s="245"/>
      <c r="L377" s="245"/>
      <c r="M377" s="245"/>
      <c r="N377" s="245"/>
      <c r="O377" s="245"/>
      <c r="P377" s="245"/>
      <c r="Q377" s="245"/>
    </row>
    <row r="378" spans="1:17">
      <c r="A378" s="250" t="s">
        <v>761</v>
      </c>
      <c r="B378" s="250"/>
      <c r="C378" s="244"/>
      <c r="D378" s="244"/>
      <c r="E378" s="251">
        <f t="shared" ref="E378:P378" si="134">E374*$C374</f>
        <v>257119.29256594719</v>
      </c>
      <c r="F378" s="251">
        <f t="shared" si="134"/>
        <v>257119.29256594719</v>
      </c>
      <c r="G378" s="251">
        <f t="shared" si="134"/>
        <v>248452.35011990403</v>
      </c>
      <c r="H378" s="251">
        <f t="shared" si="134"/>
        <v>248452.35011990403</v>
      </c>
      <c r="I378" s="251">
        <f t="shared" si="134"/>
        <v>255193.30535571539</v>
      </c>
      <c r="J378" s="251">
        <f t="shared" si="134"/>
        <v>255193.30535571539</v>
      </c>
      <c r="K378" s="251">
        <f t="shared" si="134"/>
        <v>255193.30535571539</v>
      </c>
      <c r="L378" s="251">
        <f t="shared" si="134"/>
        <v>255193.30535571539</v>
      </c>
      <c r="M378" s="251">
        <f t="shared" si="134"/>
        <v>255193.30535571539</v>
      </c>
      <c r="N378" s="251">
        <f t="shared" si="134"/>
        <v>272527.19024780171</v>
      </c>
      <c r="O378" s="251">
        <f t="shared" si="134"/>
        <v>272527.19024780171</v>
      </c>
      <c r="P378" s="251">
        <f t="shared" si="134"/>
        <v>272527.19024780171</v>
      </c>
      <c r="Q378" s="252">
        <f>SUM(E378:P378)</f>
        <v>3104691.3828936843</v>
      </c>
    </row>
    <row r="379" spans="1:17">
      <c r="A379" s="250" t="s">
        <v>762</v>
      </c>
      <c r="B379" s="250"/>
      <c r="E379" s="251" t="e">
        <f t="shared" ref="E379:P379" si="135">E375*$C375</f>
        <v>#REF!</v>
      </c>
      <c r="F379" s="251" t="e">
        <f t="shared" si="135"/>
        <v>#REF!</v>
      </c>
      <c r="G379" s="251" t="e">
        <f t="shared" si="135"/>
        <v>#REF!</v>
      </c>
      <c r="H379" s="251" t="e">
        <f t="shared" si="135"/>
        <v>#REF!</v>
      </c>
      <c r="I379" s="251" t="e">
        <f t="shared" si="135"/>
        <v>#REF!</v>
      </c>
      <c r="J379" s="251" t="e">
        <f t="shared" si="135"/>
        <v>#REF!</v>
      </c>
      <c r="K379" s="251" t="e">
        <f t="shared" si="135"/>
        <v>#REF!</v>
      </c>
      <c r="L379" s="251" t="e">
        <f t="shared" si="135"/>
        <v>#REF!</v>
      </c>
      <c r="M379" s="251" t="e">
        <f t="shared" si="135"/>
        <v>#REF!</v>
      </c>
      <c r="N379" s="251" t="e">
        <f t="shared" si="135"/>
        <v>#REF!</v>
      </c>
      <c r="O379" s="251" t="e">
        <f t="shared" si="135"/>
        <v>#REF!</v>
      </c>
      <c r="P379" s="251" t="e">
        <f t="shared" si="135"/>
        <v>#REF!</v>
      </c>
      <c r="Q379" s="252" t="e">
        <f>SUM(E379:P379)</f>
        <v>#REF!</v>
      </c>
    </row>
    <row r="380" spans="1:17">
      <c r="A380" s="244" t="s">
        <v>19</v>
      </c>
      <c r="B380" s="244"/>
      <c r="E380" s="245" t="e">
        <f t="shared" ref="E380:Q380" si="136">SUM(E378:E379)</f>
        <v>#REF!</v>
      </c>
      <c r="F380" s="245" t="e">
        <f t="shared" si="136"/>
        <v>#REF!</v>
      </c>
      <c r="G380" s="245" t="e">
        <f t="shared" si="136"/>
        <v>#REF!</v>
      </c>
      <c r="H380" s="245" t="e">
        <f t="shared" si="136"/>
        <v>#REF!</v>
      </c>
      <c r="I380" s="245" t="e">
        <f t="shared" si="136"/>
        <v>#REF!</v>
      </c>
      <c r="J380" s="245" t="e">
        <f t="shared" si="136"/>
        <v>#REF!</v>
      </c>
      <c r="K380" s="245" t="e">
        <f t="shared" si="136"/>
        <v>#REF!</v>
      </c>
      <c r="L380" s="245" t="e">
        <f t="shared" si="136"/>
        <v>#REF!</v>
      </c>
      <c r="M380" s="245" t="e">
        <f t="shared" si="136"/>
        <v>#REF!</v>
      </c>
      <c r="N380" s="245" t="e">
        <f t="shared" si="136"/>
        <v>#REF!</v>
      </c>
      <c r="O380" s="245" t="e">
        <f t="shared" si="136"/>
        <v>#REF!</v>
      </c>
      <c r="P380" s="245" t="e">
        <f t="shared" si="136"/>
        <v>#REF!</v>
      </c>
      <c r="Q380" s="245" t="e">
        <f t="shared" si="136"/>
        <v>#REF!</v>
      </c>
    </row>
    <row r="381" spans="1:17">
      <c r="A381" s="244"/>
      <c r="B381" s="244"/>
      <c r="E381" s="245"/>
      <c r="F381" s="245"/>
      <c r="G381" s="245"/>
      <c r="H381" s="245"/>
      <c r="I381" s="245"/>
      <c r="J381" s="245"/>
      <c r="K381" s="245"/>
      <c r="L381" s="245"/>
      <c r="M381" s="245"/>
      <c r="N381" s="245"/>
      <c r="O381" s="245"/>
      <c r="P381" s="245"/>
      <c r="Q381" s="245"/>
    </row>
    <row r="382" spans="1:17">
      <c r="A382" s="244" t="s">
        <v>770</v>
      </c>
      <c r="B382" s="244"/>
      <c r="E382" s="245"/>
      <c r="F382" s="245"/>
      <c r="G382" s="245"/>
      <c r="H382" s="245"/>
      <c r="I382" s="245"/>
      <c r="J382" s="245"/>
      <c r="K382" s="245"/>
      <c r="L382" s="245"/>
      <c r="M382" s="245"/>
      <c r="N382" s="245"/>
      <c r="O382" s="245"/>
      <c r="P382" s="245"/>
      <c r="Q382" s="245"/>
    </row>
    <row r="383" spans="1:17">
      <c r="A383" s="250" t="s">
        <v>771</v>
      </c>
      <c r="B383" s="250"/>
      <c r="E383" s="261">
        <v>144375</v>
      </c>
      <c r="F383" s="261">
        <v>0</v>
      </c>
      <c r="G383" s="261">
        <v>144396</v>
      </c>
      <c r="H383" s="261">
        <v>0</v>
      </c>
      <c r="I383" s="261">
        <v>0</v>
      </c>
      <c r="J383" s="261">
        <v>0</v>
      </c>
      <c r="K383" s="261">
        <v>0</v>
      </c>
      <c r="L383" s="261">
        <v>0</v>
      </c>
      <c r="M383" s="261">
        <v>0</v>
      </c>
      <c r="N383" s="261">
        <v>0</v>
      </c>
      <c r="O383" s="261">
        <v>0</v>
      </c>
      <c r="P383" s="261">
        <v>0</v>
      </c>
      <c r="Q383" s="252">
        <f>SUM(E383:P383)</f>
        <v>288771</v>
      </c>
    </row>
    <row r="384" spans="1:17">
      <c r="A384" s="250" t="s">
        <v>772</v>
      </c>
      <c r="B384" s="250"/>
      <c r="C384" s="244"/>
      <c r="D384" s="244"/>
      <c r="E384" s="261">
        <v>48300</v>
      </c>
      <c r="F384" s="261">
        <v>0</v>
      </c>
      <c r="G384" s="261">
        <v>0</v>
      </c>
      <c r="H384" s="261">
        <v>0</v>
      </c>
      <c r="I384" s="261">
        <v>0</v>
      </c>
      <c r="J384" s="261">
        <v>0</v>
      </c>
      <c r="K384" s="261">
        <v>0</v>
      </c>
      <c r="L384" s="261">
        <v>0</v>
      </c>
      <c r="M384" s="261">
        <v>0</v>
      </c>
      <c r="N384" s="261">
        <v>0</v>
      </c>
      <c r="O384" s="261">
        <v>0</v>
      </c>
      <c r="P384" s="261">
        <v>0</v>
      </c>
      <c r="Q384" s="252">
        <f>SUM(E384:P384)</f>
        <v>48300</v>
      </c>
    </row>
    <row r="385" spans="1:17">
      <c r="A385" s="250" t="s">
        <v>773</v>
      </c>
      <c r="B385" s="250"/>
      <c r="E385" s="261">
        <v>0</v>
      </c>
      <c r="F385" s="261">
        <v>0</v>
      </c>
      <c r="G385" s="261">
        <v>0</v>
      </c>
      <c r="H385" s="261">
        <v>0</v>
      </c>
      <c r="I385" s="261">
        <v>0</v>
      </c>
      <c r="J385" s="261">
        <v>37800</v>
      </c>
      <c r="K385" s="261">
        <v>0</v>
      </c>
      <c r="L385" s="261">
        <v>0</v>
      </c>
      <c r="M385" s="261">
        <v>0</v>
      </c>
      <c r="N385" s="261">
        <v>0</v>
      </c>
      <c r="O385" s="261">
        <v>0</v>
      </c>
      <c r="P385" s="261">
        <v>0</v>
      </c>
      <c r="Q385" s="252">
        <f>SUM(E385:P385)</f>
        <v>37800</v>
      </c>
    </row>
    <row r="386" spans="1:17">
      <c r="A386" s="250" t="s">
        <v>774</v>
      </c>
      <c r="B386" s="250"/>
      <c r="C386" s="244"/>
      <c r="D386" s="244"/>
      <c r="E386" s="261">
        <v>0</v>
      </c>
      <c r="F386" s="261">
        <v>0</v>
      </c>
      <c r="G386" s="261">
        <v>0</v>
      </c>
      <c r="H386" s="261">
        <v>0</v>
      </c>
      <c r="I386" s="261">
        <v>0</v>
      </c>
      <c r="J386" s="261">
        <v>37800</v>
      </c>
      <c r="K386" s="261">
        <v>0</v>
      </c>
      <c r="L386" s="261">
        <v>0</v>
      </c>
      <c r="M386" s="261">
        <v>0</v>
      </c>
      <c r="N386" s="261">
        <v>0</v>
      </c>
      <c r="O386" s="261">
        <v>0</v>
      </c>
      <c r="P386" s="261">
        <v>0</v>
      </c>
      <c r="Q386" s="252">
        <f>SUM(E386:P386)</f>
        <v>37800</v>
      </c>
    </row>
    <row r="387" spans="1:17">
      <c r="A387" s="244" t="s">
        <v>19</v>
      </c>
      <c r="B387" s="244"/>
      <c r="E387" s="245">
        <f t="shared" ref="E387:Q387" si="137">SUM(E385:E386)</f>
        <v>0</v>
      </c>
      <c r="F387" s="245">
        <f t="shared" si="137"/>
        <v>0</v>
      </c>
      <c r="G387" s="245">
        <f t="shared" si="137"/>
        <v>0</v>
      </c>
      <c r="H387" s="245">
        <f t="shared" si="137"/>
        <v>0</v>
      </c>
      <c r="I387" s="245">
        <f t="shared" si="137"/>
        <v>0</v>
      </c>
      <c r="J387" s="245">
        <f t="shared" si="137"/>
        <v>75600</v>
      </c>
      <c r="K387" s="245">
        <f t="shared" si="137"/>
        <v>0</v>
      </c>
      <c r="L387" s="245">
        <f t="shared" si="137"/>
        <v>0</v>
      </c>
      <c r="M387" s="245">
        <f t="shared" si="137"/>
        <v>0</v>
      </c>
      <c r="N387" s="245">
        <f t="shared" si="137"/>
        <v>0</v>
      </c>
      <c r="O387" s="245">
        <f t="shared" si="137"/>
        <v>0</v>
      </c>
      <c r="P387" s="245">
        <f t="shared" si="137"/>
        <v>0</v>
      </c>
      <c r="Q387" s="245">
        <f t="shared" si="137"/>
        <v>75600</v>
      </c>
    </row>
    <row r="388" spans="1:17">
      <c r="A388" s="244"/>
      <c r="B388" s="244"/>
      <c r="C388" s="244"/>
      <c r="D388" s="244"/>
      <c r="E388" s="245"/>
      <c r="F388" s="245"/>
      <c r="G388" s="245"/>
      <c r="H388" s="245"/>
      <c r="I388" s="245"/>
      <c r="J388" s="245"/>
      <c r="K388" s="245"/>
      <c r="L388" s="245"/>
      <c r="M388" s="245"/>
      <c r="N388" s="245"/>
      <c r="O388" s="245"/>
      <c r="P388" s="245"/>
      <c r="Q388" s="245"/>
    </row>
    <row r="389" spans="1:17">
      <c r="A389" s="244"/>
      <c r="B389" s="244"/>
      <c r="C389" s="244"/>
      <c r="D389" s="244"/>
      <c r="E389" s="245"/>
      <c r="F389" s="245"/>
      <c r="G389" s="245"/>
      <c r="H389" s="245"/>
      <c r="I389" s="245"/>
      <c r="J389" s="245"/>
      <c r="K389" s="245"/>
      <c r="L389" s="245"/>
      <c r="M389" s="245"/>
      <c r="N389" s="245"/>
      <c r="O389" s="245"/>
      <c r="P389" s="245"/>
      <c r="Q389" s="245"/>
    </row>
    <row r="390" spans="1:17">
      <c r="A390" s="168" t="s">
        <v>775</v>
      </c>
      <c r="B390" s="168"/>
      <c r="C390" s="168" t="s">
        <v>654</v>
      </c>
      <c r="D390" s="168"/>
      <c r="E390" s="169">
        <v>45658</v>
      </c>
      <c r="F390" s="169">
        <v>45689</v>
      </c>
      <c r="G390" s="169">
        <v>45717</v>
      </c>
      <c r="H390" s="169">
        <v>45748</v>
      </c>
      <c r="I390" s="169">
        <v>45778</v>
      </c>
      <c r="J390" s="169">
        <v>45809</v>
      </c>
      <c r="K390" s="169">
        <v>45839</v>
      </c>
      <c r="L390" s="169">
        <v>45870</v>
      </c>
      <c r="M390" s="169">
        <v>45901</v>
      </c>
      <c r="N390" s="169">
        <v>45931</v>
      </c>
      <c r="O390" s="169">
        <v>45962</v>
      </c>
      <c r="P390" s="169">
        <v>45992</v>
      </c>
      <c r="Q390" s="170" t="s">
        <v>698</v>
      </c>
    </row>
    <row r="391" spans="1:17">
      <c r="A391" s="250" t="s">
        <v>761</v>
      </c>
      <c r="B391" s="250"/>
      <c r="C391" s="260">
        <v>200</v>
      </c>
      <c r="D391" s="260"/>
      <c r="E391" s="245">
        <v>185</v>
      </c>
      <c r="F391" s="245">
        <v>185</v>
      </c>
      <c r="G391" s="245">
        <v>176</v>
      </c>
      <c r="H391" s="245">
        <v>176</v>
      </c>
      <c r="I391" s="245">
        <v>183</v>
      </c>
      <c r="J391" s="245">
        <v>183</v>
      </c>
      <c r="K391" s="245">
        <v>183</v>
      </c>
      <c r="L391" s="245">
        <v>183</v>
      </c>
      <c r="M391" s="245">
        <v>183</v>
      </c>
      <c r="N391" s="245">
        <v>201</v>
      </c>
      <c r="O391" s="245">
        <v>201</v>
      </c>
      <c r="P391" s="245">
        <v>201</v>
      </c>
      <c r="Q391" s="245"/>
    </row>
    <row r="392" spans="1:17">
      <c r="A392" s="250" t="s">
        <v>762</v>
      </c>
      <c r="B392" s="250"/>
      <c r="C392" s="250">
        <f>C391</f>
        <v>200</v>
      </c>
      <c r="D392" s="250"/>
      <c r="E392" s="245">
        <v>-11.2</v>
      </c>
      <c r="F392" s="245">
        <v>-11.2</v>
      </c>
      <c r="G392" s="245">
        <v>-11.2</v>
      </c>
      <c r="H392" s="245">
        <v>-16.8</v>
      </c>
      <c r="I392" s="245">
        <v>-16.8</v>
      </c>
      <c r="J392" s="245">
        <v>-16.8</v>
      </c>
      <c r="K392" s="245">
        <v>-22.4</v>
      </c>
      <c r="L392" s="245">
        <v>-22.4</v>
      </c>
      <c r="M392" s="245">
        <v>-22.4</v>
      </c>
      <c r="N392" s="245">
        <v>-28</v>
      </c>
      <c r="O392" s="245">
        <v>-28</v>
      </c>
      <c r="P392" s="245">
        <v>-28</v>
      </c>
      <c r="Q392" s="245"/>
    </row>
    <row r="393" spans="1:17">
      <c r="A393" s="244" t="s">
        <v>19</v>
      </c>
      <c r="B393" s="244"/>
      <c r="C393" s="244"/>
      <c r="D393" s="244"/>
      <c r="E393" s="245">
        <f t="shared" ref="E393:P393" si="138">SUM(E391:E392)</f>
        <v>173.8</v>
      </c>
      <c r="F393" s="245">
        <f t="shared" si="138"/>
        <v>173.8</v>
      </c>
      <c r="G393" s="245">
        <f t="shared" si="138"/>
        <v>164.8</v>
      </c>
      <c r="H393" s="245">
        <f t="shared" si="138"/>
        <v>159.19999999999999</v>
      </c>
      <c r="I393" s="245">
        <f t="shared" si="138"/>
        <v>166.2</v>
      </c>
      <c r="J393" s="245">
        <f t="shared" si="138"/>
        <v>166.2</v>
      </c>
      <c r="K393" s="245">
        <f t="shared" si="138"/>
        <v>160.6</v>
      </c>
      <c r="L393" s="245">
        <f t="shared" si="138"/>
        <v>160.6</v>
      </c>
      <c r="M393" s="245">
        <f t="shared" si="138"/>
        <v>160.6</v>
      </c>
      <c r="N393" s="245">
        <f t="shared" si="138"/>
        <v>173</v>
      </c>
      <c r="O393" s="245">
        <f t="shared" si="138"/>
        <v>173</v>
      </c>
      <c r="P393" s="245">
        <f t="shared" si="138"/>
        <v>173</v>
      </c>
      <c r="Q393" s="245"/>
    </row>
    <row r="394" spans="1:17">
      <c r="A394" s="244" t="s">
        <v>763</v>
      </c>
      <c r="B394" s="244"/>
      <c r="C394" s="244"/>
      <c r="D394" s="244"/>
      <c r="E394" s="245"/>
      <c r="F394" s="245"/>
      <c r="G394" s="245"/>
      <c r="H394" s="245"/>
      <c r="I394" s="245"/>
      <c r="J394" s="245"/>
      <c r="K394" s="245"/>
      <c r="L394" s="245"/>
      <c r="M394" s="245"/>
      <c r="N394" s="245"/>
      <c r="O394" s="245"/>
      <c r="P394" s="245"/>
      <c r="Q394" s="245"/>
    </row>
    <row r="395" spans="1:17">
      <c r="A395" s="250" t="s">
        <v>761</v>
      </c>
      <c r="B395" s="250"/>
      <c r="C395" s="244"/>
      <c r="D395" s="244"/>
      <c r="E395" s="251">
        <f t="shared" ref="E395:P395" si="139">E391*$C391</f>
        <v>37000</v>
      </c>
      <c r="F395" s="251">
        <f t="shared" si="139"/>
        <v>37000</v>
      </c>
      <c r="G395" s="251">
        <f t="shared" si="139"/>
        <v>35200</v>
      </c>
      <c r="H395" s="251">
        <f t="shared" si="139"/>
        <v>35200</v>
      </c>
      <c r="I395" s="251">
        <f t="shared" si="139"/>
        <v>36600</v>
      </c>
      <c r="J395" s="251">
        <f t="shared" si="139"/>
        <v>36600</v>
      </c>
      <c r="K395" s="251">
        <f t="shared" si="139"/>
        <v>36600</v>
      </c>
      <c r="L395" s="251">
        <f t="shared" si="139"/>
        <v>36600</v>
      </c>
      <c r="M395" s="251">
        <f t="shared" si="139"/>
        <v>36600</v>
      </c>
      <c r="N395" s="251">
        <f t="shared" si="139"/>
        <v>40200</v>
      </c>
      <c r="O395" s="251">
        <f t="shared" si="139"/>
        <v>40200</v>
      </c>
      <c r="P395" s="251">
        <f t="shared" si="139"/>
        <v>40200</v>
      </c>
      <c r="Q395" s="252">
        <f>SUM(E395:P395)</f>
        <v>448000</v>
      </c>
    </row>
    <row r="396" spans="1:17">
      <c r="A396" s="250" t="s">
        <v>762</v>
      </c>
      <c r="B396" s="250"/>
      <c r="C396" s="244"/>
      <c r="D396" s="244"/>
      <c r="E396" s="251">
        <v>-2240</v>
      </c>
      <c r="F396" s="251">
        <v>-2240</v>
      </c>
      <c r="G396" s="251">
        <v>-2240</v>
      </c>
      <c r="H396" s="251">
        <v>-3360</v>
      </c>
      <c r="I396" s="251">
        <v>-3360</v>
      </c>
      <c r="J396" s="251">
        <v>-3360</v>
      </c>
      <c r="K396" s="251">
        <v>-4480</v>
      </c>
      <c r="L396" s="251">
        <v>-4480</v>
      </c>
      <c r="M396" s="251">
        <v>-4480</v>
      </c>
      <c r="N396" s="251">
        <v>-5600</v>
      </c>
      <c r="O396" s="251">
        <v>-5600</v>
      </c>
      <c r="P396" s="251">
        <v>-5600</v>
      </c>
      <c r="Q396" s="252">
        <f>SUM(E396:P396)</f>
        <v>-47040</v>
      </c>
    </row>
    <row r="397" spans="1:17">
      <c r="A397" s="244" t="s">
        <v>19</v>
      </c>
      <c r="B397" s="244"/>
      <c r="C397" s="244"/>
      <c r="D397" s="244"/>
      <c r="E397" s="245">
        <f t="shared" ref="E397:Q397" si="140">SUM(E395:E396)</f>
        <v>34760</v>
      </c>
      <c r="F397" s="245">
        <f t="shared" si="140"/>
        <v>34760</v>
      </c>
      <c r="G397" s="245">
        <f t="shared" si="140"/>
        <v>32960</v>
      </c>
      <c r="H397" s="245">
        <f t="shared" si="140"/>
        <v>31840</v>
      </c>
      <c r="I397" s="245">
        <f t="shared" si="140"/>
        <v>33240</v>
      </c>
      <c r="J397" s="245">
        <f t="shared" si="140"/>
        <v>33240</v>
      </c>
      <c r="K397" s="245">
        <f t="shared" si="140"/>
        <v>32120</v>
      </c>
      <c r="L397" s="245">
        <f t="shared" si="140"/>
        <v>32120</v>
      </c>
      <c r="M397" s="245">
        <f t="shared" si="140"/>
        <v>32120</v>
      </c>
      <c r="N397" s="245">
        <f t="shared" si="140"/>
        <v>34600</v>
      </c>
      <c r="O397" s="245">
        <f t="shared" si="140"/>
        <v>34600</v>
      </c>
      <c r="P397" s="245">
        <f t="shared" si="140"/>
        <v>34600</v>
      </c>
      <c r="Q397" s="245">
        <f t="shared" si="140"/>
        <v>400960</v>
      </c>
    </row>
    <row r="398" spans="1:17">
      <c r="A398" s="244"/>
      <c r="B398" s="244"/>
      <c r="C398" s="244"/>
      <c r="D398" s="244"/>
      <c r="E398" s="245"/>
      <c r="F398" s="245"/>
      <c r="G398" s="245"/>
      <c r="H398" s="245"/>
      <c r="I398" s="245"/>
      <c r="J398" s="245"/>
      <c r="K398" s="245"/>
      <c r="L398" s="245"/>
      <c r="M398" s="245"/>
      <c r="N398" s="245"/>
      <c r="O398" s="245"/>
      <c r="P398" s="245"/>
      <c r="Q398" s="245"/>
    </row>
    <row r="399" spans="1:17">
      <c r="A399" s="244"/>
      <c r="B399" s="244"/>
      <c r="C399" s="244"/>
      <c r="D399" s="244"/>
      <c r="E399" s="245"/>
      <c r="F399" s="245"/>
      <c r="G399" s="245"/>
      <c r="H399" s="245"/>
      <c r="I399" s="245"/>
      <c r="J399" s="245"/>
      <c r="K399" s="245"/>
      <c r="L399" s="245"/>
      <c r="M399" s="245"/>
      <c r="N399" s="245"/>
      <c r="O399" s="245"/>
      <c r="P399" s="245"/>
      <c r="Q399" s="245"/>
    </row>
    <row r="400" spans="1:17">
      <c r="A400" s="262" t="s">
        <v>7</v>
      </c>
      <c r="B400" s="263"/>
      <c r="C400" s="245"/>
      <c r="D400" s="245"/>
      <c r="E400" s="245"/>
      <c r="F400" s="245"/>
      <c r="G400" s="245"/>
      <c r="H400" s="245"/>
      <c r="I400" s="245"/>
      <c r="J400" s="245"/>
      <c r="K400" s="245"/>
      <c r="L400" s="245"/>
      <c r="M400" s="245"/>
      <c r="N400" s="245"/>
      <c r="O400" s="245"/>
      <c r="P400" s="245"/>
      <c r="Q400" s="245"/>
    </row>
    <row r="401" spans="1:21">
      <c r="A401" s="264" t="s">
        <v>0</v>
      </c>
      <c r="B401" s="264"/>
      <c r="C401" s="264"/>
      <c r="D401" s="264"/>
      <c r="E401" s="265">
        <v>45658</v>
      </c>
      <c r="F401" s="265">
        <v>45689</v>
      </c>
      <c r="G401" s="266">
        <v>45717</v>
      </c>
      <c r="H401" s="265">
        <v>45748</v>
      </c>
      <c r="I401" s="265">
        <v>45778</v>
      </c>
      <c r="J401" s="266">
        <v>45809</v>
      </c>
      <c r="K401" s="265">
        <v>45839</v>
      </c>
      <c r="L401" s="265">
        <v>45870</v>
      </c>
      <c r="M401" s="266">
        <v>45901</v>
      </c>
      <c r="N401" s="265">
        <v>45931</v>
      </c>
      <c r="O401" s="265">
        <v>45962</v>
      </c>
      <c r="P401" s="265">
        <v>45992</v>
      </c>
      <c r="Q401" s="267" t="s">
        <v>698</v>
      </c>
    </row>
    <row r="402" spans="1:21">
      <c r="A402" s="268" t="s">
        <v>74</v>
      </c>
      <c r="B402" s="268"/>
      <c r="C402" s="268" t="s">
        <v>776</v>
      </c>
      <c r="D402" s="268"/>
      <c r="E402" s="269">
        <v>20000</v>
      </c>
      <c r="F402" s="269">
        <v>20000</v>
      </c>
      <c r="G402" s="269">
        <v>20000</v>
      </c>
      <c r="H402" s="269">
        <v>20000</v>
      </c>
      <c r="I402" s="269">
        <v>20000</v>
      </c>
      <c r="J402" s="269">
        <v>20000</v>
      </c>
      <c r="K402" s="269">
        <v>20000</v>
      </c>
      <c r="L402" s="269">
        <v>20000</v>
      </c>
      <c r="M402" s="269">
        <v>20000</v>
      </c>
      <c r="N402" s="269">
        <v>20000</v>
      </c>
      <c r="O402" s="269">
        <v>20000</v>
      </c>
      <c r="P402" s="269">
        <v>20000</v>
      </c>
      <c r="Q402" s="270">
        <f>SUM(E402:P402)</f>
        <v>240000</v>
      </c>
      <c r="R402" s="271"/>
      <c r="S402" s="272"/>
      <c r="T402" s="272"/>
      <c r="U402" s="272"/>
    </row>
    <row r="403" spans="1:21">
      <c r="A403" s="268" t="s">
        <v>777</v>
      </c>
      <c r="B403" s="268"/>
      <c r="C403" s="273" t="s">
        <v>778</v>
      </c>
      <c r="D403" s="273"/>
      <c r="E403" s="274">
        <v>10000</v>
      </c>
      <c r="F403" s="274">
        <v>10000</v>
      </c>
      <c r="G403" s="274">
        <v>10000</v>
      </c>
      <c r="H403" s="274">
        <v>10000</v>
      </c>
      <c r="I403" s="274">
        <v>10000</v>
      </c>
      <c r="J403" s="274">
        <v>10000</v>
      </c>
      <c r="K403" s="274">
        <v>10000</v>
      </c>
      <c r="L403" s="274">
        <v>10000</v>
      </c>
      <c r="M403" s="274">
        <v>10000</v>
      </c>
      <c r="N403" s="274">
        <v>10000</v>
      </c>
      <c r="O403" s="274">
        <v>10000</v>
      </c>
      <c r="P403" s="274">
        <v>10000</v>
      </c>
      <c r="Q403" s="270">
        <f>SUM(E403:P403)</f>
        <v>120000</v>
      </c>
      <c r="R403" s="271"/>
      <c r="S403" s="272"/>
      <c r="T403" s="272"/>
      <c r="U403" s="272"/>
    </row>
    <row r="404" spans="1:21" s="258" customFormat="1">
      <c r="A404" s="275" t="s">
        <v>80</v>
      </c>
      <c r="B404" s="275"/>
      <c r="C404" s="273" t="s">
        <v>779</v>
      </c>
      <c r="D404" s="273"/>
      <c r="E404" s="274">
        <v>20000</v>
      </c>
      <c r="F404" s="274">
        <v>20000</v>
      </c>
      <c r="G404" s="274">
        <v>20000</v>
      </c>
      <c r="H404" s="274">
        <v>20000</v>
      </c>
      <c r="I404" s="274">
        <v>20000</v>
      </c>
      <c r="J404" s="274">
        <v>20000</v>
      </c>
      <c r="K404" s="274">
        <v>20000</v>
      </c>
      <c r="L404" s="274">
        <v>20000</v>
      </c>
      <c r="M404" s="274">
        <v>20000</v>
      </c>
      <c r="N404" s="274">
        <v>20000</v>
      </c>
      <c r="O404" s="274">
        <v>20000</v>
      </c>
      <c r="P404" s="274">
        <v>20000</v>
      </c>
      <c r="Q404" s="276">
        <f>SUM(E404:P404)</f>
        <v>240000</v>
      </c>
      <c r="R404" s="277"/>
      <c r="S404" s="278"/>
      <c r="T404" s="278"/>
      <c r="U404" s="278"/>
    </row>
    <row r="405" spans="1:21">
      <c r="A405" s="279" t="s">
        <v>19</v>
      </c>
      <c r="B405" s="279"/>
      <c r="C405" s="279"/>
      <c r="D405" s="279"/>
      <c r="E405" s="280">
        <f t="shared" ref="E405:P405" si="141">SUM(E402:E404)</f>
        <v>50000</v>
      </c>
      <c r="F405" s="280">
        <f t="shared" si="141"/>
        <v>50000</v>
      </c>
      <c r="G405" s="280">
        <f t="shared" si="141"/>
        <v>50000</v>
      </c>
      <c r="H405" s="280">
        <f t="shared" si="141"/>
        <v>50000</v>
      </c>
      <c r="I405" s="280">
        <f t="shared" si="141"/>
        <v>50000</v>
      </c>
      <c r="J405" s="280">
        <f t="shared" si="141"/>
        <v>50000</v>
      </c>
      <c r="K405" s="280">
        <f t="shared" si="141"/>
        <v>50000</v>
      </c>
      <c r="L405" s="280">
        <f t="shared" si="141"/>
        <v>50000</v>
      </c>
      <c r="M405" s="280">
        <f t="shared" si="141"/>
        <v>50000</v>
      </c>
      <c r="N405" s="280">
        <f t="shared" si="141"/>
        <v>50000</v>
      </c>
      <c r="O405" s="280">
        <f t="shared" si="141"/>
        <v>50000</v>
      </c>
      <c r="P405" s="280">
        <f t="shared" si="141"/>
        <v>50000</v>
      </c>
      <c r="Q405" s="280">
        <f>SUM(E405:P405)</f>
        <v>600000</v>
      </c>
    </row>
    <row r="406" spans="1:21">
      <c r="A406" s="244"/>
      <c r="B406" s="244"/>
      <c r="C406" s="244"/>
      <c r="D406" s="244"/>
      <c r="E406" s="245"/>
      <c r="F406" s="245"/>
      <c r="G406" s="245"/>
      <c r="H406" s="245"/>
      <c r="I406" s="245"/>
      <c r="J406" s="245"/>
      <c r="K406" s="245"/>
      <c r="L406" s="245"/>
      <c r="M406" s="245"/>
      <c r="N406" s="245"/>
      <c r="O406" s="245"/>
      <c r="P406" s="245"/>
      <c r="Q406" s="245"/>
    </row>
    <row r="407" spans="1:21">
      <c r="A407" s="246" t="s">
        <v>765</v>
      </c>
      <c r="B407" s="246"/>
      <c r="C407" s="246" t="s">
        <v>780</v>
      </c>
      <c r="D407" s="246"/>
      <c r="E407" s="247"/>
      <c r="F407" s="247"/>
      <c r="G407" s="247"/>
      <c r="H407" s="247"/>
      <c r="I407" s="247"/>
      <c r="J407" s="247"/>
      <c r="K407" s="247"/>
      <c r="L407" s="247"/>
      <c r="M407" s="247"/>
      <c r="N407" s="247"/>
      <c r="O407" s="247"/>
      <c r="P407" s="247"/>
      <c r="Q407" s="281" t="s">
        <v>757</v>
      </c>
    </row>
    <row r="408" spans="1:21">
      <c r="A408" s="264" t="s">
        <v>0</v>
      </c>
      <c r="B408" s="264"/>
      <c r="C408" s="264"/>
      <c r="D408" s="264"/>
      <c r="E408" s="265">
        <v>45658</v>
      </c>
      <c r="F408" s="265">
        <v>45689</v>
      </c>
      <c r="G408" s="266">
        <v>45717</v>
      </c>
      <c r="H408" s="265">
        <v>45748</v>
      </c>
      <c r="I408" s="265">
        <v>45778</v>
      </c>
      <c r="J408" s="266">
        <v>45809</v>
      </c>
      <c r="K408" s="265">
        <v>45839</v>
      </c>
      <c r="L408" s="265">
        <v>45870</v>
      </c>
      <c r="M408" s="266">
        <v>45901</v>
      </c>
      <c r="N408" s="265">
        <v>45931</v>
      </c>
      <c r="O408" s="265">
        <v>45962</v>
      </c>
      <c r="P408" s="265">
        <v>45992</v>
      </c>
      <c r="Q408" s="267" t="s">
        <v>698</v>
      </c>
    </row>
    <row r="409" spans="1:21">
      <c r="A409" s="282" t="s">
        <v>781</v>
      </c>
      <c r="B409" s="282"/>
      <c r="C409" s="268"/>
      <c r="D409" s="268"/>
      <c r="E409" s="283">
        <v>5160</v>
      </c>
      <c r="F409" s="283">
        <v>5160</v>
      </c>
      <c r="G409" s="283">
        <v>5160</v>
      </c>
      <c r="H409" s="283">
        <v>5160</v>
      </c>
      <c r="I409" s="283">
        <v>5160</v>
      </c>
      <c r="J409" s="283">
        <v>5160</v>
      </c>
      <c r="K409" s="283">
        <v>5160</v>
      </c>
      <c r="L409" s="283">
        <v>5160</v>
      </c>
      <c r="M409" s="283">
        <v>5160</v>
      </c>
      <c r="N409" s="283">
        <v>5160</v>
      </c>
      <c r="O409" s="283">
        <v>5160</v>
      </c>
      <c r="P409" s="283">
        <v>5160</v>
      </c>
      <c r="Q409" s="270">
        <f t="shared" ref="Q409:Q416" si="142">SUM(E409:P409)</f>
        <v>61920</v>
      </c>
      <c r="R409" s="284" t="s">
        <v>766</v>
      </c>
      <c r="S409" s="272"/>
      <c r="T409" s="272"/>
      <c r="U409" s="272"/>
    </row>
    <row r="410" spans="1:21">
      <c r="A410" s="282" t="s">
        <v>782</v>
      </c>
      <c r="B410" s="282"/>
      <c r="C410" s="268"/>
      <c r="D410" s="268"/>
      <c r="E410" s="283">
        <v>6299</v>
      </c>
      <c r="F410" s="283">
        <v>6299</v>
      </c>
      <c r="G410" s="283">
        <v>6299</v>
      </c>
      <c r="H410" s="283">
        <v>6299</v>
      </c>
      <c r="I410" s="283">
        <v>6299</v>
      </c>
      <c r="J410" s="283">
        <v>6299</v>
      </c>
      <c r="K410" s="283">
        <v>6299</v>
      </c>
      <c r="L410" s="283">
        <v>6299</v>
      </c>
      <c r="M410" s="283">
        <v>6299</v>
      </c>
      <c r="N410" s="283">
        <v>6299</v>
      </c>
      <c r="O410" s="283">
        <v>6299</v>
      </c>
      <c r="P410" s="283">
        <v>6299</v>
      </c>
      <c r="Q410" s="270">
        <f t="shared" si="142"/>
        <v>75588</v>
      </c>
      <c r="R410" s="284" t="s">
        <v>766</v>
      </c>
      <c r="S410" s="272"/>
      <c r="T410" s="272"/>
      <c r="U410" s="272"/>
    </row>
    <row r="411" spans="1:21">
      <c r="A411" s="285" t="s">
        <v>783</v>
      </c>
      <c r="B411" s="285"/>
      <c r="C411" s="273" t="s">
        <v>784</v>
      </c>
      <c r="D411" s="273"/>
      <c r="E411" s="286"/>
      <c r="F411" s="286"/>
      <c r="G411" s="286"/>
      <c r="H411" s="286"/>
      <c r="I411" s="286"/>
      <c r="J411" s="286"/>
      <c r="K411" s="286"/>
      <c r="L411" s="286"/>
      <c r="M411" s="286"/>
      <c r="N411" s="286"/>
      <c r="O411" s="286"/>
      <c r="P411" s="286"/>
      <c r="Q411" s="270">
        <f t="shared" si="142"/>
        <v>0</v>
      </c>
      <c r="R411" s="287"/>
      <c r="S411" s="288"/>
      <c r="T411" s="288"/>
      <c r="U411" s="288"/>
    </row>
    <row r="412" spans="1:21">
      <c r="A412" s="268" t="s">
        <v>785</v>
      </c>
      <c r="B412" s="268"/>
      <c r="C412" s="273" t="s">
        <v>784</v>
      </c>
      <c r="D412" s="273"/>
      <c r="E412" s="269"/>
      <c r="F412" s="289"/>
      <c r="G412" s="289"/>
      <c r="H412" s="289"/>
      <c r="I412" s="289"/>
      <c r="J412" s="289"/>
      <c r="K412" s="289"/>
      <c r="L412" s="289"/>
      <c r="M412" s="289"/>
      <c r="N412" s="289"/>
      <c r="O412" s="289"/>
      <c r="P412" s="289"/>
      <c r="Q412" s="270">
        <f t="shared" si="142"/>
        <v>0</v>
      </c>
      <c r="R412" s="271"/>
      <c r="S412" s="272"/>
      <c r="T412" s="272"/>
      <c r="U412" s="272"/>
    </row>
    <row r="413" spans="1:21">
      <c r="A413" s="268" t="s">
        <v>786</v>
      </c>
      <c r="B413" s="268"/>
      <c r="C413" s="273" t="s">
        <v>787</v>
      </c>
      <c r="D413" s="273"/>
      <c r="E413" s="269">
        <v>4000</v>
      </c>
      <c r="F413" s="269">
        <v>4000</v>
      </c>
      <c r="G413" s="269">
        <v>4000</v>
      </c>
      <c r="H413" s="269">
        <v>4000</v>
      </c>
      <c r="I413" s="269">
        <v>4000</v>
      </c>
      <c r="J413" s="269">
        <v>4000</v>
      </c>
      <c r="K413" s="269">
        <v>4000</v>
      </c>
      <c r="L413" s="269">
        <v>4000</v>
      </c>
      <c r="M413" s="269">
        <v>4000</v>
      </c>
      <c r="N413" s="269">
        <v>4000</v>
      </c>
      <c r="O413" s="269">
        <v>4000</v>
      </c>
      <c r="P413" s="269">
        <v>4000</v>
      </c>
      <c r="Q413" s="270">
        <f t="shared" si="142"/>
        <v>48000</v>
      </c>
      <c r="R413" s="284" t="s">
        <v>766</v>
      </c>
      <c r="S413" s="272"/>
      <c r="T413" s="272"/>
      <c r="U413" s="272"/>
    </row>
    <row r="414" spans="1:21" ht="39" customHeight="1">
      <c r="A414" s="290" t="s">
        <v>788</v>
      </c>
      <c r="B414" s="290"/>
      <c r="C414" s="291" t="s">
        <v>789</v>
      </c>
      <c r="D414" s="291"/>
      <c r="E414" s="292">
        <v>20000</v>
      </c>
      <c r="F414" s="292">
        <v>20000</v>
      </c>
      <c r="G414" s="292">
        <v>20000</v>
      </c>
      <c r="H414" s="292">
        <v>20000</v>
      </c>
      <c r="I414" s="292">
        <v>20000</v>
      </c>
      <c r="J414" s="292">
        <v>20000</v>
      </c>
      <c r="K414" s="292">
        <v>20000</v>
      </c>
      <c r="L414" s="292">
        <v>20000</v>
      </c>
      <c r="M414" s="292">
        <v>20000</v>
      </c>
      <c r="N414" s="292">
        <v>20000</v>
      </c>
      <c r="O414" s="292">
        <v>20000</v>
      </c>
      <c r="P414" s="292">
        <v>20000</v>
      </c>
      <c r="Q414" s="270">
        <f t="shared" si="142"/>
        <v>240000</v>
      </c>
      <c r="R414" s="284" t="s">
        <v>790</v>
      </c>
      <c r="S414" s="293"/>
      <c r="T414" s="272"/>
      <c r="U414" s="272"/>
    </row>
    <row r="415" spans="1:21" s="258" customFormat="1">
      <c r="A415" s="290" t="s">
        <v>791</v>
      </c>
      <c r="B415" s="290"/>
      <c r="C415" s="294" t="s">
        <v>792</v>
      </c>
      <c r="D415" s="294"/>
      <c r="E415" s="292">
        <v>70000</v>
      </c>
      <c r="F415" s="292">
        <v>70000</v>
      </c>
      <c r="G415" s="292">
        <v>70000</v>
      </c>
      <c r="H415" s="292">
        <v>70000</v>
      </c>
      <c r="I415" s="292">
        <v>70000</v>
      </c>
      <c r="J415" s="292">
        <v>70000</v>
      </c>
      <c r="K415" s="292">
        <v>70000</v>
      </c>
      <c r="L415" s="292">
        <v>70000</v>
      </c>
      <c r="M415" s="292">
        <v>70000</v>
      </c>
      <c r="N415" s="292">
        <v>70000</v>
      </c>
      <c r="O415" s="292">
        <v>70000</v>
      </c>
      <c r="P415" s="292">
        <v>70000</v>
      </c>
      <c r="Q415" s="276">
        <f t="shared" si="142"/>
        <v>840000</v>
      </c>
      <c r="R415" s="284" t="s">
        <v>790</v>
      </c>
      <c r="S415" s="295"/>
      <c r="T415" s="278"/>
      <c r="U415" s="278"/>
    </row>
    <row r="416" spans="1:21" s="258" customFormat="1">
      <c r="A416" s="296" t="s">
        <v>793</v>
      </c>
      <c r="B416" s="296"/>
      <c r="C416" s="294" t="s">
        <v>794</v>
      </c>
      <c r="D416" s="294"/>
      <c r="E416" s="297">
        <f t="shared" ref="E416:P416" si="143">E515</f>
        <v>0</v>
      </c>
      <c r="F416" s="297">
        <f t="shared" si="143"/>
        <v>0</v>
      </c>
      <c r="G416" s="297">
        <f t="shared" si="143"/>
        <v>5360</v>
      </c>
      <c r="H416" s="297">
        <f t="shared" si="143"/>
        <v>5360</v>
      </c>
      <c r="I416" s="297">
        <f t="shared" si="143"/>
        <v>5360</v>
      </c>
      <c r="J416" s="297">
        <f t="shared" si="143"/>
        <v>5360</v>
      </c>
      <c r="K416" s="297">
        <f t="shared" si="143"/>
        <v>5360</v>
      </c>
      <c r="L416" s="297">
        <f t="shared" si="143"/>
        <v>5360</v>
      </c>
      <c r="M416" s="297">
        <f t="shared" si="143"/>
        <v>5360</v>
      </c>
      <c r="N416" s="297">
        <f t="shared" si="143"/>
        <v>5360</v>
      </c>
      <c r="O416" s="297">
        <f t="shared" si="143"/>
        <v>5360</v>
      </c>
      <c r="P416" s="297">
        <f t="shared" si="143"/>
        <v>5360</v>
      </c>
      <c r="Q416" s="276">
        <f t="shared" si="142"/>
        <v>53600</v>
      </c>
      <c r="R416" s="284" t="s">
        <v>766</v>
      </c>
      <c r="S416" s="278"/>
      <c r="T416" s="278"/>
      <c r="U416" s="278"/>
    </row>
    <row r="417" spans="1:22">
      <c r="A417" s="279" t="s">
        <v>19</v>
      </c>
      <c r="B417" s="279"/>
      <c r="C417" s="279"/>
      <c r="D417" s="279"/>
      <c r="E417" s="298">
        <f t="shared" ref="E417:Q417" si="144">SUM(E409:E416)</f>
        <v>105459</v>
      </c>
      <c r="F417" s="280">
        <f t="shared" si="144"/>
        <v>105459</v>
      </c>
      <c r="G417" s="280">
        <f t="shared" si="144"/>
        <v>110819</v>
      </c>
      <c r="H417" s="280">
        <f t="shared" si="144"/>
        <v>110819</v>
      </c>
      <c r="I417" s="280">
        <f t="shared" si="144"/>
        <v>110819</v>
      </c>
      <c r="J417" s="280">
        <f t="shared" si="144"/>
        <v>110819</v>
      </c>
      <c r="K417" s="280">
        <f t="shared" si="144"/>
        <v>110819</v>
      </c>
      <c r="L417" s="280">
        <f t="shared" si="144"/>
        <v>110819</v>
      </c>
      <c r="M417" s="280">
        <f t="shared" si="144"/>
        <v>110819</v>
      </c>
      <c r="N417" s="280">
        <f t="shared" si="144"/>
        <v>110819</v>
      </c>
      <c r="O417" s="280">
        <f t="shared" si="144"/>
        <v>110819</v>
      </c>
      <c r="P417" s="280">
        <f t="shared" si="144"/>
        <v>110819</v>
      </c>
      <c r="Q417" s="280">
        <f t="shared" si="144"/>
        <v>1319108</v>
      </c>
    </row>
    <row r="418" spans="1:22">
      <c r="A418" s="244"/>
      <c r="B418" s="244"/>
      <c r="C418" s="244"/>
      <c r="D418" s="244"/>
      <c r="E418" s="245"/>
      <c r="F418" s="245"/>
      <c r="G418" s="245"/>
      <c r="H418" s="245"/>
      <c r="I418" s="245"/>
      <c r="J418" s="245"/>
      <c r="K418" s="245"/>
      <c r="L418" s="245"/>
      <c r="M418" s="245"/>
      <c r="N418" s="245"/>
      <c r="O418" s="245"/>
      <c r="P418" s="245"/>
      <c r="Q418" s="245"/>
    </row>
    <row r="419" spans="1:22">
      <c r="A419" s="246" t="s">
        <v>795</v>
      </c>
      <c r="B419" s="246"/>
      <c r="C419" s="246"/>
      <c r="D419" s="246"/>
      <c r="E419" s="247" t="s">
        <v>759</v>
      </c>
      <c r="F419" s="247" t="s">
        <v>759</v>
      </c>
      <c r="G419" s="247" t="s">
        <v>759</v>
      </c>
      <c r="H419" s="247" t="s">
        <v>759</v>
      </c>
      <c r="I419" s="247" t="s">
        <v>759</v>
      </c>
      <c r="J419" s="247"/>
      <c r="K419" s="247"/>
      <c r="L419" s="247"/>
      <c r="M419" s="247"/>
      <c r="N419" s="247"/>
      <c r="O419" s="247"/>
      <c r="P419" s="247"/>
      <c r="Q419" s="281" t="s">
        <v>757</v>
      </c>
    </row>
    <row r="420" spans="1:22">
      <c r="A420" s="264" t="s">
        <v>0</v>
      </c>
      <c r="B420" s="264"/>
      <c r="C420" s="264"/>
      <c r="D420" s="264"/>
      <c r="E420" s="265">
        <v>45658</v>
      </c>
      <c r="F420" s="265">
        <v>45689</v>
      </c>
      <c r="G420" s="266">
        <v>45717</v>
      </c>
      <c r="H420" s="265">
        <v>45748</v>
      </c>
      <c r="I420" s="265">
        <v>45778</v>
      </c>
      <c r="J420" s="266">
        <v>45809</v>
      </c>
      <c r="K420" s="265">
        <v>45839</v>
      </c>
      <c r="L420" s="265">
        <v>45870</v>
      </c>
      <c r="M420" s="266">
        <v>45901</v>
      </c>
      <c r="N420" s="265">
        <v>45931</v>
      </c>
      <c r="O420" s="265">
        <v>45962</v>
      </c>
      <c r="P420" s="265">
        <v>45992</v>
      </c>
      <c r="Q420" s="267" t="s">
        <v>698</v>
      </c>
      <c r="S420" s="171" t="s">
        <v>796</v>
      </c>
    </row>
    <row r="421" spans="1:22">
      <c r="A421" s="268" t="s">
        <v>797</v>
      </c>
      <c r="B421" s="268"/>
      <c r="C421" s="268"/>
      <c r="D421" s="268"/>
      <c r="E421" s="269"/>
      <c r="F421" s="289"/>
      <c r="G421" s="289"/>
      <c r="H421" s="289"/>
      <c r="I421" s="289"/>
      <c r="J421" s="289"/>
      <c r="K421" s="289"/>
      <c r="L421" s="289"/>
      <c r="M421" s="289"/>
      <c r="N421" s="289"/>
      <c r="O421" s="289"/>
      <c r="P421" s="289"/>
      <c r="Q421" s="270">
        <f>SUM(E421:P421)</f>
        <v>0</v>
      </c>
    </row>
    <row r="422" spans="1:22">
      <c r="A422" s="262" t="s">
        <v>798</v>
      </c>
      <c r="B422" s="262"/>
      <c r="C422" s="262" t="s">
        <v>799</v>
      </c>
      <c r="D422" s="262"/>
      <c r="E422" s="289">
        <v>268000</v>
      </c>
      <c r="F422" s="289">
        <v>268000</v>
      </c>
      <c r="G422" s="289">
        <v>268000</v>
      </c>
      <c r="H422" s="289">
        <v>268000</v>
      </c>
      <c r="I422" s="289">
        <v>268000</v>
      </c>
      <c r="J422" s="289">
        <v>268000</v>
      </c>
      <c r="K422" s="289">
        <v>268000</v>
      </c>
      <c r="L422" s="289">
        <v>268000</v>
      </c>
      <c r="M422" s="289">
        <v>268000</v>
      </c>
      <c r="N422" s="289">
        <v>268000</v>
      </c>
      <c r="O422" s="289">
        <v>268000</v>
      </c>
      <c r="P422" s="289">
        <v>268000</v>
      </c>
      <c r="Q422" s="270">
        <f>SUM(E422:P422)</f>
        <v>3216000</v>
      </c>
      <c r="V422" s="221"/>
    </row>
    <row r="423" spans="1:22">
      <c r="A423" s="262"/>
      <c r="B423" s="262"/>
      <c r="C423" s="262"/>
      <c r="D423" s="262"/>
      <c r="E423" s="289"/>
      <c r="F423" s="289"/>
      <c r="G423" s="289"/>
      <c r="H423" s="289"/>
      <c r="I423" s="289"/>
      <c r="J423" s="289"/>
      <c r="K423" s="289"/>
      <c r="L423" s="289"/>
      <c r="M423" s="289"/>
      <c r="N423" s="289"/>
      <c r="O423" s="289"/>
      <c r="P423" s="289"/>
      <c r="Q423" s="270">
        <f>SUM(E423:P423)</f>
        <v>0</v>
      </c>
    </row>
    <row r="424" spans="1:22">
      <c r="A424" s="279" t="s">
        <v>19</v>
      </c>
      <c r="B424" s="279"/>
      <c r="C424" s="279"/>
      <c r="D424" s="279"/>
      <c r="E424" s="280">
        <f t="shared" ref="E424:Q424" si="145">SUM(E421:E423)</f>
        <v>268000</v>
      </c>
      <c r="F424" s="280">
        <f t="shared" si="145"/>
        <v>268000</v>
      </c>
      <c r="G424" s="280">
        <f t="shared" si="145"/>
        <v>268000</v>
      </c>
      <c r="H424" s="280">
        <f t="shared" si="145"/>
        <v>268000</v>
      </c>
      <c r="I424" s="280">
        <f t="shared" si="145"/>
        <v>268000</v>
      </c>
      <c r="J424" s="280">
        <f t="shared" si="145"/>
        <v>268000</v>
      </c>
      <c r="K424" s="280">
        <f t="shared" si="145"/>
        <v>268000</v>
      </c>
      <c r="L424" s="280">
        <f t="shared" si="145"/>
        <v>268000</v>
      </c>
      <c r="M424" s="280">
        <f t="shared" si="145"/>
        <v>268000</v>
      </c>
      <c r="N424" s="280">
        <f t="shared" si="145"/>
        <v>268000</v>
      </c>
      <c r="O424" s="280">
        <f t="shared" si="145"/>
        <v>268000</v>
      </c>
      <c r="P424" s="280">
        <f t="shared" si="145"/>
        <v>268000</v>
      </c>
      <c r="Q424" s="280">
        <f t="shared" si="145"/>
        <v>3216000</v>
      </c>
    </row>
    <row r="425" spans="1:22">
      <c r="A425" s="244"/>
      <c r="B425" s="244"/>
      <c r="C425" s="244"/>
      <c r="D425" s="244"/>
      <c r="E425" s="245"/>
      <c r="F425" s="245"/>
      <c r="G425" s="245"/>
      <c r="H425" s="245"/>
      <c r="I425" s="245"/>
      <c r="J425" s="245"/>
      <c r="K425" s="245"/>
      <c r="L425" s="245"/>
      <c r="M425" s="245"/>
      <c r="N425" s="245"/>
      <c r="O425" s="245"/>
      <c r="P425" s="245"/>
      <c r="Q425" s="245"/>
    </row>
    <row r="426" spans="1:22">
      <c r="A426" s="246" t="s">
        <v>800</v>
      </c>
      <c r="B426" s="246"/>
      <c r="C426" s="246"/>
      <c r="D426" s="246"/>
      <c r="E426" s="247"/>
      <c r="F426" s="247"/>
      <c r="G426" s="247"/>
      <c r="H426" s="247"/>
      <c r="I426" s="247"/>
      <c r="J426" s="247"/>
      <c r="K426" s="247"/>
      <c r="L426" s="247"/>
      <c r="M426" s="247"/>
      <c r="N426" s="247"/>
      <c r="O426" s="247"/>
      <c r="P426" s="247"/>
      <c r="Q426" s="281" t="s">
        <v>757</v>
      </c>
    </row>
    <row r="427" spans="1:22">
      <c r="A427" s="264" t="s">
        <v>0</v>
      </c>
      <c r="B427" s="264"/>
      <c r="C427" s="264"/>
      <c r="D427" s="264"/>
      <c r="E427" s="265">
        <v>45658</v>
      </c>
      <c r="F427" s="265">
        <v>45689</v>
      </c>
      <c r="G427" s="266">
        <v>45717</v>
      </c>
      <c r="H427" s="265">
        <v>45748</v>
      </c>
      <c r="I427" s="265">
        <v>45778</v>
      </c>
      <c r="J427" s="266">
        <v>45809</v>
      </c>
      <c r="K427" s="265">
        <v>45839</v>
      </c>
      <c r="L427" s="265">
        <v>45870</v>
      </c>
      <c r="M427" s="266">
        <v>45901</v>
      </c>
      <c r="N427" s="265">
        <v>45931</v>
      </c>
      <c r="O427" s="265">
        <v>45962</v>
      </c>
      <c r="P427" s="265">
        <v>45992</v>
      </c>
      <c r="Q427" s="267" t="s">
        <v>698</v>
      </c>
    </row>
    <row r="428" spans="1:22">
      <c r="A428" s="262" t="s">
        <v>801</v>
      </c>
      <c r="B428" s="262"/>
      <c r="C428" s="262"/>
      <c r="D428" s="262"/>
      <c r="E428" s="299"/>
      <c r="F428" s="269"/>
      <c r="G428" s="299"/>
      <c r="H428" s="299"/>
      <c r="I428" s="299"/>
      <c r="J428" s="299">
        <v>7881</v>
      </c>
      <c r="K428" s="299"/>
      <c r="L428" s="299"/>
      <c r="M428" s="299">
        <v>2627</v>
      </c>
      <c r="N428" s="299"/>
      <c r="O428" s="299"/>
      <c r="P428" s="299"/>
      <c r="Q428" s="270">
        <f>SUM(E428:P428)</f>
        <v>10508</v>
      </c>
    </row>
    <row r="429" spans="1:22">
      <c r="A429" s="262" t="s">
        <v>802</v>
      </c>
      <c r="B429" s="262"/>
      <c r="C429" s="262"/>
      <c r="D429" s="262"/>
      <c r="E429" s="299"/>
      <c r="F429" s="269"/>
      <c r="G429" s="299"/>
      <c r="H429" s="299">
        <v>0</v>
      </c>
      <c r="I429" s="299"/>
      <c r="J429" s="299"/>
      <c r="K429" s="299"/>
      <c r="L429" s="299"/>
      <c r="M429" s="299"/>
      <c r="N429" s="299"/>
      <c r="O429" s="299"/>
      <c r="P429" s="299"/>
      <c r="Q429" s="270">
        <f>SUM(E429:P429)</f>
        <v>0</v>
      </c>
    </row>
    <row r="430" spans="1:22">
      <c r="A430" s="262" t="s">
        <v>803</v>
      </c>
      <c r="B430" s="262"/>
      <c r="C430" s="262"/>
      <c r="D430" s="262"/>
      <c r="E430" s="299"/>
      <c r="F430" s="299"/>
      <c r="G430" s="299">
        <v>1030</v>
      </c>
      <c r="H430" s="299"/>
      <c r="I430" s="299"/>
      <c r="J430" s="299"/>
      <c r="K430" s="299"/>
      <c r="L430" s="299"/>
      <c r="M430" s="299"/>
      <c r="N430" s="299"/>
      <c r="O430" s="299"/>
      <c r="P430" s="299"/>
      <c r="Q430" s="270">
        <f>SUM(E430:P430)</f>
        <v>1030</v>
      </c>
    </row>
    <row r="431" spans="1:22">
      <c r="A431" s="262" t="s">
        <v>804</v>
      </c>
      <c r="B431" s="262"/>
      <c r="C431" s="262"/>
      <c r="D431" s="262"/>
      <c r="E431" s="299"/>
      <c r="F431" s="299"/>
      <c r="G431" s="299"/>
      <c r="H431" s="299"/>
      <c r="I431" s="299"/>
      <c r="J431" s="299"/>
      <c r="K431" s="299"/>
      <c r="L431" s="299"/>
      <c r="M431" s="299"/>
      <c r="N431" s="299"/>
      <c r="O431" s="299"/>
      <c r="P431" s="299"/>
      <c r="Q431" s="270">
        <f>SUM(E431:P431)</f>
        <v>0</v>
      </c>
    </row>
    <row r="432" spans="1:22">
      <c r="A432" s="262" t="s">
        <v>805</v>
      </c>
      <c r="B432" s="262"/>
      <c r="C432" s="262"/>
      <c r="D432" s="262"/>
      <c r="E432" s="299"/>
      <c r="F432" s="269"/>
      <c r="G432" s="299"/>
      <c r="H432" s="299"/>
      <c r="I432" s="299"/>
      <c r="J432" s="300"/>
      <c r="K432" s="299"/>
      <c r="L432" s="299"/>
      <c r="M432" s="299"/>
      <c r="N432" s="299"/>
      <c r="O432" s="299"/>
      <c r="P432" s="299"/>
      <c r="Q432" s="270">
        <f>SUM(E432:P432)</f>
        <v>0</v>
      </c>
      <c r="R432" s="171" t="s">
        <v>806</v>
      </c>
    </row>
    <row r="433" spans="1:19">
      <c r="A433" s="279" t="s">
        <v>19</v>
      </c>
      <c r="B433" s="279"/>
      <c r="C433" s="279"/>
      <c r="D433" s="279"/>
      <c r="E433" s="301">
        <f t="shared" ref="E433:Q433" si="146">SUM(E428:E432)</f>
        <v>0</v>
      </c>
      <c r="F433" s="302">
        <f t="shared" si="146"/>
        <v>0</v>
      </c>
      <c r="G433" s="302">
        <f t="shared" si="146"/>
        <v>1030</v>
      </c>
      <c r="H433" s="302">
        <f t="shared" si="146"/>
        <v>0</v>
      </c>
      <c r="I433" s="302">
        <f t="shared" si="146"/>
        <v>0</v>
      </c>
      <c r="J433" s="302">
        <f t="shared" si="146"/>
        <v>7881</v>
      </c>
      <c r="K433" s="302">
        <f t="shared" si="146"/>
        <v>0</v>
      </c>
      <c r="L433" s="302">
        <f t="shared" si="146"/>
        <v>0</v>
      </c>
      <c r="M433" s="302">
        <f t="shared" si="146"/>
        <v>2627</v>
      </c>
      <c r="N433" s="302">
        <f t="shared" si="146"/>
        <v>0</v>
      </c>
      <c r="O433" s="302">
        <f t="shared" si="146"/>
        <v>0</v>
      </c>
      <c r="P433" s="302">
        <f t="shared" si="146"/>
        <v>0</v>
      </c>
      <c r="Q433" s="302">
        <f t="shared" si="146"/>
        <v>11538</v>
      </c>
    </row>
    <row r="434" spans="1:19">
      <c r="A434" s="244"/>
      <c r="B434" s="244"/>
      <c r="C434" s="244"/>
      <c r="D434" s="244"/>
      <c r="E434" s="245">
        <f>E433/80</f>
        <v>0</v>
      </c>
      <c r="F434" s="245">
        <f>F433/80</f>
        <v>0</v>
      </c>
      <c r="G434" s="245">
        <f>G433/80</f>
        <v>12.875</v>
      </c>
      <c r="H434" s="245">
        <f>H433/80</f>
        <v>0</v>
      </c>
      <c r="I434" s="245"/>
      <c r="J434" s="245"/>
      <c r="K434" s="245"/>
      <c r="L434" s="245"/>
      <c r="M434" s="245"/>
      <c r="N434" s="245"/>
      <c r="O434" s="245"/>
      <c r="P434" s="245"/>
      <c r="Q434" s="245"/>
    </row>
    <row r="435" spans="1:19">
      <c r="A435" s="244"/>
      <c r="B435" s="244"/>
      <c r="C435" s="244"/>
      <c r="D435" s="244"/>
      <c r="E435" s="245"/>
      <c r="F435" s="245"/>
      <c r="G435" s="245"/>
      <c r="H435" s="245"/>
      <c r="I435" s="245"/>
      <c r="J435" s="245"/>
      <c r="K435" s="245"/>
      <c r="L435" s="245"/>
      <c r="M435" s="245"/>
      <c r="N435" s="245"/>
      <c r="O435" s="245"/>
      <c r="P435" s="245"/>
      <c r="Q435" s="245"/>
    </row>
    <row r="436" spans="1:19">
      <c r="A436" s="246" t="s">
        <v>807</v>
      </c>
      <c r="B436" s="246"/>
      <c r="C436" s="246"/>
      <c r="D436" s="246"/>
      <c r="E436" s="247"/>
      <c r="F436" s="247"/>
      <c r="G436" s="247"/>
      <c r="H436" s="247"/>
      <c r="I436" s="303"/>
      <c r="J436" s="247"/>
      <c r="K436" s="247"/>
      <c r="L436" s="247"/>
      <c r="M436" s="247"/>
      <c r="N436" s="247"/>
      <c r="O436" s="247"/>
      <c r="P436" s="247"/>
      <c r="Q436" s="281" t="s">
        <v>757</v>
      </c>
    </row>
    <row r="437" spans="1:19">
      <c r="A437" s="264" t="s">
        <v>0</v>
      </c>
      <c r="B437" s="264"/>
      <c r="C437" s="264"/>
      <c r="D437" s="264"/>
      <c r="E437" s="265">
        <v>45658</v>
      </c>
      <c r="F437" s="265">
        <v>45689</v>
      </c>
      <c r="G437" s="266">
        <v>45717</v>
      </c>
      <c r="H437" s="265">
        <v>45748</v>
      </c>
      <c r="I437" s="265">
        <v>45778</v>
      </c>
      <c r="J437" s="266">
        <v>45809</v>
      </c>
      <c r="K437" s="265">
        <v>45839</v>
      </c>
      <c r="L437" s="265">
        <v>45870</v>
      </c>
      <c r="M437" s="266">
        <v>45901</v>
      </c>
      <c r="N437" s="265">
        <v>45931</v>
      </c>
      <c r="O437" s="265">
        <v>45962</v>
      </c>
      <c r="P437" s="265">
        <v>45992</v>
      </c>
      <c r="Q437" s="267" t="s">
        <v>698</v>
      </c>
    </row>
    <row r="438" spans="1:19" s="258" customFormat="1">
      <c r="A438" s="304" t="s">
        <v>596</v>
      </c>
      <c r="B438" s="304"/>
      <c r="C438" s="304"/>
      <c r="D438" s="304"/>
      <c r="E438" s="305">
        <v>10000</v>
      </c>
      <c r="F438" s="305">
        <v>10000</v>
      </c>
      <c r="G438" s="305">
        <v>10000</v>
      </c>
      <c r="H438" s="305">
        <v>10000</v>
      </c>
      <c r="I438" s="305">
        <v>10000</v>
      </c>
      <c r="J438" s="305">
        <v>10000</v>
      </c>
      <c r="K438" s="305">
        <v>10000</v>
      </c>
      <c r="L438" s="305">
        <v>10000</v>
      </c>
      <c r="M438" s="305">
        <v>10000</v>
      </c>
      <c r="N438" s="305">
        <v>10000</v>
      </c>
      <c r="O438" s="305">
        <v>10000</v>
      </c>
      <c r="P438" s="305">
        <v>10000</v>
      </c>
      <c r="Q438" s="276">
        <f>SUM(E438:P438)</f>
        <v>120000</v>
      </c>
    </row>
    <row r="439" spans="1:19" s="258" customFormat="1">
      <c r="A439" s="304" t="s">
        <v>808</v>
      </c>
      <c r="B439" s="304"/>
      <c r="C439" s="304"/>
      <c r="D439" s="304"/>
      <c r="E439" s="305">
        <f t="shared" ref="E439:P439" si="147">E511</f>
        <v>0</v>
      </c>
      <c r="F439" s="305">
        <f t="shared" si="147"/>
        <v>0</v>
      </c>
      <c r="G439" s="305">
        <f t="shared" si="147"/>
        <v>0</v>
      </c>
      <c r="H439" s="305">
        <f t="shared" si="147"/>
        <v>0</v>
      </c>
      <c r="I439" s="305">
        <f t="shared" si="147"/>
        <v>0</v>
      </c>
      <c r="J439" s="305">
        <f t="shared" si="147"/>
        <v>0</v>
      </c>
      <c r="K439" s="305">
        <f t="shared" si="147"/>
        <v>0</v>
      </c>
      <c r="L439" s="305">
        <f t="shared" si="147"/>
        <v>0</v>
      </c>
      <c r="M439" s="305">
        <f t="shared" si="147"/>
        <v>0</v>
      </c>
      <c r="N439" s="305">
        <f t="shared" si="147"/>
        <v>0</v>
      </c>
      <c r="O439" s="305">
        <f t="shared" si="147"/>
        <v>0</v>
      </c>
      <c r="P439" s="305">
        <f t="shared" si="147"/>
        <v>0</v>
      </c>
      <c r="Q439" s="276">
        <f>SUM(E439:P439)</f>
        <v>0</v>
      </c>
    </row>
    <row r="440" spans="1:19">
      <c r="A440" s="306" t="s">
        <v>809</v>
      </c>
      <c r="B440" s="306"/>
      <c r="C440" s="306"/>
      <c r="D440" s="306"/>
      <c r="E440" s="307">
        <v>25000</v>
      </c>
      <c r="F440" s="307">
        <v>25000</v>
      </c>
      <c r="G440" s="307">
        <v>25000</v>
      </c>
      <c r="H440" s="307">
        <v>25000</v>
      </c>
      <c r="I440" s="307">
        <v>25000</v>
      </c>
      <c r="J440" s="307">
        <v>25000</v>
      </c>
      <c r="K440" s="307">
        <v>25000</v>
      </c>
      <c r="L440" s="307">
        <v>25000</v>
      </c>
      <c r="M440" s="307">
        <v>25000</v>
      </c>
      <c r="N440" s="307">
        <v>25000</v>
      </c>
      <c r="O440" s="307">
        <v>25000</v>
      </c>
      <c r="P440" s="307">
        <v>25000</v>
      </c>
      <c r="Q440" s="270">
        <f>SUM(E440:P440)</f>
        <v>300000</v>
      </c>
    </row>
    <row r="441" spans="1:19">
      <c r="A441" s="308" t="s">
        <v>19</v>
      </c>
      <c r="B441" s="308"/>
      <c r="C441" s="308"/>
      <c r="D441" s="308"/>
      <c r="E441" s="309">
        <f t="shared" ref="E441:Q441" si="148">SUM(E438:E440)</f>
        <v>35000</v>
      </c>
      <c r="F441" s="309">
        <f t="shared" si="148"/>
        <v>35000</v>
      </c>
      <c r="G441" s="309">
        <f t="shared" si="148"/>
        <v>35000</v>
      </c>
      <c r="H441" s="309">
        <f t="shared" si="148"/>
        <v>35000</v>
      </c>
      <c r="I441" s="309">
        <f t="shared" si="148"/>
        <v>35000</v>
      </c>
      <c r="J441" s="309">
        <f t="shared" si="148"/>
        <v>35000</v>
      </c>
      <c r="K441" s="309">
        <f t="shared" si="148"/>
        <v>35000</v>
      </c>
      <c r="L441" s="309">
        <f t="shared" si="148"/>
        <v>35000</v>
      </c>
      <c r="M441" s="309">
        <f t="shared" si="148"/>
        <v>35000</v>
      </c>
      <c r="N441" s="309">
        <f t="shared" si="148"/>
        <v>35000</v>
      </c>
      <c r="O441" s="309">
        <f t="shared" si="148"/>
        <v>35000</v>
      </c>
      <c r="P441" s="309">
        <f t="shared" si="148"/>
        <v>35000</v>
      </c>
      <c r="Q441" s="309">
        <f t="shared" si="148"/>
        <v>420000</v>
      </c>
    </row>
    <row r="442" spans="1:19">
      <c r="A442" s="244"/>
      <c r="B442" s="244"/>
      <c r="C442" s="244"/>
      <c r="D442" s="244"/>
      <c r="E442" s="245"/>
      <c r="F442" s="245"/>
      <c r="G442" s="245"/>
      <c r="H442" s="245"/>
      <c r="I442" s="245"/>
      <c r="J442" s="245"/>
      <c r="K442" s="245"/>
      <c r="L442" s="245"/>
      <c r="M442" s="245"/>
      <c r="N442" s="245"/>
      <c r="O442" s="245"/>
      <c r="P442" s="245"/>
      <c r="Q442" s="245"/>
    </row>
    <row r="445" spans="1:19">
      <c r="A445" s="246" t="s">
        <v>90</v>
      </c>
      <c r="B445" s="246"/>
      <c r="C445" s="246"/>
      <c r="D445" s="246"/>
      <c r="E445" s="247"/>
      <c r="F445" s="247"/>
      <c r="G445" s="247"/>
      <c r="H445" s="247"/>
      <c r="I445" s="247"/>
      <c r="J445" s="247"/>
      <c r="K445" s="247"/>
      <c r="L445" s="247"/>
      <c r="M445" s="247"/>
      <c r="N445" s="247"/>
      <c r="O445" s="247"/>
      <c r="P445" s="247"/>
      <c r="Q445" s="281" t="s">
        <v>757</v>
      </c>
    </row>
    <row r="446" spans="1:19">
      <c r="A446" s="264" t="s">
        <v>0</v>
      </c>
      <c r="B446" s="264"/>
      <c r="C446" s="264"/>
      <c r="D446" s="264"/>
      <c r="E446" s="265">
        <v>45658</v>
      </c>
      <c r="F446" s="265">
        <v>45689</v>
      </c>
      <c r="G446" s="266">
        <v>45717</v>
      </c>
      <c r="H446" s="265">
        <v>45748</v>
      </c>
      <c r="I446" s="265">
        <v>45778</v>
      </c>
      <c r="J446" s="266">
        <v>45809</v>
      </c>
      <c r="K446" s="265">
        <v>45839</v>
      </c>
      <c r="L446" s="265">
        <v>45870</v>
      </c>
      <c r="M446" s="266">
        <v>45901</v>
      </c>
      <c r="N446" s="265">
        <v>45931</v>
      </c>
      <c r="O446" s="265">
        <v>45962</v>
      </c>
      <c r="P446" s="265">
        <v>45992</v>
      </c>
      <c r="Q446" s="267" t="s">
        <v>698</v>
      </c>
      <c r="S446" s="171" t="s">
        <v>810</v>
      </c>
    </row>
    <row r="447" spans="1:19">
      <c r="A447" s="310" t="s">
        <v>745</v>
      </c>
      <c r="B447" s="310"/>
      <c r="C447" s="310"/>
      <c r="D447" s="310"/>
      <c r="E447" s="311">
        <f t="shared" ref="E447:P447" si="149">E519</f>
        <v>0</v>
      </c>
      <c r="F447" s="311">
        <f t="shared" si="149"/>
        <v>500000</v>
      </c>
      <c r="G447" s="311">
        <f t="shared" si="149"/>
        <v>0</v>
      </c>
      <c r="H447" s="311">
        <f t="shared" si="149"/>
        <v>0</v>
      </c>
      <c r="I447" s="311">
        <f t="shared" si="149"/>
        <v>0</v>
      </c>
      <c r="J447" s="311">
        <f t="shared" si="149"/>
        <v>0</v>
      </c>
      <c r="K447" s="311">
        <f t="shared" si="149"/>
        <v>0</v>
      </c>
      <c r="L447" s="311">
        <f t="shared" si="149"/>
        <v>0</v>
      </c>
      <c r="M447" s="311">
        <f t="shared" si="149"/>
        <v>0</v>
      </c>
      <c r="N447" s="311">
        <f t="shared" si="149"/>
        <v>0</v>
      </c>
      <c r="O447" s="311">
        <f t="shared" si="149"/>
        <v>0</v>
      </c>
      <c r="P447" s="311">
        <f t="shared" si="149"/>
        <v>0</v>
      </c>
      <c r="Q447" s="276">
        <f>SUM(E447:P447)</f>
        <v>500000</v>
      </c>
    </row>
    <row r="448" spans="1:19" s="258" customFormat="1">
      <c r="A448" s="304" t="s">
        <v>811</v>
      </c>
      <c r="B448" s="304"/>
      <c r="C448" s="304" t="s">
        <v>812</v>
      </c>
      <c r="D448" s="304"/>
      <c r="E448" s="305"/>
      <c r="F448" s="305"/>
      <c r="G448" s="305"/>
      <c r="H448" s="305">
        <v>43333.333333333299</v>
      </c>
      <c r="I448" s="305">
        <v>44500</v>
      </c>
      <c r="J448" s="305">
        <v>44500</v>
      </c>
      <c r="K448" s="305">
        <v>44500</v>
      </c>
      <c r="L448" s="305">
        <v>44500</v>
      </c>
      <c r="M448" s="305">
        <v>44500</v>
      </c>
      <c r="N448" s="305">
        <v>47500</v>
      </c>
      <c r="O448" s="305">
        <v>47500</v>
      </c>
      <c r="P448" s="305">
        <v>47500</v>
      </c>
      <c r="Q448" s="276">
        <f>SUM(E448:P448)</f>
        <v>408333.33333333331</v>
      </c>
    </row>
    <row r="449" spans="1:20">
      <c r="A449" s="310"/>
      <c r="B449" s="310"/>
      <c r="C449" s="310"/>
      <c r="D449" s="310"/>
      <c r="E449" s="311"/>
      <c r="F449" s="311"/>
      <c r="G449" s="311"/>
      <c r="H449" s="311"/>
      <c r="I449" s="311"/>
      <c r="J449" s="311"/>
      <c r="K449" s="311"/>
      <c r="L449" s="311"/>
      <c r="M449" s="311"/>
      <c r="N449" s="311"/>
      <c r="O449" s="311"/>
      <c r="P449" s="311"/>
      <c r="Q449" s="270"/>
    </row>
    <row r="450" spans="1:20">
      <c r="A450" s="310"/>
      <c r="B450" s="310"/>
      <c r="C450" s="310"/>
      <c r="D450" s="310"/>
      <c r="E450" s="311"/>
      <c r="F450" s="311"/>
      <c r="G450" s="311"/>
      <c r="H450" s="311"/>
      <c r="I450" s="311"/>
      <c r="J450" s="311"/>
      <c r="K450" s="311"/>
      <c r="L450" s="311"/>
      <c r="M450" s="311"/>
      <c r="N450" s="311"/>
      <c r="O450" s="311"/>
      <c r="P450" s="311"/>
      <c r="Q450" s="270"/>
    </row>
    <row r="451" spans="1:20">
      <c r="A451" s="306"/>
      <c r="B451" s="306"/>
      <c r="C451" s="306"/>
      <c r="D451" s="306"/>
      <c r="E451" s="307"/>
      <c r="F451" s="307"/>
      <c r="G451" s="307"/>
      <c r="H451" s="307"/>
      <c r="I451" s="311"/>
      <c r="J451" s="311"/>
      <c r="K451" s="311"/>
      <c r="L451" s="311"/>
      <c r="M451" s="311"/>
      <c r="N451" s="311"/>
      <c r="O451" s="311"/>
      <c r="P451" s="311"/>
      <c r="Q451" s="270"/>
    </row>
    <row r="452" spans="1:20">
      <c r="A452" s="308" t="s">
        <v>19</v>
      </c>
      <c r="B452" s="308"/>
      <c r="C452" s="308"/>
      <c r="D452" s="308"/>
      <c r="E452" s="312">
        <f t="shared" ref="E452:Q452" si="150">SUM(E447:E451)</f>
        <v>0</v>
      </c>
      <c r="F452" s="312">
        <f t="shared" si="150"/>
        <v>500000</v>
      </c>
      <c r="G452" s="312">
        <f t="shared" si="150"/>
        <v>0</v>
      </c>
      <c r="H452" s="312">
        <f t="shared" si="150"/>
        <v>43333.333333333299</v>
      </c>
      <c r="I452" s="312">
        <f t="shared" si="150"/>
        <v>44500</v>
      </c>
      <c r="J452" s="312">
        <f t="shared" si="150"/>
        <v>44500</v>
      </c>
      <c r="K452" s="312">
        <f t="shared" si="150"/>
        <v>44500</v>
      </c>
      <c r="L452" s="312">
        <f t="shared" si="150"/>
        <v>44500</v>
      </c>
      <c r="M452" s="312">
        <f t="shared" si="150"/>
        <v>44500</v>
      </c>
      <c r="N452" s="312">
        <f t="shared" si="150"/>
        <v>47500</v>
      </c>
      <c r="O452" s="312">
        <f t="shared" si="150"/>
        <v>47500</v>
      </c>
      <c r="P452" s="312">
        <f t="shared" si="150"/>
        <v>47500</v>
      </c>
      <c r="Q452" s="312">
        <f t="shared" si="150"/>
        <v>908333.33333333326</v>
      </c>
      <c r="R452" s="171">
        <v>130</v>
      </c>
      <c r="S452" s="221">
        <f>Q452/R452</f>
        <v>6987.1794871794864</v>
      </c>
      <c r="T452" s="221">
        <f>S452/12</f>
        <v>582.26495726495716</v>
      </c>
    </row>
    <row r="454" spans="1:20">
      <c r="A454" s="246" t="s">
        <v>813</v>
      </c>
      <c r="B454" s="246"/>
      <c r="C454" s="246"/>
      <c r="D454" s="246"/>
      <c r="E454" s="247"/>
      <c r="F454" s="247"/>
      <c r="G454" s="247"/>
      <c r="H454" s="247"/>
      <c r="I454" s="247"/>
      <c r="J454" s="247"/>
      <c r="K454" s="247"/>
      <c r="L454" s="247"/>
      <c r="M454" s="247"/>
      <c r="N454" s="247"/>
      <c r="O454" s="247"/>
      <c r="P454" s="247"/>
      <c r="Q454" s="281" t="s">
        <v>757</v>
      </c>
    </row>
    <row r="455" spans="1:20">
      <c r="A455" s="264" t="s">
        <v>0</v>
      </c>
      <c r="B455" s="264"/>
      <c r="C455" s="264"/>
      <c r="D455" s="264"/>
      <c r="E455" s="265">
        <v>45658</v>
      </c>
      <c r="F455" s="265">
        <v>45689</v>
      </c>
      <c r="G455" s="266">
        <v>45717</v>
      </c>
      <c r="H455" s="265">
        <v>45748</v>
      </c>
      <c r="I455" s="265">
        <v>45778</v>
      </c>
      <c r="J455" s="266">
        <v>45809</v>
      </c>
      <c r="K455" s="265">
        <v>45839</v>
      </c>
      <c r="L455" s="265">
        <v>45870</v>
      </c>
      <c r="M455" s="266">
        <v>45901</v>
      </c>
      <c r="N455" s="265">
        <v>45931</v>
      </c>
      <c r="O455" s="265">
        <v>45962</v>
      </c>
      <c r="P455" s="265">
        <v>45992</v>
      </c>
      <c r="Q455" s="267" t="s">
        <v>698</v>
      </c>
      <c r="S455" s="171" t="s">
        <v>810</v>
      </c>
    </row>
    <row r="456" spans="1:20">
      <c r="A456" s="310" t="s">
        <v>745</v>
      </c>
      <c r="B456" s="310"/>
      <c r="C456" s="310"/>
      <c r="D456" s="310"/>
      <c r="E456" s="311">
        <f t="shared" ref="E456:P456" si="151">E528</f>
        <v>0</v>
      </c>
      <c r="F456" s="311">
        <f t="shared" si="151"/>
        <v>0</v>
      </c>
      <c r="G456" s="311">
        <f t="shared" si="151"/>
        <v>0</v>
      </c>
      <c r="H456" s="311">
        <f t="shared" si="151"/>
        <v>0</v>
      </c>
      <c r="I456" s="311">
        <f t="shared" si="151"/>
        <v>0</v>
      </c>
      <c r="J456" s="311">
        <f t="shared" si="151"/>
        <v>0</v>
      </c>
      <c r="K456" s="311">
        <f t="shared" si="151"/>
        <v>0</v>
      </c>
      <c r="L456" s="311">
        <f t="shared" si="151"/>
        <v>0</v>
      </c>
      <c r="M456" s="311">
        <f t="shared" si="151"/>
        <v>0</v>
      </c>
      <c r="N456" s="311">
        <f t="shared" si="151"/>
        <v>0</v>
      </c>
      <c r="O456" s="311">
        <f t="shared" si="151"/>
        <v>0</v>
      </c>
      <c r="P456" s="311">
        <f t="shared" si="151"/>
        <v>0</v>
      </c>
      <c r="Q456" s="276">
        <f>SUM(E456:P456)</f>
        <v>0</v>
      </c>
    </row>
    <row r="457" spans="1:20" s="258" customFormat="1">
      <c r="A457" s="304" t="s">
        <v>811</v>
      </c>
      <c r="B457" s="304"/>
      <c r="C457" s="304" t="s">
        <v>812</v>
      </c>
      <c r="D457" s="304"/>
      <c r="E457" s="305" t="e">
        <v>#REF!</v>
      </c>
      <c r="F457" s="305" t="e">
        <v>#REF!</v>
      </c>
      <c r="G457" s="305" t="e">
        <v>#REF!</v>
      </c>
      <c r="H457" s="305" t="e">
        <v>#REF!</v>
      </c>
      <c r="I457" s="305" t="e">
        <v>#REF!</v>
      </c>
      <c r="J457" s="305" t="e">
        <v>#REF!</v>
      </c>
      <c r="K457" s="305" t="e">
        <v>#REF!</v>
      </c>
      <c r="L457" s="305" t="e">
        <v>#REF!</v>
      </c>
      <c r="M457" s="305" t="e">
        <v>#REF!</v>
      </c>
      <c r="N457" s="305" t="e">
        <v>#REF!</v>
      </c>
      <c r="O457" s="305" t="e">
        <v>#REF!</v>
      </c>
      <c r="P457" s="305" t="e">
        <v>#REF!</v>
      </c>
      <c r="Q457" s="276" t="e">
        <f>SUM(E457:P457)</f>
        <v>#REF!</v>
      </c>
    </row>
    <row r="458" spans="1:20">
      <c r="A458" s="310"/>
      <c r="B458" s="310"/>
      <c r="C458" s="310"/>
      <c r="D458" s="310"/>
      <c r="E458" s="311"/>
      <c r="F458" s="311"/>
      <c r="G458" s="311"/>
      <c r="H458" s="311"/>
      <c r="I458" s="311"/>
      <c r="J458" s="311"/>
      <c r="K458" s="311"/>
      <c r="L458" s="311"/>
      <c r="M458" s="311"/>
      <c r="N458" s="311"/>
      <c r="O458" s="311"/>
      <c r="P458" s="311"/>
      <c r="Q458" s="270"/>
    </row>
    <row r="459" spans="1:20">
      <c r="A459" s="310"/>
      <c r="B459" s="310"/>
      <c r="C459" s="310"/>
      <c r="D459" s="310"/>
      <c r="E459" s="311"/>
      <c r="F459" s="311"/>
      <c r="G459" s="311"/>
      <c r="H459" s="311"/>
      <c r="I459" s="311"/>
      <c r="J459" s="311"/>
      <c r="K459" s="311"/>
      <c r="L459" s="311"/>
      <c r="M459" s="311"/>
      <c r="N459" s="311"/>
      <c r="O459" s="311"/>
      <c r="P459" s="311"/>
      <c r="Q459" s="270"/>
    </row>
    <row r="460" spans="1:20">
      <c r="A460" s="306"/>
      <c r="B460" s="306"/>
      <c r="C460" s="306"/>
      <c r="D460" s="306"/>
      <c r="E460" s="307"/>
      <c r="F460" s="307"/>
      <c r="G460" s="307"/>
      <c r="H460" s="307"/>
      <c r="I460" s="311"/>
      <c r="J460" s="311"/>
      <c r="K460" s="311"/>
      <c r="L460" s="311"/>
      <c r="M460" s="311"/>
      <c r="N460" s="311"/>
      <c r="O460" s="311"/>
      <c r="P460" s="311"/>
      <c r="Q460" s="270"/>
    </row>
    <row r="461" spans="1:20">
      <c r="A461" s="308" t="s">
        <v>19</v>
      </c>
      <c r="B461" s="308"/>
      <c r="C461" s="308"/>
      <c r="D461" s="308"/>
      <c r="E461" s="312" t="e">
        <f t="shared" ref="E461:Q461" si="152">SUM(E456:E460)</f>
        <v>#REF!</v>
      </c>
      <c r="F461" s="312" t="e">
        <f t="shared" si="152"/>
        <v>#REF!</v>
      </c>
      <c r="G461" s="312" t="e">
        <f t="shared" si="152"/>
        <v>#REF!</v>
      </c>
      <c r="H461" s="312" t="e">
        <f t="shared" si="152"/>
        <v>#REF!</v>
      </c>
      <c r="I461" s="312" t="e">
        <f t="shared" si="152"/>
        <v>#REF!</v>
      </c>
      <c r="J461" s="312" t="e">
        <f t="shared" si="152"/>
        <v>#REF!</v>
      </c>
      <c r="K461" s="312" t="e">
        <f t="shared" si="152"/>
        <v>#REF!</v>
      </c>
      <c r="L461" s="312" t="e">
        <f t="shared" si="152"/>
        <v>#REF!</v>
      </c>
      <c r="M461" s="312" t="e">
        <f t="shared" si="152"/>
        <v>#REF!</v>
      </c>
      <c r="N461" s="312" t="e">
        <f t="shared" si="152"/>
        <v>#REF!</v>
      </c>
      <c r="O461" s="312" t="e">
        <f t="shared" si="152"/>
        <v>#REF!</v>
      </c>
      <c r="P461" s="312" t="e">
        <f t="shared" si="152"/>
        <v>#REF!</v>
      </c>
      <c r="Q461" s="312" t="e">
        <f t="shared" si="152"/>
        <v>#REF!</v>
      </c>
      <c r="R461" s="171">
        <v>130</v>
      </c>
      <c r="S461" s="221" t="e">
        <f>Q461/R461</f>
        <v>#REF!</v>
      </c>
      <c r="T461" s="221" t="e">
        <f>S461/12</f>
        <v>#REF!</v>
      </c>
    </row>
    <row r="462" spans="1:20">
      <c r="A462" s="244"/>
      <c r="B462" s="244"/>
      <c r="C462" s="244"/>
      <c r="D462" s="244"/>
      <c r="E462" s="252"/>
      <c r="F462" s="252"/>
      <c r="G462" s="252"/>
      <c r="H462" s="252"/>
      <c r="I462" s="252"/>
      <c r="J462" s="252"/>
      <c r="K462" s="252"/>
      <c r="L462" s="252"/>
      <c r="M462" s="252"/>
      <c r="N462" s="252"/>
      <c r="O462" s="252"/>
      <c r="P462" s="252"/>
      <c r="Q462" s="252"/>
      <c r="S462" s="221"/>
      <c r="T462" s="221"/>
    </row>
    <row r="463" spans="1:20">
      <c r="A463" s="246" t="s">
        <v>814</v>
      </c>
      <c r="B463" s="246"/>
      <c r="C463" s="246"/>
      <c r="D463" s="246"/>
      <c r="E463" s="247"/>
      <c r="F463" s="247"/>
      <c r="G463" s="247"/>
      <c r="H463" s="247"/>
      <c r="I463" s="247"/>
      <c r="J463" s="247"/>
      <c r="K463" s="247"/>
      <c r="L463" s="247"/>
      <c r="M463" s="247"/>
      <c r="N463" s="247"/>
      <c r="O463" s="247"/>
      <c r="P463" s="247"/>
      <c r="Q463" s="281" t="s">
        <v>757</v>
      </c>
    </row>
    <row r="464" spans="1:20">
      <c r="A464" s="264" t="s">
        <v>0</v>
      </c>
      <c r="B464" s="264"/>
      <c r="C464" s="264"/>
      <c r="D464" s="264"/>
      <c r="E464" s="265">
        <v>45658</v>
      </c>
      <c r="F464" s="265">
        <v>45689</v>
      </c>
      <c r="G464" s="266">
        <v>45717</v>
      </c>
      <c r="H464" s="265">
        <v>45748</v>
      </c>
      <c r="I464" s="265">
        <v>45778</v>
      </c>
      <c r="J464" s="266">
        <v>45809</v>
      </c>
      <c r="K464" s="265">
        <v>45839</v>
      </c>
      <c r="L464" s="265">
        <v>45870</v>
      </c>
      <c r="M464" s="266">
        <v>45901</v>
      </c>
      <c r="N464" s="265">
        <v>45931</v>
      </c>
      <c r="O464" s="265">
        <v>45962</v>
      </c>
      <c r="P464" s="265">
        <v>45992</v>
      </c>
      <c r="Q464" s="267" t="s">
        <v>698</v>
      </c>
      <c r="S464" s="171" t="s">
        <v>810</v>
      </c>
    </row>
    <row r="465" spans="1:23" s="258" customFormat="1">
      <c r="A465" s="304" t="s">
        <v>815</v>
      </c>
      <c r="B465" s="304"/>
      <c r="C465" s="304">
        <v>350</v>
      </c>
      <c r="D465" s="304"/>
      <c r="E465" s="305"/>
      <c r="F465" s="305"/>
      <c r="G465" s="305"/>
      <c r="H465" s="305"/>
      <c r="I465" s="305"/>
      <c r="J465" s="305"/>
      <c r="K465" s="305"/>
      <c r="L465" s="305"/>
      <c r="M465" s="305"/>
      <c r="N465" s="305"/>
      <c r="O465" s="305"/>
      <c r="P465" s="305"/>
      <c r="Q465" s="276">
        <f>SUM(E465:P465)</f>
        <v>0</v>
      </c>
      <c r="R465" s="313"/>
      <c r="S465" s="313"/>
    </row>
    <row r="466" spans="1:23" s="258" customFormat="1">
      <c r="A466" s="304" t="s">
        <v>816</v>
      </c>
      <c r="B466" s="304"/>
      <c r="C466" s="304"/>
      <c r="D466" s="304"/>
      <c r="E466" s="314"/>
      <c r="F466" s="314"/>
      <c r="G466" s="314"/>
      <c r="H466" s="314"/>
      <c r="I466" s="314"/>
      <c r="J466" s="314"/>
      <c r="K466" s="314"/>
      <c r="L466" s="314"/>
      <c r="M466" s="314"/>
      <c r="N466" s="314">
        <v>600000</v>
      </c>
      <c r="O466" s="314"/>
      <c r="P466" s="314"/>
      <c r="Q466" s="315">
        <f>SUM(E466:P466)</f>
        <v>600000</v>
      </c>
      <c r="R466" s="316" t="s">
        <v>817</v>
      </c>
      <c r="S466" s="316"/>
      <c r="T466" s="316"/>
      <c r="U466" s="316"/>
      <c r="V466" s="316"/>
      <c r="W466" s="316"/>
    </row>
    <row r="467" spans="1:23">
      <c r="A467" s="306" t="s">
        <v>818</v>
      </c>
      <c r="B467" s="306"/>
      <c r="C467" s="306"/>
      <c r="D467" s="306"/>
      <c r="E467" s="317">
        <f t="shared" ref="E467:P467" si="153">E517</f>
        <v>0</v>
      </c>
      <c r="F467" s="317">
        <f t="shared" si="153"/>
        <v>0</v>
      </c>
      <c r="G467" s="317">
        <f t="shared" si="153"/>
        <v>0</v>
      </c>
      <c r="H467" s="317">
        <f t="shared" si="153"/>
        <v>0</v>
      </c>
      <c r="I467" s="317">
        <f t="shared" si="153"/>
        <v>0</v>
      </c>
      <c r="J467" s="317">
        <f t="shared" si="153"/>
        <v>0</v>
      </c>
      <c r="K467" s="317">
        <f t="shared" si="153"/>
        <v>0</v>
      </c>
      <c r="L467" s="317">
        <f t="shared" si="153"/>
        <v>0</v>
      </c>
      <c r="M467" s="317">
        <f t="shared" si="153"/>
        <v>0</v>
      </c>
      <c r="N467" s="317">
        <f t="shared" si="153"/>
        <v>0</v>
      </c>
      <c r="O467" s="317">
        <f t="shared" si="153"/>
        <v>0</v>
      </c>
      <c r="P467" s="317">
        <f t="shared" si="153"/>
        <v>0</v>
      </c>
      <c r="Q467" s="270">
        <f>SUM(E467:P467)</f>
        <v>0</v>
      </c>
    </row>
    <row r="468" spans="1:23">
      <c r="A468" s="308" t="s">
        <v>19</v>
      </c>
      <c r="B468" s="308"/>
      <c r="C468" s="308"/>
      <c r="D468" s="308"/>
      <c r="E468" s="312">
        <f>SUM(E465:E467)</f>
        <v>0</v>
      </c>
      <c r="F468" s="312">
        <f>SUM(F465:F467)</f>
        <v>0</v>
      </c>
      <c r="G468" s="312">
        <f>SUM(G465:G467)</f>
        <v>0</v>
      </c>
      <c r="H468" s="312">
        <f>SUM(H465:H467)</f>
        <v>0</v>
      </c>
      <c r="I468" s="312">
        <f>SUM(I465:I467)</f>
        <v>0</v>
      </c>
      <c r="J468" s="312">
        <f>SUM(J466:J467)</f>
        <v>0</v>
      </c>
      <c r="K468" s="312">
        <f t="shared" ref="K468:Q468" si="154">SUM(K465:K467)</f>
        <v>0</v>
      </c>
      <c r="L468" s="312">
        <f t="shared" si="154"/>
        <v>0</v>
      </c>
      <c r="M468" s="312">
        <f t="shared" si="154"/>
        <v>0</v>
      </c>
      <c r="N468" s="312">
        <f t="shared" si="154"/>
        <v>600000</v>
      </c>
      <c r="O468" s="312">
        <f t="shared" si="154"/>
        <v>0</v>
      </c>
      <c r="P468" s="312">
        <f t="shared" si="154"/>
        <v>0</v>
      </c>
      <c r="Q468" s="312">
        <f t="shared" si="154"/>
        <v>600000</v>
      </c>
      <c r="S468" s="240"/>
    </row>
    <row r="470" spans="1:23" s="258" customFormat="1">
      <c r="A470" s="318" t="s">
        <v>819</v>
      </c>
      <c r="B470" s="318"/>
      <c r="C470" s="318"/>
      <c r="D470" s="318"/>
      <c r="E470" s="319"/>
      <c r="F470" s="319"/>
      <c r="G470" s="319"/>
      <c r="H470" s="319"/>
      <c r="I470" s="319"/>
      <c r="J470" s="319"/>
      <c r="K470" s="319"/>
      <c r="L470" s="319"/>
      <c r="M470" s="319"/>
      <c r="N470" s="319"/>
      <c r="O470" s="319"/>
      <c r="P470" s="319"/>
      <c r="Q470" s="320" t="s">
        <v>757</v>
      </c>
    </row>
    <row r="471" spans="1:23">
      <c r="A471" s="264" t="s">
        <v>0</v>
      </c>
      <c r="B471" s="264"/>
      <c r="C471" s="264"/>
      <c r="D471" s="264"/>
      <c r="E471" s="265">
        <v>45658</v>
      </c>
      <c r="F471" s="265">
        <v>45689</v>
      </c>
      <c r="G471" s="266">
        <v>45717</v>
      </c>
      <c r="H471" s="265">
        <v>45748</v>
      </c>
      <c r="I471" s="265">
        <v>45778</v>
      </c>
      <c r="J471" s="266">
        <v>45809</v>
      </c>
      <c r="K471" s="265">
        <v>45839</v>
      </c>
      <c r="L471" s="265">
        <v>45870</v>
      </c>
      <c r="M471" s="266">
        <v>45901</v>
      </c>
      <c r="N471" s="265">
        <v>45931</v>
      </c>
      <c r="O471" s="265">
        <v>45962</v>
      </c>
      <c r="P471" s="265">
        <v>45992</v>
      </c>
      <c r="Q471" s="267" t="s">
        <v>698</v>
      </c>
      <c r="S471" s="171" t="s">
        <v>820</v>
      </c>
    </row>
    <row r="472" spans="1:23">
      <c r="A472" s="321"/>
      <c r="B472" s="321"/>
      <c r="C472" s="321"/>
      <c r="D472" s="321"/>
      <c r="E472" s="322"/>
      <c r="F472" s="323"/>
      <c r="G472" s="311"/>
      <c r="H472" s="311"/>
      <c r="I472" s="270"/>
      <c r="J472" s="323"/>
      <c r="K472" s="311"/>
      <c r="L472" s="324"/>
      <c r="M472" s="325"/>
      <c r="N472" s="326"/>
      <c r="O472" s="326"/>
      <c r="P472" s="326"/>
      <c r="Q472" s="270"/>
    </row>
    <row r="473" spans="1:23">
      <c r="A473" s="321"/>
      <c r="B473" s="321"/>
      <c r="C473" s="321"/>
      <c r="D473" s="321"/>
      <c r="E473" s="322"/>
      <c r="F473" s="323"/>
      <c r="G473" s="311"/>
      <c r="H473" s="311"/>
      <c r="I473" s="270"/>
      <c r="J473" s="323"/>
      <c r="K473" s="311"/>
      <c r="L473" s="326"/>
      <c r="M473" s="326"/>
      <c r="N473" s="326"/>
      <c r="O473" s="326"/>
      <c r="P473" s="326"/>
      <c r="Q473" s="270"/>
    </row>
    <row r="474" spans="1:23">
      <c r="A474" s="327"/>
      <c r="B474" s="327"/>
      <c r="C474" s="327"/>
      <c r="D474" s="327"/>
      <c r="E474" s="328"/>
      <c r="F474" s="329"/>
      <c r="G474" s="307"/>
      <c r="H474" s="307"/>
      <c r="I474" s="270"/>
      <c r="J474" s="323"/>
      <c r="K474" s="311"/>
      <c r="L474" s="326"/>
      <c r="M474" s="270"/>
      <c r="N474" s="270"/>
      <c r="O474" s="270"/>
      <c r="P474" s="270"/>
      <c r="Q474" s="270"/>
    </row>
    <row r="475" spans="1:23">
      <c r="A475" s="308" t="s">
        <v>19</v>
      </c>
      <c r="B475" s="308"/>
      <c r="C475" s="308"/>
      <c r="D475" s="308"/>
      <c r="E475" s="312">
        <f t="shared" ref="E475:Q475" si="155">SUM(E472:E474)</f>
        <v>0</v>
      </c>
      <c r="F475" s="330">
        <f t="shared" si="155"/>
        <v>0</v>
      </c>
      <c r="G475" s="312">
        <f t="shared" si="155"/>
        <v>0</v>
      </c>
      <c r="H475" s="312">
        <f t="shared" si="155"/>
        <v>0</v>
      </c>
      <c r="I475" s="312">
        <f t="shared" si="155"/>
        <v>0</v>
      </c>
      <c r="J475" s="330">
        <f t="shared" si="155"/>
        <v>0</v>
      </c>
      <c r="K475" s="312">
        <f t="shared" si="155"/>
        <v>0</v>
      </c>
      <c r="L475" s="331">
        <f t="shared" si="155"/>
        <v>0</v>
      </c>
      <c r="M475" s="312">
        <f t="shared" si="155"/>
        <v>0</v>
      </c>
      <c r="N475" s="312">
        <f t="shared" si="155"/>
        <v>0</v>
      </c>
      <c r="O475" s="312">
        <f t="shared" si="155"/>
        <v>0</v>
      </c>
      <c r="P475" s="312">
        <f t="shared" si="155"/>
        <v>0</v>
      </c>
      <c r="Q475" s="312">
        <f t="shared" si="155"/>
        <v>0</v>
      </c>
    </row>
    <row r="477" spans="1:23">
      <c r="A477" s="238" t="s">
        <v>84</v>
      </c>
    </row>
    <row r="478" spans="1:23">
      <c r="A478" s="264" t="s">
        <v>0</v>
      </c>
      <c r="B478" s="264"/>
      <c r="C478" s="264"/>
      <c r="D478" s="264"/>
      <c r="E478" s="265">
        <v>45658</v>
      </c>
      <c r="F478" s="265">
        <v>45689</v>
      </c>
      <c r="G478" s="266">
        <v>45717</v>
      </c>
      <c r="H478" s="265">
        <v>45748</v>
      </c>
      <c r="I478" s="265">
        <v>45778</v>
      </c>
      <c r="J478" s="266">
        <v>45809</v>
      </c>
      <c r="K478" s="265">
        <v>45839</v>
      </c>
      <c r="L478" s="265">
        <v>45870</v>
      </c>
      <c r="M478" s="266">
        <v>45901</v>
      </c>
      <c r="N478" s="265">
        <v>45931</v>
      </c>
      <c r="O478" s="265">
        <v>45962</v>
      </c>
      <c r="P478" s="265">
        <v>45992</v>
      </c>
      <c r="Q478" s="267" t="s">
        <v>698</v>
      </c>
    </row>
    <row r="479" spans="1:23">
      <c r="A479" s="310" t="s">
        <v>821</v>
      </c>
      <c r="B479" s="310"/>
      <c r="C479" s="310"/>
      <c r="D479" s="310"/>
      <c r="E479" s="311"/>
      <c r="F479" s="311"/>
      <c r="G479" s="261"/>
      <c r="H479" s="311"/>
      <c r="I479" s="270"/>
      <c r="J479" s="323"/>
      <c r="K479" s="311"/>
      <c r="L479" s="326"/>
      <c r="M479" s="325">
        <v>97940</v>
      </c>
      <c r="N479" s="326"/>
      <c r="O479" s="326"/>
      <c r="P479" s="326"/>
      <c r="Q479" s="270">
        <f>SUM(E479:P479)</f>
        <v>97940</v>
      </c>
    </row>
    <row r="480" spans="1:23">
      <c r="A480" s="310"/>
      <c r="B480" s="310"/>
      <c r="C480" s="310"/>
      <c r="D480" s="310"/>
      <c r="E480" s="311"/>
      <c r="F480" s="311"/>
      <c r="G480" s="261"/>
      <c r="H480" s="311"/>
      <c r="I480" s="270"/>
      <c r="J480" s="323"/>
      <c r="K480" s="311"/>
      <c r="L480" s="326"/>
      <c r="M480" s="326"/>
      <c r="N480" s="326"/>
      <c r="O480" s="326"/>
      <c r="P480" s="326"/>
      <c r="Q480" s="270">
        <f>SUM(E480:P480)</f>
        <v>0</v>
      </c>
    </row>
    <row r="481" spans="1:20">
      <c r="A481" s="306"/>
      <c r="B481" s="306"/>
      <c r="C481" s="306"/>
      <c r="D481" s="306"/>
      <c r="E481" s="307"/>
      <c r="F481" s="307"/>
      <c r="G481" s="332"/>
      <c r="H481" s="307"/>
      <c r="I481" s="270"/>
      <c r="J481" s="323"/>
      <c r="K481" s="311"/>
      <c r="L481" s="326"/>
      <c r="M481" s="270"/>
      <c r="N481" s="270"/>
      <c r="O481" s="270"/>
      <c r="P481" s="270"/>
      <c r="Q481" s="270"/>
    </row>
    <row r="482" spans="1:20">
      <c r="A482" s="308" t="s">
        <v>19</v>
      </c>
      <c r="B482" s="308"/>
      <c r="C482" s="308"/>
      <c r="D482" s="308"/>
      <c r="E482" s="312">
        <f t="shared" ref="E482:N482" si="156">SUM(E479:E481)</f>
        <v>0</v>
      </c>
      <c r="F482" s="312">
        <f t="shared" si="156"/>
        <v>0</v>
      </c>
      <c r="G482" s="331">
        <f t="shared" si="156"/>
        <v>0</v>
      </c>
      <c r="H482" s="312">
        <f t="shared" si="156"/>
        <v>0</v>
      </c>
      <c r="I482" s="312">
        <f t="shared" si="156"/>
        <v>0</v>
      </c>
      <c r="J482" s="330">
        <f t="shared" si="156"/>
        <v>0</v>
      </c>
      <c r="K482" s="312">
        <f t="shared" si="156"/>
        <v>0</v>
      </c>
      <c r="L482" s="331">
        <f t="shared" si="156"/>
        <v>0</v>
      </c>
      <c r="M482" s="312">
        <f t="shared" si="156"/>
        <v>97940</v>
      </c>
      <c r="N482" s="312">
        <f t="shared" si="156"/>
        <v>0</v>
      </c>
      <c r="O482" s="312"/>
      <c r="P482" s="312"/>
      <c r="Q482" s="312">
        <f>SUM(Q479:Q481)</f>
        <v>97940</v>
      </c>
    </row>
    <row r="484" spans="1:20">
      <c r="A484" s="238" t="s">
        <v>822</v>
      </c>
    </row>
    <row r="485" spans="1:20">
      <c r="A485" s="264" t="s">
        <v>0</v>
      </c>
      <c r="B485" s="264"/>
      <c r="C485" s="264"/>
      <c r="D485" s="264"/>
      <c r="E485" s="265">
        <v>45658</v>
      </c>
      <c r="F485" s="265">
        <v>45689</v>
      </c>
      <c r="G485" s="266">
        <v>45717</v>
      </c>
      <c r="H485" s="265">
        <v>45748</v>
      </c>
      <c r="I485" s="265">
        <v>45778</v>
      </c>
      <c r="J485" s="266">
        <v>45809</v>
      </c>
      <c r="K485" s="265">
        <v>45839</v>
      </c>
      <c r="L485" s="265">
        <v>45870</v>
      </c>
      <c r="M485" s="266">
        <v>45901</v>
      </c>
      <c r="N485" s="265">
        <v>45931</v>
      </c>
      <c r="O485" s="265">
        <v>45962</v>
      </c>
      <c r="P485" s="265">
        <v>45992</v>
      </c>
      <c r="Q485" s="267" t="s">
        <v>698</v>
      </c>
    </row>
    <row r="486" spans="1:20">
      <c r="A486" s="310" t="s">
        <v>823</v>
      </c>
      <c r="B486" s="310"/>
      <c r="C486" s="310"/>
      <c r="D486" s="310"/>
      <c r="E486" s="314"/>
      <c r="F486" s="314"/>
      <c r="G486" s="314"/>
      <c r="H486" s="314"/>
      <c r="I486" s="314"/>
      <c r="J486" s="314"/>
      <c r="K486" s="314"/>
      <c r="L486" s="314"/>
      <c r="M486" s="314"/>
      <c r="N486" s="314"/>
      <c r="O486" s="314"/>
      <c r="P486" s="314"/>
      <c r="Q486" s="270">
        <f>SUM(E486:P486)</f>
        <v>0</v>
      </c>
      <c r="R486" s="316" t="s">
        <v>824</v>
      </c>
      <c r="S486" s="316"/>
      <c r="T486" s="316"/>
    </row>
    <row r="487" spans="1:20">
      <c r="A487" s="310"/>
      <c r="B487" s="310"/>
      <c r="C487" s="310"/>
      <c r="D487" s="310"/>
      <c r="E487" s="311"/>
      <c r="F487" s="311"/>
      <c r="G487" s="261"/>
      <c r="H487" s="311"/>
      <c r="I487" s="270"/>
      <c r="J487" s="323"/>
      <c r="K487" s="311"/>
      <c r="L487" s="326"/>
      <c r="M487" s="326"/>
      <c r="N487" s="326"/>
      <c r="O487" s="326"/>
      <c r="P487" s="326"/>
      <c r="Q487" s="270">
        <f>SUM(E487:P487)</f>
        <v>0</v>
      </c>
    </row>
    <row r="488" spans="1:20">
      <c r="A488" s="306"/>
      <c r="B488" s="306"/>
      <c r="C488" s="306"/>
      <c r="D488" s="306"/>
      <c r="E488" s="307"/>
      <c r="F488" s="307"/>
      <c r="G488" s="332"/>
      <c r="H488" s="307"/>
      <c r="I488" s="270"/>
      <c r="J488" s="323"/>
      <c r="K488" s="311"/>
      <c r="L488" s="326"/>
      <c r="M488" s="270"/>
      <c r="N488" s="270"/>
      <c r="O488" s="270"/>
      <c r="P488" s="270"/>
      <c r="Q488" s="270"/>
    </row>
    <row r="489" spans="1:20">
      <c r="A489" s="308" t="s">
        <v>19</v>
      </c>
      <c r="B489" s="308"/>
      <c r="C489" s="308"/>
      <c r="D489" s="308"/>
      <c r="E489" s="309">
        <f t="shared" ref="E489:N489" si="157">SUM(E486:E488)</f>
        <v>0</v>
      </c>
      <c r="F489" s="309">
        <f t="shared" si="157"/>
        <v>0</v>
      </c>
      <c r="G489" s="333">
        <f t="shared" si="157"/>
        <v>0</v>
      </c>
      <c r="H489" s="309">
        <f t="shared" si="157"/>
        <v>0</v>
      </c>
      <c r="I489" s="309">
        <f t="shared" si="157"/>
        <v>0</v>
      </c>
      <c r="J489" s="334">
        <f t="shared" si="157"/>
        <v>0</v>
      </c>
      <c r="K489" s="309">
        <f t="shared" si="157"/>
        <v>0</v>
      </c>
      <c r="L489" s="333">
        <f t="shared" si="157"/>
        <v>0</v>
      </c>
      <c r="M489" s="309">
        <f t="shared" si="157"/>
        <v>0</v>
      </c>
      <c r="N489" s="309">
        <f t="shared" si="157"/>
        <v>0</v>
      </c>
      <c r="O489" s="309"/>
      <c r="P489" s="309"/>
      <c r="Q489" s="309">
        <f>SUM(Q486:Q488)</f>
        <v>0</v>
      </c>
    </row>
    <row r="491" spans="1:20">
      <c r="A491" s="238" t="s">
        <v>825</v>
      </c>
    </row>
    <row r="492" spans="1:20">
      <c r="A492" s="264" t="s">
        <v>0</v>
      </c>
      <c r="B492" s="264"/>
      <c r="C492" s="264"/>
      <c r="D492" s="264"/>
      <c r="E492" s="265">
        <v>45658</v>
      </c>
      <c r="F492" s="265">
        <v>45689</v>
      </c>
      <c r="G492" s="266">
        <v>45717</v>
      </c>
      <c r="H492" s="265">
        <v>45748</v>
      </c>
      <c r="I492" s="265">
        <v>45778</v>
      </c>
      <c r="J492" s="266">
        <v>45809</v>
      </c>
      <c r="K492" s="265">
        <v>45839</v>
      </c>
      <c r="L492" s="265">
        <v>45870</v>
      </c>
      <c r="M492" s="266">
        <v>45901</v>
      </c>
      <c r="N492" s="265">
        <v>45931</v>
      </c>
      <c r="O492" s="265">
        <v>45962</v>
      </c>
      <c r="P492" s="265">
        <v>45992</v>
      </c>
      <c r="Q492" s="267" t="s">
        <v>698</v>
      </c>
    </row>
    <row r="493" spans="1:20">
      <c r="A493" s="310" t="s">
        <v>826</v>
      </c>
      <c r="B493" s="310"/>
      <c r="C493" s="310"/>
      <c r="D493" s="310"/>
      <c r="E493" s="335">
        <v>174090</v>
      </c>
      <c r="F493" s="335">
        <v>174090</v>
      </c>
      <c r="G493" s="314">
        <f t="shared" ref="G493:P493" si="158">174090+(369*84)</f>
        <v>205086</v>
      </c>
      <c r="H493" s="314">
        <f t="shared" si="158"/>
        <v>205086</v>
      </c>
      <c r="I493" s="314">
        <f t="shared" si="158"/>
        <v>205086</v>
      </c>
      <c r="J493" s="314">
        <f t="shared" si="158"/>
        <v>205086</v>
      </c>
      <c r="K493" s="314">
        <f t="shared" si="158"/>
        <v>205086</v>
      </c>
      <c r="L493" s="314">
        <f t="shared" si="158"/>
        <v>205086</v>
      </c>
      <c r="M493" s="314">
        <f t="shared" si="158"/>
        <v>205086</v>
      </c>
      <c r="N493" s="314">
        <f t="shared" si="158"/>
        <v>205086</v>
      </c>
      <c r="O493" s="314">
        <f t="shared" si="158"/>
        <v>205086</v>
      </c>
      <c r="P493" s="314">
        <f t="shared" si="158"/>
        <v>205086</v>
      </c>
      <c r="Q493" s="315">
        <f>SUM(E493:P493)</f>
        <v>2399040</v>
      </c>
      <c r="R493" s="316" t="s">
        <v>827</v>
      </c>
    </row>
    <row r="494" spans="1:20">
      <c r="A494" s="310" t="s">
        <v>828</v>
      </c>
      <c r="B494" s="310"/>
      <c r="C494" s="310"/>
      <c r="D494" s="310"/>
      <c r="E494" s="314">
        <f t="shared" ref="E494:P494" si="159">1470.59*84</f>
        <v>123529.56</v>
      </c>
      <c r="F494" s="314">
        <f t="shared" si="159"/>
        <v>123529.56</v>
      </c>
      <c r="G494" s="314">
        <f t="shared" si="159"/>
        <v>123529.56</v>
      </c>
      <c r="H494" s="314">
        <f t="shared" si="159"/>
        <v>123529.56</v>
      </c>
      <c r="I494" s="314">
        <f t="shared" si="159"/>
        <v>123529.56</v>
      </c>
      <c r="J494" s="314">
        <f t="shared" si="159"/>
        <v>123529.56</v>
      </c>
      <c r="K494" s="314">
        <f t="shared" si="159"/>
        <v>123529.56</v>
      </c>
      <c r="L494" s="314">
        <f t="shared" si="159"/>
        <v>123529.56</v>
      </c>
      <c r="M494" s="314">
        <f t="shared" si="159"/>
        <v>123529.56</v>
      </c>
      <c r="N494" s="314">
        <f t="shared" si="159"/>
        <v>123529.56</v>
      </c>
      <c r="O494" s="314">
        <f t="shared" si="159"/>
        <v>123529.56</v>
      </c>
      <c r="P494" s="314">
        <f t="shared" si="159"/>
        <v>123529.56</v>
      </c>
      <c r="Q494" s="315">
        <f>SUM(E494:P494)</f>
        <v>1482354.7200000004</v>
      </c>
      <c r="R494" s="316" t="s">
        <v>829</v>
      </c>
    </row>
    <row r="495" spans="1:20">
      <c r="A495" s="310" t="s">
        <v>108</v>
      </c>
      <c r="B495" s="310"/>
      <c r="C495" s="310"/>
      <c r="D495" s="310"/>
      <c r="E495" s="314">
        <v>154000</v>
      </c>
      <c r="F495" s="314">
        <v>154000</v>
      </c>
      <c r="G495" s="314">
        <v>154000</v>
      </c>
      <c r="H495" s="314">
        <v>154000</v>
      </c>
      <c r="I495" s="314">
        <v>154000</v>
      </c>
      <c r="J495" s="314">
        <v>154000</v>
      </c>
      <c r="K495" s="314">
        <v>154000</v>
      </c>
      <c r="L495" s="314">
        <v>154000</v>
      </c>
      <c r="M495" s="314">
        <v>154000</v>
      </c>
      <c r="N495" s="314">
        <v>154000</v>
      </c>
      <c r="O495" s="314">
        <v>154000</v>
      </c>
      <c r="P495" s="314">
        <v>154000</v>
      </c>
      <c r="Q495" s="314">
        <v>154000</v>
      </c>
      <c r="R495" s="316" t="s">
        <v>829</v>
      </c>
    </row>
    <row r="496" spans="1:20">
      <c r="A496" s="308" t="s">
        <v>19</v>
      </c>
      <c r="B496" s="308"/>
      <c r="C496" s="308"/>
      <c r="D496" s="308"/>
      <c r="E496" s="312">
        <f t="shared" ref="E496:Q496" si="160">SUM(E493:E495)</f>
        <v>451619.56</v>
      </c>
      <c r="F496" s="312">
        <f t="shared" si="160"/>
        <v>451619.56</v>
      </c>
      <c r="G496" s="312">
        <f t="shared" si="160"/>
        <v>482615.56</v>
      </c>
      <c r="H496" s="312">
        <f t="shared" si="160"/>
        <v>482615.56</v>
      </c>
      <c r="I496" s="312">
        <f t="shared" si="160"/>
        <v>482615.56</v>
      </c>
      <c r="J496" s="312">
        <f t="shared" si="160"/>
        <v>482615.56</v>
      </c>
      <c r="K496" s="312">
        <f t="shared" si="160"/>
        <v>482615.56</v>
      </c>
      <c r="L496" s="312">
        <f t="shared" si="160"/>
        <v>482615.56</v>
      </c>
      <c r="M496" s="312">
        <f t="shared" si="160"/>
        <v>482615.56</v>
      </c>
      <c r="N496" s="312">
        <f t="shared" si="160"/>
        <v>482615.56</v>
      </c>
      <c r="O496" s="312">
        <f t="shared" si="160"/>
        <v>482615.56</v>
      </c>
      <c r="P496" s="312">
        <f t="shared" si="160"/>
        <v>482615.56</v>
      </c>
      <c r="Q496" s="309">
        <f t="shared" si="160"/>
        <v>4035394.7200000007</v>
      </c>
    </row>
    <row r="498" spans="1:33">
      <c r="A498" s="238" t="s">
        <v>830</v>
      </c>
    </row>
    <row r="499" spans="1:33">
      <c r="A499" s="264" t="s">
        <v>0</v>
      </c>
      <c r="B499" s="264"/>
      <c r="C499" s="264"/>
      <c r="D499" s="264"/>
      <c r="E499" s="265">
        <v>45658</v>
      </c>
      <c r="F499" s="265">
        <v>45689</v>
      </c>
      <c r="G499" s="266">
        <v>45717</v>
      </c>
      <c r="H499" s="265">
        <v>45748</v>
      </c>
      <c r="I499" s="265">
        <v>45778</v>
      </c>
      <c r="J499" s="266">
        <v>45809</v>
      </c>
      <c r="K499" s="265">
        <v>45839</v>
      </c>
      <c r="L499" s="265">
        <v>45870</v>
      </c>
      <c r="M499" s="266">
        <v>45901</v>
      </c>
      <c r="N499" s="265">
        <v>45931</v>
      </c>
      <c r="O499" s="265">
        <v>45962</v>
      </c>
      <c r="P499" s="265">
        <v>45992</v>
      </c>
      <c r="Q499" s="267" t="s">
        <v>698</v>
      </c>
    </row>
    <row r="500" spans="1:33">
      <c r="A500" s="336" t="s">
        <v>831</v>
      </c>
      <c r="B500" s="336"/>
      <c r="C500" s="336" t="s">
        <v>832</v>
      </c>
      <c r="D500" s="336"/>
      <c r="E500" s="337"/>
      <c r="F500" s="337"/>
      <c r="G500" s="314">
        <f>50000</f>
        <v>50000</v>
      </c>
      <c r="H500" s="314">
        <f>50000</f>
        <v>50000</v>
      </c>
      <c r="I500" s="314">
        <f>50000</f>
        <v>50000</v>
      </c>
      <c r="J500" s="314">
        <f>50000</f>
        <v>50000</v>
      </c>
      <c r="K500" s="314">
        <f>50000</f>
        <v>50000</v>
      </c>
      <c r="L500" s="314">
        <f>50000</f>
        <v>50000</v>
      </c>
      <c r="M500" s="314">
        <f>50000</f>
        <v>50000</v>
      </c>
      <c r="N500" s="314">
        <f>50000</f>
        <v>50000</v>
      </c>
      <c r="O500" s="314">
        <f>50000</f>
        <v>50000</v>
      </c>
      <c r="P500" s="314">
        <f>50000</f>
        <v>50000</v>
      </c>
      <c r="Q500" s="315">
        <f>SUM(E500:P500)</f>
        <v>500000</v>
      </c>
      <c r="R500" s="316" t="s">
        <v>833</v>
      </c>
    </row>
    <row r="501" spans="1:33">
      <c r="A501" s="336"/>
      <c r="B501" s="336"/>
      <c r="C501" s="336" t="s">
        <v>832</v>
      </c>
      <c r="D501" s="336"/>
      <c r="E501" s="337"/>
      <c r="F501" s="337"/>
      <c r="G501" s="337"/>
      <c r="H501" s="337"/>
      <c r="I501" s="337"/>
      <c r="J501" s="337"/>
      <c r="K501" s="337"/>
      <c r="L501" s="337"/>
      <c r="M501" s="337"/>
      <c r="N501" s="337"/>
      <c r="O501" s="337"/>
      <c r="P501" s="337"/>
      <c r="Q501" s="338">
        <f>SUM(E501:P501)</f>
        <v>0</v>
      </c>
    </row>
    <row r="502" spans="1:33">
      <c r="A502" s="336"/>
      <c r="B502" s="336"/>
      <c r="C502" s="336" t="s">
        <v>832</v>
      </c>
      <c r="D502" s="336"/>
      <c r="E502" s="337"/>
      <c r="F502" s="337"/>
      <c r="G502" s="337"/>
      <c r="H502" s="337"/>
      <c r="I502" s="337"/>
      <c r="J502" s="337"/>
      <c r="K502" s="337"/>
      <c r="L502" s="337"/>
      <c r="M502" s="337"/>
      <c r="N502" s="337"/>
      <c r="O502" s="337"/>
      <c r="P502" s="337"/>
      <c r="Q502" s="338">
        <f>SUM(E502:P502)</f>
        <v>0</v>
      </c>
    </row>
    <row r="503" spans="1:33">
      <c r="A503" s="336" t="s">
        <v>834</v>
      </c>
      <c r="B503" s="336"/>
      <c r="C503" s="336" t="s">
        <v>832</v>
      </c>
      <c r="D503" s="336"/>
      <c r="E503" s="337">
        <v>0</v>
      </c>
      <c r="F503" s="337">
        <v>0</v>
      </c>
      <c r="G503" s="337"/>
      <c r="H503" s="337"/>
      <c r="I503" s="337">
        <v>300000</v>
      </c>
      <c r="J503" s="337">
        <v>300000</v>
      </c>
      <c r="K503" s="337">
        <v>300000</v>
      </c>
      <c r="L503" s="337">
        <v>300000</v>
      </c>
      <c r="M503" s="337">
        <v>300000</v>
      </c>
      <c r="N503" s="337">
        <v>300000</v>
      </c>
      <c r="O503" s="337">
        <v>300000</v>
      </c>
      <c r="P503" s="337">
        <v>300000</v>
      </c>
      <c r="Q503" s="338">
        <f>SUM(E503:P503)</f>
        <v>2400000</v>
      </c>
      <c r="R503" s="316" t="s">
        <v>835</v>
      </c>
      <c r="S503" s="316"/>
      <c r="T503" s="316"/>
      <c r="U503" s="316"/>
      <c r="V503" s="316"/>
      <c r="W503" s="316"/>
      <c r="X503" s="316"/>
      <c r="Y503" s="316"/>
      <c r="Z503" s="316"/>
      <c r="AA503" s="316"/>
      <c r="AB503" s="316"/>
      <c r="AC503" s="316"/>
      <c r="AD503" s="316"/>
      <c r="AE503" s="316"/>
      <c r="AF503" s="316"/>
      <c r="AG503" s="316"/>
    </row>
    <row r="504" spans="1:33">
      <c r="A504" s="339" t="s">
        <v>19</v>
      </c>
      <c r="B504" s="339"/>
      <c r="C504" s="339"/>
      <c r="D504" s="339"/>
      <c r="E504" s="312">
        <f t="shared" ref="E504:Q504" si="161">SUM(E500:E503)</f>
        <v>0</v>
      </c>
      <c r="F504" s="312">
        <f t="shared" si="161"/>
        <v>0</v>
      </c>
      <c r="G504" s="312">
        <f t="shared" si="161"/>
        <v>50000</v>
      </c>
      <c r="H504" s="312">
        <f t="shared" si="161"/>
        <v>50000</v>
      </c>
      <c r="I504" s="312">
        <f t="shared" si="161"/>
        <v>350000</v>
      </c>
      <c r="J504" s="312">
        <f t="shared" si="161"/>
        <v>350000</v>
      </c>
      <c r="K504" s="312">
        <f t="shared" si="161"/>
        <v>350000</v>
      </c>
      <c r="L504" s="312">
        <f t="shared" si="161"/>
        <v>350000</v>
      </c>
      <c r="M504" s="312">
        <f t="shared" si="161"/>
        <v>350000</v>
      </c>
      <c r="N504" s="312">
        <f t="shared" si="161"/>
        <v>350000</v>
      </c>
      <c r="O504" s="312">
        <f t="shared" si="161"/>
        <v>350000</v>
      </c>
      <c r="P504" s="312">
        <f t="shared" si="161"/>
        <v>350000</v>
      </c>
      <c r="Q504" s="340">
        <f t="shared" si="161"/>
        <v>2900000</v>
      </c>
    </row>
    <row r="505" spans="1:33">
      <c r="A505" s="341"/>
      <c r="B505" s="341"/>
      <c r="C505" s="341"/>
      <c r="D505" s="341"/>
      <c r="E505" s="342"/>
      <c r="F505" s="342"/>
      <c r="G505" s="342"/>
      <c r="H505" s="342"/>
      <c r="I505" s="342"/>
      <c r="J505" s="342"/>
      <c r="K505" s="342"/>
      <c r="L505" s="342"/>
      <c r="M505" s="342"/>
      <c r="N505" s="342"/>
      <c r="O505" s="342"/>
      <c r="P505" s="342"/>
      <c r="Q505" s="255"/>
    </row>
    <row r="506" spans="1:33">
      <c r="A506" s="336" t="s">
        <v>836</v>
      </c>
      <c r="B506" s="336"/>
      <c r="C506" s="336" t="s">
        <v>837</v>
      </c>
      <c r="D506" s="336"/>
      <c r="E506" s="337"/>
      <c r="F506" s="337"/>
      <c r="G506" s="337"/>
      <c r="H506" s="337"/>
      <c r="I506" s="337"/>
      <c r="J506" s="337"/>
      <c r="K506" s="337"/>
      <c r="L506" s="337"/>
      <c r="M506" s="337"/>
      <c r="N506" s="337"/>
      <c r="O506" s="337"/>
      <c r="P506" s="337"/>
      <c r="Q506" s="338">
        <f>SUM(E506:P506)</f>
        <v>0</v>
      </c>
    </row>
    <row r="507" spans="1:33">
      <c r="A507" s="336" t="s">
        <v>838</v>
      </c>
      <c r="B507" s="336"/>
      <c r="C507" s="336" t="s">
        <v>837</v>
      </c>
      <c r="D507" s="336"/>
      <c r="E507" s="337"/>
      <c r="F507" s="337"/>
      <c r="G507" s="337"/>
      <c r="H507" s="337"/>
      <c r="I507" s="337"/>
      <c r="J507" s="337"/>
      <c r="K507" s="337"/>
      <c r="L507" s="337"/>
      <c r="M507" s="337"/>
      <c r="N507" s="337"/>
      <c r="O507" s="337"/>
      <c r="P507" s="337"/>
      <c r="Q507" s="338">
        <f>SUM(E507:P507)</f>
        <v>0</v>
      </c>
    </row>
    <row r="508" spans="1:33">
      <c r="A508" s="336" t="s">
        <v>839</v>
      </c>
      <c r="B508" s="336"/>
      <c r="C508" s="336" t="s">
        <v>837</v>
      </c>
      <c r="D508" s="336"/>
      <c r="E508" s="337">
        <v>450000</v>
      </c>
      <c r="F508" s="337"/>
      <c r="G508" s="337">
        <v>300000</v>
      </c>
      <c r="H508" s="337"/>
      <c r="I508" s="337"/>
      <c r="J508" s="337"/>
      <c r="K508" s="337"/>
      <c r="L508" s="337"/>
      <c r="M508" s="337"/>
      <c r="N508" s="337"/>
      <c r="O508" s="337"/>
      <c r="P508" s="337"/>
      <c r="Q508" s="338">
        <f>SUM(E508:P508)</f>
        <v>750000</v>
      </c>
    </row>
    <row r="509" spans="1:33">
      <c r="A509" s="339" t="s">
        <v>19</v>
      </c>
      <c r="B509" s="339"/>
      <c r="C509" s="339"/>
      <c r="D509" s="339"/>
      <c r="E509" s="340">
        <f t="shared" ref="E509:Q509" si="162">SUM(E506:E508)</f>
        <v>450000</v>
      </c>
      <c r="F509" s="340">
        <f t="shared" si="162"/>
        <v>0</v>
      </c>
      <c r="G509" s="340">
        <f t="shared" si="162"/>
        <v>300000</v>
      </c>
      <c r="H509" s="340">
        <f t="shared" si="162"/>
        <v>0</v>
      </c>
      <c r="I509" s="340">
        <f t="shared" si="162"/>
        <v>0</v>
      </c>
      <c r="J509" s="340">
        <f t="shared" si="162"/>
        <v>0</v>
      </c>
      <c r="K509" s="340">
        <f t="shared" si="162"/>
        <v>0</v>
      </c>
      <c r="L509" s="340">
        <f t="shared" si="162"/>
        <v>0</v>
      </c>
      <c r="M509" s="340">
        <f t="shared" si="162"/>
        <v>0</v>
      </c>
      <c r="N509" s="340">
        <f t="shared" si="162"/>
        <v>0</v>
      </c>
      <c r="O509" s="340">
        <f t="shared" si="162"/>
        <v>0</v>
      </c>
      <c r="P509" s="340">
        <f t="shared" si="162"/>
        <v>0</v>
      </c>
      <c r="Q509" s="340">
        <f t="shared" si="162"/>
        <v>750000</v>
      </c>
    </row>
    <row r="510" spans="1:33">
      <c r="A510" s="336" t="s">
        <v>840</v>
      </c>
      <c r="B510" s="336"/>
      <c r="C510" s="336" t="s">
        <v>841</v>
      </c>
      <c r="D510" s="336"/>
      <c r="E510" s="337"/>
      <c r="F510" s="337"/>
      <c r="G510" s="337"/>
      <c r="H510" s="337"/>
      <c r="I510" s="337"/>
      <c r="J510" s="337"/>
      <c r="K510" s="337"/>
      <c r="L510" s="337"/>
      <c r="M510" s="337"/>
      <c r="N510" s="337"/>
      <c r="O510" s="337"/>
      <c r="P510" s="337"/>
      <c r="Q510" s="338">
        <f>SUM(E510:P510)</f>
        <v>0</v>
      </c>
    </row>
    <row r="511" spans="1:33">
      <c r="A511" s="336" t="s">
        <v>808</v>
      </c>
      <c r="B511" s="336"/>
      <c r="C511" s="336" t="s">
        <v>842</v>
      </c>
      <c r="D511" s="336"/>
      <c r="E511" s="337"/>
      <c r="F511" s="337"/>
      <c r="G511" s="337"/>
      <c r="H511" s="337"/>
      <c r="I511" s="337"/>
      <c r="J511" s="337"/>
      <c r="K511" s="337"/>
      <c r="L511" s="337"/>
      <c r="M511" s="337"/>
      <c r="N511" s="337"/>
      <c r="O511" s="337"/>
      <c r="P511" s="337"/>
      <c r="Q511" s="338">
        <f>SUM(E511:P511)</f>
        <v>0</v>
      </c>
    </row>
    <row r="512" spans="1:33">
      <c r="A512" s="336"/>
      <c r="B512" s="336"/>
      <c r="C512" s="336"/>
      <c r="D512" s="336"/>
      <c r="E512" s="337"/>
      <c r="F512" s="337"/>
      <c r="G512" s="337"/>
      <c r="H512" s="337"/>
      <c r="I512" s="337"/>
      <c r="J512" s="337"/>
      <c r="K512" s="337"/>
      <c r="L512" s="337"/>
      <c r="M512" s="337"/>
      <c r="N512" s="337"/>
      <c r="O512" s="337"/>
      <c r="P512" s="337"/>
      <c r="Q512" s="338"/>
    </row>
    <row r="513" spans="1:18">
      <c r="A513" s="336" t="s">
        <v>843</v>
      </c>
      <c r="B513" s="336"/>
      <c r="C513" s="336" t="s">
        <v>844</v>
      </c>
      <c r="D513" s="336"/>
      <c r="E513" s="337">
        <v>0</v>
      </c>
      <c r="F513" s="337">
        <v>0</v>
      </c>
      <c r="G513" s="337"/>
      <c r="H513" s="337"/>
      <c r="I513" s="337"/>
      <c r="J513" s="337"/>
      <c r="K513" s="337"/>
      <c r="L513" s="337"/>
      <c r="M513" s="337"/>
      <c r="N513" s="337"/>
      <c r="O513" s="337"/>
      <c r="P513" s="337"/>
      <c r="Q513" s="338">
        <f>SUM(E513:P513)</f>
        <v>0</v>
      </c>
      <c r="R513" s="316" t="s">
        <v>845</v>
      </c>
    </row>
    <row r="514" spans="1:18">
      <c r="A514" s="336" t="s">
        <v>846</v>
      </c>
      <c r="B514" s="336"/>
      <c r="C514" s="336" t="s">
        <v>844</v>
      </c>
      <c r="D514" s="336"/>
      <c r="E514" s="337">
        <v>0</v>
      </c>
      <c r="F514" s="337">
        <v>0</v>
      </c>
      <c r="G514" s="337">
        <v>5360</v>
      </c>
      <c r="H514" s="337">
        <v>5360</v>
      </c>
      <c r="I514" s="337">
        <v>5360</v>
      </c>
      <c r="J514" s="337">
        <v>5360</v>
      </c>
      <c r="K514" s="337">
        <v>5360</v>
      </c>
      <c r="L514" s="337">
        <v>5360</v>
      </c>
      <c r="M514" s="337">
        <v>5360</v>
      </c>
      <c r="N514" s="337">
        <v>5360</v>
      </c>
      <c r="O514" s="337">
        <v>5360</v>
      </c>
      <c r="P514" s="337">
        <v>5360</v>
      </c>
      <c r="Q514" s="338">
        <f>SUM(E514:P514)</f>
        <v>53600</v>
      </c>
    </row>
    <row r="515" spans="1:18">
      <c r="A515" s="339" t="s">
        <v>19</v>
      </c>
      <c r="B515" s="339"/>
      <c r="C515" s="339"/>
      <c r="D515" s="339"/>
      <c r="E515" s="340">
        <f t="shared" ref="E515:Q515" si="163">SUM(E513:E514)</f>
        <v>0</v>
      </c>
      <c r="F515" s="340">
        <f t="shared" si="163"/>
        <v>0</v>
      </c>
      <c r="G515" s="340">
        <f t="shared" si="163"/>
        <v>5360</v>
      </c>
      <c r="H515" s="340">
        <f t="shared" si="163"/>
        <v>5360</v>
      </c>
      <c r="I515" s="340">
        <f t="shared" si="163"/>
        <v>5360</v>
      </c>
      <c r="J515" s="340">
        <f t="shared" si="163"/>
        <v>5360</v>
      </c>
      <c r="K515" s="340">
        <f t="shared" si="163"/>
        <v>5360</v>
      </c>
      <c r="L515" s="340">
        <f t="shared" si="163"/>
        <v>5360</v>
      </c>
      <c r="M515" s="340">
        <f t="shared" si="163"/>
        <v>5360</v>
      </c>
      <c r="N515" s="340">
        <f t="shared" si="163"/>
        <v>5360</v>
      </c>
      <c r="O515" s="340">
        <f t="shared" si="163"/>
        <v>5360</v>
      </c>
      <c r="P515" s="340">
        <f t="shared" si="163"/>
        <v>5360</v>
      </c>
      <c r="Q515" s="340">
        <f t="shared" si="163"/>
        <v>53600</v>
      </c>
    </row>
    <row r="516" spans="1:18">
      <c r="A516" s="336" t="s">
        <v>804</v>
      </c>
      <c r="B516" s="336"/>
      <c r="C516" s="336" t="s">
        <v>800</v>
      </c>
      <c r="D516" s="336"/>
      <c r="E516" s="337">
        <v>152000</v>
      </c>
      <c r="F516" s="337">
        <v>24000</v>
      </c>
      <c r="G516" s="337">
        <v>24000</v>
      </c>
      <c r="H516" s="337">
        <v>24000</v>
      </c>
      <c r="I516" s="337">
        <v>24000</v>
      </c>
      <c r="J516" s="337">
        <v>24000</v>
      </c>
      <c r="K516" s="337">
        <v>24000</v>
      </c>
      <c r="L516" s="337">
        <v>24000</v>
      </c>
      <c r="M516" s="337">
        <v>24000</v>
      </c>
      <c r="N516" s="337">
        <v>24000</v>
      </c>
      <c r="O516" s="337">
        <v>24000</v>
      </c>
      <c r="P516" s="337">
        <v>24000</v>
      </c>
      <c r="Q516" s="338">
        <f>SUM(E516:P516)</f>
        <v>416000</v>
      </c>
    </row>
    <row r="517" spans="1:18">
      <c r="A517" s="336" t="s">
        <v>818</v>
      </c>
      <c r="B517" s="336"/>
      <c r="C517" s="336" t="s">
        <v>814</v>
      </c>
      <c r="D517" s="336"/>
      <c r="E517" s="337">
        <v>0</v>
      </c>
      <c r="F517" s="337">
        <v>0</v>
      </c>
      <c r="G517" s="337">
        <v>0</v>
      </c>
      <c r="H517" s="337">
        <v>0</v>
      </c>
      <c r="I517" s="337">
        <v>0</v>
      </c>
      <c r="J517" s="337">
        <v>0</v>
      </c>
      <c r="K517" s="337">
        <v>0</v>
      </c>
      <c r="L517" s="337">
        <v>0</v>
      </c>
      <c r="M517" s="337">
        <v>0</v>
      </c>
      <c r="N517" s="337">
        <v>0</v>
      </c>
      <c r="O517" s="337">
        <v>0</v>
      </c>
      <c r="P517" s="337">
        <v>0</v>
      </c>
      <c r="Q517" s="338">
        <f>SUM(E517:P517)</f>
        <v>0</v>
      </c>
    </row>
    <row r="518" spans="1:18">
      <c r="A518" s="336"/>
      <c r="B518" s="336"/>
      <c r="C518" s="336"/>
      <c r="D518" s="336"/>
      <c r="E518" s="337"/>
      <c r="F518" s="337"/>
      <c r="G518" s="337"/>
      <c r="H518" s="337"/>
      <c r="I518" s="337"/>
      <c r="J518" s="337"/>
      <c r="K518" s="337"/>
      <c r="L518" s="337"/>
      <c r="M518" s="337"/>
      <c r="N518" s="337"/>
      <c r="O518" s="337"/>
      <c r="P518" s="337"/>
      <c r="Q518" s="338"/>
    </row>
    <row r="519" spans="1:18">
      <c r="A519" s="336" t="s">
        <v>745</v>
      </c>
      <c r="B519" s="336"/>
      <c r="C519" s="336" t="s">
        <v>90</v>
      </c>
      <c r="D519" s="336"/>
      <c r="E519" s="337">
        <v>0</v>
      </c>
      <c r="F519" s="337">
        <v>500000</v>
      </c>
      <c r="G519" s="337">
        <v>0</v>
      </c>
      <c r="H519" s="337">
        <v>0</v>
      </c>
      <c r="I519" s="337">
        <v>0</v>
      </c>
      <c r="J519" s="337">
        <v>0</v>
      </c>
      <c r="K519" s="337">
        <v>0</v>
      </c>
      <c r="L519" s="337">
        <v>0</v>
      </c>
      <c r="M519" s="337">
        <v>0</v>
      </c>
      <c r="N519" s="337">
        <v>0</v>
      </c>
      <c r="O519" s="337">
        <v>0</v>
      </c>
      <c r="P519" s="337">
        <v>0</v>
      </c>
      <c r="Q519" s="338">
        <f>SUM(E519:P519)</f>
        <v>500000</v>
      </c>
    </row>
    <row r="520" spans="1:18">
      <c r="A520" s="343" t="s">
        <v>847</v>
      </c>
      <c r="B520" s="343"/>
      <c r="C520" s="343" t="s">
        <v>848</v>
      </c>
      <c r="D520" s="343"/>
      <c r="E520" s="344">
        <v>0</v>
      </c>
      <c r="F520" s="344">
        <v>0</v>
      </c>
      <c r="G520" s="344">
        <v>0</v>
      </c>
      <c r="H520" s="344">
        <v>0</v>
      </c>
      <c r="I520" s="344">
        <v>0</v>
      </c>
      <c r="J520" s="344">
        <v>0</v>
      </c>
      <c r="K520" s="344">
        <v>0</v>
      </c>
      <c r="L520" s="344">
        <v>0</v>
      </c>
      <c r="M520" s="344">
        <v>0</v>
      </c>
      <c r="N520" s="344">
        <v>0</v>
      </c>
      <c r="O520" s="344">
        <v>0</v>
      </c>
      <c r="P520" s="344">
        <v>0</v>
      </c>
      <c r="Q520" s="345">
        <f>SUM(E520:P520)</f>
        <v>0</v>
      </c>
    </row>
    <row r="521" spans="1:18">
      <c r="A521" s="336" t="s">
        <v>849</v>
      </c>
      <c r="B521" s="336"/>
      <c r="C521" s="336" t="s">
        <v>850</v>
      </c>
      <c r="D521" s="336"/>
      <c r="E521" s="337">
        <v>183500</v>
      </c>
      <c r="F521" s="337">
        <v>0</v>
      </c>
      <c r="G521" s="337">
        <v>137520</v>
      </c>
      <c r="H521" s="337">
        <v>0</v>
      </c>
      <c r="I521" s="337">
        <v>0</v>
      </c>
      <c r="J521" s="337">
        <v>72000</v>
      </c>
      <c r="K521" s="337">
        <v>0</v>
      </c>
      <c r="L521" s="337">
        <v>0</v>
      </c>
      <c r="M521" s="337">
        <v>0</v>
      </c>
      <c r="N521" s="337">
        <v>0</v>
      </c>
      <c r="O521" s="337">
        <v>0</v>
      </c>
      <c r="P521" s="337">
        <v>0</v>
      </c>
      <c r="Q521" s="338">
        <f>SUM(E521:P521)</f>
        <v>393020</v>
      </c>
    </row>
    <row r="522" spans="1:18">
      <c r="A522" s="308" t="s">
        <v>19</v>
      </c>
      <c r="B522" s="308"/>
      <c r="C522" s="308"/>
      <c r="D522" s="308"/>
      <c r="E522" s="309">
        <f t="shared" ref="E522:Q522" si="164">SUM(E500:E521)</f>
        <v>1235500</v>
      </c>
      <c r="F522" s="309">
        <f t="shared" si="164"/>
        <v>524000</v>
      </c>
      <c r="G522" s="309">
        <f t="shared" si="164"/>
        <v>872240</v>
      </c>
      <c r="H522" s="309">
        <f t="shared" si="164"/>
        <v>134720</v>
      </c>
      <c r="I522" s="309">
        <f t="shared" si="164"/>
        <v>734720</v>
      </c>
      <c r="J522" s="309">
        <f t="shared" si="164"/>
        <v>806720</v>
      </c>
      <c r="K522" s="309">
        <f t="shared" si="164"/>
        <v>734720</v>
      </c>
      <c r="L522" s="309">
        <f t="shared" si="164"/>
        <v>734720</v>
      </c>
      <c r="M522" s="309">
        <f t="shared" si="164"/>
        <v>734720</v>
      </c>
      <c r="N522" s="309">
        <f t="shared" si="164"/>
        <v>734720</v>
      </c>
      <c r="O522" s="309">
        <f t="shared" si="164"/>
        <v>734720</v>
      </c>
      <c r="P522" s="309">
        <f t="shared" si="164"/>
        <v>734720</v>
      </c>
      <c r="Q522" s="309">
        <f t="shared" si="164"/>
        <v>8716220</v>
      </c>
    </row>
    <row r="523" spans="1:18">
      <c r="E523" s="240">
        <f t="shared" ref="E523:P523" si="165">(E522-E504-E509-E515)/80</f>
        <v>9818.75</v>
      </c>
      <c r="F523" s="240">
        <f t="shared" si="165"/>
        <v>6550</v>
      </c>
      <c r="G523" s="240">
        <f t="shared" si="165"/>
        <v>6461</v>
      </c>
      <c r="H523" s="240">
        <f t="shared" si="165"/>
        <v>992</v>
      </c>
      <c r="I523" s="240">
        <f t="shared" si="165"/>
        <v>4742</v>
      </c>
      <c r="J523" s="240">
        <f t="shared" si="165"/>
        <v>5642</v>
      </c>
      <c r="K523" s="240">
        <f t="shared" si="165"/>
        <v>4742</v>
      </c>
      <c r="L523" s="240">
        <f t="shared" si="165"/>
        <v>4742</v>
      </c>
      <c r="M523" s="240">
        <f t="shared" si="165"/>
        <v>4742</v>
      </c>
      <c r="N523" s="240">
        <f t="shared" si="165"/>
        <v>4742</v>
      </c>
      <c r="O523" s="240">
        <f t="shared" si="165"/>
        <v>4742</v>
      </c>
      <c r="P523" s="240">
        <f t="shared" si="165"/>
        <v>4742</v>
      </c>
    </row>
    <row r="524" spans="1:18">
      <c r="E524" s="171">
        <v>0</v>
      </c>
      <c r="F524" s="171">
        <v>0</v>
      </c>
      <c r="G524" s="171">
        <v>0</v>
      </c>
      <c r="H524" s="171">
        <v>0</v>
      </c>
      <c r="I524" s="171">
        <v>0</v>
      </c>
      <c r="J524" s="171">
        <v>0</v>
      </c>
      <c r="K524" s="171">
        <v>0</v>
      </c>
      <c r="L524" s="171">
        <v>0</v>
      </c>
      <c r="M524" s="171">
        <v>0</v>
      </c>
      <c r="N524" s="171">
        <v>0</v>
      </c>
      <c r="O524" s="171">
        <v>0</v>
      </c>
      <c r="P524" s="171">
        <v>0</v>
      </c>
    </row>
    <row r="525" spans="1:18">
      <c r="E525" s="240">
        <f t="shared" ref="E525:P525" si="166">E524-E523</f>
        <v>-9818.75</v>
      </c>
      <c r="F525" s="240">
        <f t="shared" si="166"/>
        <v>-6550</v>
      </c>
      <c r="G525" s="240">
        <f t="shared" si="166"/>
        <v>-6461</v>
      </c>
      <c r="H525" s="240">
        <f t="shared" si="166"/>
        <v>-992</v>
      </c>
      <c r="I525" s="240">
        <f t="shared" si="166"/>
        <v>-4742</v>
      </c>
      <c r="J525" s="240">
        <f t="shared" si="166"/>
        <v>-5642</v>
      </c>
      <c r="K525" s="240">
        <f t="shared" si="166"/>
        <v>-4742</v>
      </c>
      <c r="L525" s="240">
        <f t="shared" si="166"/>
        <v>-4742</v>
      </c>
      <c r="M525" s="240">
        <f t="shared" si="166"/>
        <v>-4742</v>
      </c>
      <c r="N525" s="240">
        <f t="shared" si="166"/>
        <v>-4742</v>
      </c>
      <c r="O525" s="240">
        <f t="shared" si="166"/>
        <v>-4742</v>
      </c>
      <c r="P525" s="240">
        <f t="shared" si="166"/>
        <v>-4742</v>
      </c>
    </row>
    <row r="526" spans="1:18">
      <c r="C526" s="346"/>
      <c r="D526" s="346"/>
      <c r="E526" s="171" t="s">
        <v>848</v>
      </c>
    </row>
    <row r="529" spans="1:17" s="258" customFormat="1">
      <c r="A529" s="304" t="s">
        <v>851</v>
      </c>
      <c r="B529" s="304"/>
      <c r="C529" s="304" t="s">
        <v>852</v>
      </c>
      <c r="D529" s="304"/>
      <c r="E529" s="305">
        <f>6700*84</f>
        <v>562800</v>
      </c>
      <c r="F529" s="305">
        <f t="shared" ref="F529:P529" si="167">2300*84</f>
        <v>193200</v>
      </c>
      <c r="G529" s="305">
        <f t="shared" si="167"/>
        <v>193200</v>
      </c>
      <c r="H529" s="305">
        <f t="shared" si="167"/>
        <v>193200</v>
      </c>
      <c r="I529" s="305">
        <f t="shared" si="167"/>
        <v>193200</v>
      </c>
      <c r="J529" s="305">
        <f t="shared" si="167"/>
        <v>193200</v>
      </c>
      <c r="K529" s="305">
        <f t="shared" si="167"/>
        <v>193200</v>
      </c>
      <c r="L529" s="305">
        <f t="shared" si="167"/>
        <v>193200</v>
      </c>
      <c r="M529" s="305">
        <f t="shared" si="167"/>
        <v>193200</v>
      </c>
      <c r="N529" s="305">
        <f t="shared" si="167"/>
        <v>193200</v>
      </c>
      <c r="O529" s="305">
        <f t="shared" si="167"/>
        <v>193200</v>
      </c>
      <c r="P529" s="305">
        <f t="shared" si="167"/>
        <v>193200</v>
      </c>
      <c r="Q529" s="276">
        <f>SUM(E529:P529)</f>
        <v>2688000</v>
      </c>
    </row>
  </sheetData>
  <dataValidations count="1">
    <dataValidation type="list" allowBlank="1" showInputMessage="1" showErrorMessage="1" sqref="S1" xr:uid="{5C9C810F-5BB1-474F-88C5-53F4F1D49287}">
      <formula1>$XEW$1:$XEW$2</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8665-C441-4318-9E18-0FDA3994C0E0}">
  <dimension ref="A1:J46"/>
  <sheetViews>
    <sheetView showGridLines="0" zoomScale="74" workbookViewId="0">
      <pane ySplit="5" topLeftCell="A6" activePane="bottomLeft" state="frozen"/>
      <selection pane="bottomLeft" activeCell="B6" sqref="B6"/>
    </sheetView>
  </sheetViews>
  <sheetFormatPr defaultRowHeight="14"/>
  <cols>
    <col min="1" max="1" width="40" customWidth="1"/>
    <col min="2" max="9" width="14.6640625" customWidth="1"/>
    <col min="10" max="10" width="55" customWidth="1"/>
  </cols>
  <sheetData>
    <row r="1" spans="1:10" ht="17">
      <c r="A1" s="579" t="s">
        <v>1010</v>
      </c>
      <c r="B1" s="582"/>
      <c r="C1" s="582"/>
      <c r="D1" s="582"/>
      <c r="E1" s="582"/>
      <c r="F1" s="582"/>
      <c r="G1" s="582"/>
      <c r="H1" s="582"/>
      <c r="I1" s="582"/>
      <c r="J1" s="589"/>
    </row>
    <row r="2" spans="1:10" ht="14.5">
      <c r="A2" s="580" t="s">
        <v>1011</v>
      </c>
      <c r="B2" s="582"/>
      <c r="C2" s="582"/>
      <c r="D2" s="582"/>
      <c r="E2" s="582"/>
      <c r="F2" s="582"/>
      <c r="G2" s="582"/>
      <c r="H2" s="582"/>
      <c r="I2" s="582"/>
      <c r="J2" s="589"/>
    </row>
    <row r="3" spans="1:10" ht="14.5">
      <c r="A3" s="580"/>
      <c r="B3" s="582"/>
      <c r="C3" s="582"/>
      <c r="D3" s="582"/>
      <c r="E3" s="582"/>
      <c r="F3" s="582"/>
      <c r="G3" s="582"/>
      <c r="H3" s="582"/>
      <c r="I3" s="582"/>
      <c r="J3" s="589"/>
    </row>
    <row r="4" spans="1:10">
      <c r="A4" s="582"/>
      <c r="B4" s="669">
        <v>46143</v>
      </c>
      <c r="C4" s="670"/>
      <c r="D4" s="670"/>
      <c r="E4" s="671"/>
      <c r="F4" s="669">
        <v>46174</v>
      </c>
      <c r="G4" s="670"/>
      <c r="H4" s="670"/>
      <c r="I4" s="671"/>
      <c r="J4" s="589"/>
    </row>
    <row r="5" spans="1:10">
      <c r="A5" s="592" t="s">
        <v>0</v>
      </c>
      <c r="B5" s="593" t="s">
        <v>1012</v>
      </c>
      <c r="C5" s="593" t="s">
        <v>1013</v>
      </c>
      <c r="D5" s="593" t="s">
        <v>1014</v>
      </c>
      <c r="E5" s="603" t="s">
        <v>1015</v>
      </c>
      <c r="F5" s="593" t="s">
        <v>1012</v>
      </c>
      <c r="G5" s="593" t="s">
        <v>1013</v>
      </c>
      <c r="H5" s="593" t="s">
        <v>1014</v>
      </c>
      <c r="I5" s="603" t="s">
        <v>1015</v>
      </c>
      <c r="J5" s="591" t="s">
        <v>972</v>
      </c>
    </row>
    <row r="6" spans="1:10">
      <c r="A6" s="594" t="s">
        <v>3</v>
      </c>
      <c r="B6" s="595">
        <f>'Proforma-May'!C9</f>
        <v>215820.8971</v>
      </c>
      <c r="C6" s="595">
        <f>'Jun''26'!J15</f>
        <v>209918</v>
      </c>
      <c r="D6" s="596">
        <f>C6-B6</f>
        <v>-5902.897100000002</v>
      </c>
      <c r="E6" s="604">
        <f>IFERROR(D6/ABS(B6),"")</f>
        <v>-2.7350906141701891E-2</v>
      </c>
      <c r="F6" s="595">
        <f>'Proforma-June'!C9</f>
        <v>230589.09</v>
      </c>
      <c r="G6" s="595">
        <f>'Jun''26'!F15</f>
        <v>232311</v>
      </c>
      <c r="H6" s="596">
        <f>G6-F6</f>
        <v>1721.9100000000035</v>
      </c>
      <c r="I6" s="604">
        <f>IFERROR(H6/ABS(F6),"")</f>
        <v>7.4674391576808928E-3</v>
      </c>
      <c r="J6" s="589"/>
    </row>
    <row r="7" spans="1:10">
      <c r="A7" s="582"/>
      <c r="B7" s="583"/>
      <c r="C7" s="583"/>
      <c r="D7" s="587"/>
      <c r="E7" s="605"/>
      <c r="F7" s="583"/>
      <c r="G7" s="583"/>
      <c r="H7" s="587"/>
      <c r="I7" s="605"/>
      <c r="J7" s="589"/>
    </row>
    <row r="8" spans="1:10">
      <c r="A8" s="584" t="s">
        <v>1016</v>
      </c>
      <c r="B8" s="583"/>
      <c r="C8" s="583"/>
      <c r="D8" s="587"/>
      <c r="E8" s="605"/>
      <c r="F8" s="583"/>
      <c r="G8" s="583"/>
      <c r="H8" s="587"/>
      <c r="I8" s="605"/>
      <c r="J8" s="589"/>
    </row>
    <row r="9" spans="1:10">
      <c r="A9" s="582" t="s">
        <v>1017</v>
      </c>
      <c r="B9" s="586">
        <f>'Proforma-May'!C13</f>
        <v>94311</v>
      </c>
      <c r="C9" s="586">
        <f>'Jun''26'!J17</f>
        <v>92483</v>
      </c>
      <c r="D9" s="587">
        <f>B9-C9</f>
        <v>1828</v>
      </c>
      <c r="E9" s="605">
        <f>IFERROR(D9/ABS(B9),"")</f>
        <v>1.9382680705325995E-2</v>
      </c>
      <c r="F9" s="586">
        <f>'Proforma-June'!C13</f>
        <v>98811</v>
      </c>
      <c r="G9" s="586">
        <f>'Jun''26'!F17</f>
        <v>94790</v>
      </c>
      <c r="H9" s="587">
        <f>F9-G9</f>
        <v>4021</v>
      </c>
      <c r="I9" s="605">
        <f>IFERROR(H9/ABS(F9),"")</f>
        <v>4.0693849875013913E-2</v>
      </c>
      <c r="J9" s="589"/>
    </row>
    <row r="10" spans="1:10">
      <c r="A10" s="582" t="s">
        <v>1018</v>
      </c>
      <c r="B10" s="586">
        <f>'Proforma-May'!C14</f>
        <v>10622.1744186047</v>
      </c>
      <c r="C10" s="586">
        <f>'Jun''26'!J24</f>
        <v>10954</v>
      </c>
      <c r="D10" s="587">
        <f t="shared" ref="D10:D16" si="0">B10-C10</f>
        <v>-331.82558139530011</v>
      </c>
      <c r="E10" s="605">
        <f t="shared" ref="E10:E16" si="1">IFERROR(D10/ABS(B10),"")</f>
        <v>-3.1238950549908953E-2</v>
      </c>
      <c r="F10" s="586">
        <f>'Proforma-June'!C14</f>
        <v>10622.1744186047</v>
      </c>
      <c r="G10" s="586">
        <f>'Jun''26'!F24</f>
        <v>11261</v>
      </c>
      <c r="H10" s="587">
        <f t="shared" ref="H10:H16" si="2">F10-G10</f>
        <v>-638.82558139530011</v>
      </c>
      <c r="I10" s="605">
        <f t="shared" ref="I10:I16" si="3">IFERROR(H10/ABS(F10),"")</f>
        <v>-6.0140754258035854E-2</v>
      </c>
      <c r="J10" s="589"/>
    </row>
    <row r="11" spans="1:10">
      <c r="A11" s="581" t="s">
        <v>1019</v>
      </c>
      <c r="B11" s="587">
        <f>SUM(B9:B10)</f>
        <v>104933.1744186047</v>
      </c>
      <c r="C11" s="587">
        <f>SUM(C9:C10)</f>
        <v>103437</v>
      </c>
      <c r="D11" s="587">
        <f t="shared" si="0"/>
        <v>1496.1744186046999</v>
      </c>
      <c r="E11" s="605">
        <f t="shared" si="1"/>
        <v>1.4258354680437719E-2</v>
      </c>
      <c r="F11" s="587">
        <f>SUM(F9:F10)</f>
        <v>109433.1744186047</v>
      </c>
      <c r="G11" s="587">
        <f>SUM(G9:G10)</f>
        <v>106051</v>
      </c>
      <c r="H11" s="587">
        <f t="shared" si="2"/>
        <v>3382.1744186046999</v>
      </c>
      <c r="I11" s="605">
        <f t="shared" si="3"/>
        <v>3.0906299086848908E-2</v>
      </c>
      <c r="J11" s="589"/>
    </row>
    <row r="12" spans="1:10">
      <c r="A12" s="582" t="s">
        <v>1020</v>
      </c>
      <c r="B12" s="586">
        <f>'Proforma-May'!C25</f>
        <v>15657</v>
      </c>
      <c r="C12" s="586">
        <f>'Jun''26'!J34</f>
        <v>17229</v>
      </c>
      <c r="D12" s="587">
        <f t="shared" si="0"/>
        <v>-1572</v>
      </c>
      <c r="E12" s="605">
        <f t="shared" si="1"/>
        <v>-0.10040237593408699</v>
      </c>
      <c r="F12" s="586">
        <f>'Proforma-June'!C25</f>
        <v>15551.494252873563</v>
      </c>
      <c r="G12" s="586">
        <f>'Jun''26'!F34</f>
        <v>15275</v>
      </c>
      <c r="H12" s="587">
        <f t="shared" si="2"/>
        <v>276.4942528735628</v>
      </c>
      <c r="I12" s="605">
        <f t="shared" si="3"/>
        <v>1.7779272420878331E-2</v>
      </c>
      <c r="J12" s="589"/>
    </row>
    <row r="13" spans="1:10" ht="26">
      <c r="A13" s="582" t="s">
        <v>1021</v>
      </c>
      <c r="B13" s="586">
        <f>'Proforma-May'!C33-'Proforma-May'!C28</f>
        <v>2553</v>
      </c>
      <c r="C13" s="586">
        <f>'Jun''26'!J45</f>
        <v>2339</v>
      </c>
      <c r="D13" s="587">
        <f t="shared" si="0"/>
        <v>214</v>
      </c>
      <c r="E13" s="605">
        <f t="shared" si="1"/>
        <v>8.3822953388170779E-2</v>
      </c>
      <c r="F13" s="586">
        <f>'Proforma-June'!C33-'Proforma-June'!C28</f>
        <v>2335</v>
      </c>
      <c r="G13" s="586">
        <f>'Jun''26'!F45</f>
        <v>2713</v>
      </c>
      <c r="H13" s="587">
        <f t="shared" si="2"/>
        <v>-378</v>
      </c>
      <c r="I13" s="605">
        <f t="shared" si="3"/>
        <v>-0.16188436830835118</v>
      </c>
      <c r="J13" s="590" t="s">
        <v>1022</v>
      </c>
    </row>
    <row r="14" spans="1:10">
      <c r="A14" s="582" t="s">
        <v>1023</v>
      </c>
      <c r="B14" s="586">
        <f>'Proforma-May'!C34</f>
        <v>4083.9999999999991</v>
      </c>
      <c r="C14" s="586">
        <f>'Jun''26'!J52</f>
        <v>4254</v>
      </c>
      <c r="D14" s="587">
        <f t="shared" si="0"/>
        <v>-170.00000000000091</v>
      </c>
      <c r="E14" s="605">
        <f t="shared" si="1"/>
        <v>-4.1625857002938527E-2</v>
      </c>
      <c r="F14" s="586">
        <f>'Proforma-June'!C34</f>
        <v>4083.9999999999991</v>
      </c>
      <c r="G14" s="586">
        <f>'Jun''26'!F52</f>
        <v>5760</v>
      </c>
      <c r="H14" s="587">
        <f t="shared" si="2"/>
        <v>-1676.0000000000009</v>
      </c>
      <c r="I14" s="605">
        <f t="shared" si="3"/>
        <v>-0.41038197845249785</v>
      </c>
      <c r="J14" s="589"/>
    </row>
    <row r="15" spans="1:10" ht="26">
      <c r="A15" s="582" t="s">
        <v>1024</v>
      </c>
      <c r="B15" s="586">
        <f>'Proforma-May'!C43+'Proforma-May'!C28-'Proforma-May'!C39</f>
        <v>18601</v>
      </c>
      <c r="C15" s="586">
        <f>'Jun''26'!J54</f>
        <v>22650</v>
      </c>
      <c r="D15" s="587">
        <f t="shared" si="0"/>
        <v>-4049</v>
      </c>
      <c r="E15" s="605">
        <f t="shared" si="1"/>
        <v>-0.21767646900704263</v>
      </c>
      <c r="F15" s="586">
        <f>'Proforma-June'!C43+'Proforma-June'!C28-'Proforma-June'!C39</f>
        <v>19168</v>
      </c>
      <c r="G15" s="586">
        <f>'Jun''26'!F54</f>
        <v>18529</v>
      </c>
      <c r="H15" s="587">
        <f t="shared" si="2"/>
        <v>639</v>
      </c>
      <c r="I15" s="605">
        <f t="shared" si="3"/>
        <v>3.3336811352253755E-2</v>
      </c>
      <c r="J15" s="590" t="s">
        <v>1025</v>
      </c>
    </row>
    <row r="16" spans="1:10">
      <c r="A16" s="594" t="s">
        <v>10</v>
      </c>
      <c r="B16" s="596">
        <f>B11+B12+B13+B14+B15</f>
        <v>145828.1744186047</v>
      </c>
      <c r="C16" s="596">
        <f>C11+C12+C13+C14+C15</f>
        <v>149909</v>
      </c>
      <c r="D16" s="596">
        <f t="shared" si="0"/>
        <v>-4080.8255813953001</v>
      </c>
      <c r="E16" s="604">
        <f t="shared" si="1"/>
        <v>-2.7983793925041894E-2</v>
      </c>
      <c r="F16" s="596">
        <f>F11+F12+F13+F14+F15</f>
        <v>150571.66867147826</v>
      </c>
      <c r="G16" s="596">
        <f>G11+G12+G13+G14+G15</f>
        <v>148328</v>
      </c>
      <c r="H16" s="596">
        <f t="shared" si="2"/>
        <v>2243.6686714782554</v>
      </c>
      <c r="I16" s="604">
        <f t="shared" si="3"/>
        <v>1.4901001571375014E-2</v>
      </c>
      <c r="J16" s="589"/>
    </row>
    <row r="17" spans="1:10">
      <c r="A17" s="582"/>
      <c r="B17" s="583"/>
      <c r="C17" s="583"/>
      <c r="D17" s="587"/>
      <c r="E17" s="605"/>
      <c r="F17" s="583"/>
      <c r="G17" s="583"/>
      <c r="H17" s="587"/>
      <c r="I17" s="605"/>
      <c r="J17" s="589"/>
    </row>
    <row r="18" spans="1:10">
      <c r="A18" s="594" t="s">
        <v>902</v>
      </c>
      <c r="B18" s="596">
        <f>B6-B16</f>
        <v>69992.722681395302</v>
      </c>
      <c r="C18" s="596">
        <f>C6-C16</f>
        <v>60009</v>
      </c>
      <c r="D18" s="596">
        <f>C18-B18</f>
        <v>-9983.7226813953021</v>
      </c>
      <c r="E18" s="604">
        <f>IFERROR(D18/ABS(B18),"")</f>
        <v>-0.14263943877195487</v>
      </c>
      <c r="F18" s="596">
        <f>F6-F16</f>
        <v>80017.421328521741</v>
      </c>
      <c r="G18" s="596">
        <f>G6-G16</f>
        <v>83983</v>
      </c>
      <c r="H18" s="596">
        <f>G18-F18</f>
        <v>3965.5786714782589</v>
      </c>
      <c r="I18" s="604">
        <f>IFERROR(H18/ABS(F18),"")</f>
        <v>4.9558941111049672E-2</v>
      </c>
      <c r="J18" s="589"/>
    </row>
    <row r="19" spans="1:10">
      <c r="A19" s="585" t="s">
        <v>1026</v>
      </c>
      <c r="B19" s="588">
        <f>IFERROR(B18/B6,"")</f>
        <v>0.3243092935943287</v>
      </c>
      <c r="C19" s="588">
        <f>IFERROR(C18/C6,"")</f>
        <v>0.28586876780457132</v>
      </c>
      <c r="D19" s="588">
        <f>C19-B19</f>
        <v>-3.8440525789757374E-2</v>
      </c>
      <c r="E19" s="605"/>
      <c r="F19" s="588">
        <f>IFERROR(F18/F6,"")</f>
        <v>0.34701304094014918</v>
      </c>
      <c r="G19" s="588">
        <f>IFERROR(G18/G6,"")</f>
        <v>0.36151107782240188</v>
      </c>
      <c r="H19" s="588">
        <f>G19-F19</f>
        <v>1.4498036882252707E-2</v>
      </c>
      <c r="I19" s="605"/>
      <c r="J19" s="589"/>
    </row>
    <row r="20" spans="1:10">
      <c r="A20" s="582"/>
      <c r="B20" s="583"/>
      <c r="C20" s="583"/>
      <c r="D20" s="587"/>
      <c r="E20" s="605"/>
      <c r="F20" s="583"/>
      <c r="G20" s="583"/>
      <c r="H20" s="587"/>
      <c r="I20" s="605"/>
      <c r="J20" s="589"/>
    </row>
    <row r="21" spans="1:10">
      <c r="A21" s="584" t="s">
        <v>1027</v>
      </c>
      <c r="B21" s="583"/>
      <c r="C21" s="583"/>
      <c r="D21" s="587"/>
      <c r="E21" s="605"/>
      <c r="F21" s="583"/>
      <c r="G21" s="583"/>
      <c r="H21" s="587"/>
      <c r="I21" s="605"/>
      <c r="J21" s="589"/>
    </row>
    <row r="22" spans="1:10">
      <c r="A22" s="582" t="s">
        <v>1028</v>
      </c>
      <c r="B22" s="586">
        <f>'Proforma-May'!C61</f>
        <v>5815</v>
      </c>
      <c r="C22" s="586">
        <f>'Jun''26'!J70</f>
        <v>2490</v>
      </c>
      <c r="D22" s="587">
        <f t="shared" ref="D22:D28" si="4">B22-C22</f>
        <v>3325</v>
      </c>
      <c r="E22" s="605">
        <f t="shared" ref="E22:E28" si="5">IFERROR(D22/ABS(B22),"")</f>
        <v>0.57179707652622525</v>
      </c>
      <c r="F22" s="586">
        <f>'Proforma-June'!C61</f>
        <v>6135</v>
      </c>
      <c r="G22" s="586">
        <f>'Jun''26'!F70</f>
        <v>6679</v>
      </c>
      <c r="H22" s="587">
        <f t="shared" ref="H22:H28" si="6">F22-G22</f>
        <v>-544</v>
      </c>
      <c r="I22" s="605">
        <f t="shared" ref="I22:I28" si="7">IFERROR(H22/ABS(F22),"")</f>
        <v>-8.8671556642216792E-2</v>
      </c>
      <c r="J22" s="589"/>
    </row>
    <row r="23" spans="1:10">
      <c r="A23" s="582" t="s">
        <v>1029</v>
      </c>
      <c r="B23" s="586">
        <f>'Proforma-May'!C66</f>
        <v>31439</v>
      </c>
      <c r="C23" s="586">
        <f>'Jun''26'!J85</f>
        <v>25618</v>
      </c>
      <c r="D23" s="587">
        <f t="shared" si="4"/>
        <v>5821</v>
      </c>
      <c r="E23" s="605">
        <f t="shared" si="5"/>
        <v>0.1851521994974395</v>
      </c>
      <c r="F23" s="586">
        <f>'Proforma-June'!C66</f>
        <v>31351</v>
      </c>
      <c r="G23" s="586">
        <f>'Jun''26'!F85</f>
        <v>27321</v>
      </c>
      <c r="H23" s="587">
        <f t="shared" si="6"/>
        <v>4030</v>
      </c>
      <c r="I23" s="605">
        <f t="shared" si="7"/>
        <v>0.12854454403368312</v>
      </c>
      <c r="J23" s="589"/>
    </row>
    <row r="24" spans="1:10" ht="26">
      <c r="A24" s="582" t="s">
        <v>1030</v>
      </c>
      <c r="B24" s="586">
        <f>'Proforma-May'!C67+'Proforma-May'!C68</f>
        <v>4606</v>
      </c>
      <c r="C24" s="586">
        <f>'Jun''26'!J88</f>
        <v>2340</v>
      </c>
      <c r="D24" s="587">
        <f t="shared" si="4"/>
        <v>2266</v>
      </c>
      <c r="E24" s="605">
        <f t="shared" si="5"/>
        <v>0.49196699956578377</v>
      </c>
      <c r="F24" s="586">
        <f>'Proforma-June'!C67+'Proforma-June'!C68</f>
        <v>3449</v>
      </c>
      <c r="G24" s="586">
        <f>'Jun''26'!F88</f>
        <v>6330</v>
      </c>
      <c r="H24" s="587">
        <f t="shared" si="6"/>
        <v>-2881</v>
      </c>
      <c r="I24" s="605">
        <f t="shared" si="7"/>
        <v>-0.83531458393737312</v>
      </c>
      <c r="J24" s="590" t="s">
        <v>1031</v>
      </c>
    </row>
    <row r="25" spans="1:10">
      <c r="A25" s="582" t="s">
        <v>1032</v>
      </c>
      <c r="B25" s="586">
        <f>'Proforma-May'!C73</f>
        <v>6994</v>
      </c>
      <c r="C25" s="586">
        <f>'Jun''26'!J93</f>
        <v>7541</v>
      </c>
      <c r="D25" s="587">
        <f t="shared" si="4"/>
        <v>-547</v>
      </c>
      <c r="E25" s="605">
        <f t="shared" si="5"/>
        <v>-7.8209894195024304E-2</v>
      </c>
      <c r="F25" s="586">
        <f>'Proforma-June'!C73</f>
        <v>6994</v>
      </c>
      <c r="G25" s="586">
        <f>'Jun''26'!F93</f>
        <v>5660</v>
      </c>
      <c r="H25" s="587">
        <f t="shared" si="6"/>
        <v>1334</v>
      </c>
      <c r="I25" s="605">
        <f t="shared" si="7"/>
        <v>0.19073491564197884</v>
      </c>
      <c r="J25" s="589"/>
    </row>
    <row r="26" spans="1:10">
      <c r="A26" s="582" t="s">
        <v>1033</v>
      </c>
      <c r="B26" s="586">
        <f>'Proforma-May'!C88</f>
        <v>12650</v>
      </c>
      <c r="C26" s="586">
        <f>'Jun''26'!J99</f>
        <v>10065</v>
      </c>
      <c r="D26" s="587">
        <f t="shared" si="4"/>
        <v>2585</v>
      </c>
      <c r="E26" s="605">
        <f t="shared" si="5"/>
        <v>0.20434782608695654</v>
      </c>
      <c r="F26" s="586">
        <f>'Proforma-June'!C90</f>
        <v>10235</v>
      </c>
      <c r="G26" s="586">
        <f>'Jun''26'!F99</f>
        <v>13142</v>
      </c>
      <c r="H26" s="587">
        <f t="shared" si="6"/>
        <v>-2907</v>
      </c>
      <c r="I26" s="605">
        <f t="shared" si="7"/>
        <v>-0.28402540302882268</v>
      </c>
      <c r="J26" s="589"/>
    </row>
    <row r="27" spans="1:10">
      <c r="A27" s="581" t="s">
        <v>1034</v>
      </c>
      <c r="B27" s="587">
        <f>SUM(B23:B26)</f>
        <v>55689</v>
      </c>
      <c r="C27" s="587">
        <f>SUM(C23:C26)</f>
        <v>45564</v>
      </c>
      <c r="D27" s="587">
        <f t="shared" si="4"/>
        <v>10125</v>
      </c>
      <c r="E27" s="605">
        <f t="shared" si="5"/>
        <v>0.18181328449065345</v>
      </c>
      <c r="F27" s="587">
        <f>SUM(F23:F26)</f>
        <v>52029</v>
      </c>
      <c r="G27" s="587">
        <f>SUM(G23:G26)</f>
        <v>52453</v>
      </c>
      <c r="H27" s="587">
        <f t="shared" si="6"/>
        <v>-424</v>
      </c>
      <c r="I27" s="605">
        <f t="shared" si="7"/>
        <v>-8.1493013511695408E-3</v>
      </c>
      <c r="J27" s="589"/>
    </row>
    <row r="28" spans="1:10">
      <c r="A28" s="594" t="s">
        <v>20</v>
      </c>
      <c r="B28" s="596">
        <f>B22+B27</f>
        <v>61504</v>
      </c>
      <c r="C28" s="596">
        <f>C22+C27</f>
        <v>48054</v>
      </c>
      <c r="D28" s="596">
        <f t="shared" si="4"/>
        <v>13450</v>
      </c>
      <c r="E28" s="604">
        <f t="shared" si="5"/>
        <v>0.21868496357960457</v>
      </c>
      <c r="F28" s="596">
        <f>F22+F27</f>
        <v>58164</v>
      </c>
      <c r="G28" s="596">
        <f>G22+G27</f>
        <v>59132</v>
      </c>
      <c r="H28" s="596">
        <f t="shared" si="6"/>
        <v>-968</v>
      </c>
      <c r="I28" s="604">
        <f t="shared" si="7"/>
        <v>-1.6642596795268551E-2</v>
      </c>
      <c r="J28" s="589"/>
    </row>
    <row r="29" spans="1:10">
      <c r="A29" s="582"/>
      <c r="B29" s="583"/>
      <c r="C29" s="583"/>
      <c r="D29" s="587"/>
      <c r="E29" s="605"/>
      <c r="F29" s="583"/>
      <c r="G29" s="583"/>
      <c r="H29" s="587"/>
      <c r="I29" s="605"/>
      <c r="J29" s="589"/>
    </row>
    <row r="30" spans="1:10">
      <c r="A30" s="599" t="s">
        <v>21</v>
      </c>
      <c r="B30" s="600">
        <f>B18-B28</f>
        <v>8488.7226813953021</v>
      </c>
      <c r="C30" s="600">
        <f>C18-C28</f>
        <v>11955</v>
      </c>
      <c r="D30" s="600">
        <f>C30-B30</f>
        <v>3466.2773186046979</v>
      </c>
      <c r="E30" s="606">
        <f>IFERROR(D30/ABS(B30),"")</f>
        <v>0.40833909278267783</v>
      </c>
      <c r="F30" s="600">
        <f>F18-F28</f>
        <v>21853.421328521741</v>
      </c>
      <c r="G30" s="600">
        <f>G18-G28</f>
        <v>24851</v>
      </c>
      <c r="H30" s="600">
        <f>G30-F30</f>
        <v>2997.5786714782589</v>
      </c>
      <c r="I30" s="606">
        <f>IFERROR(H30/ABS(F30),"")</f>
        <v>0.13716747718427061</v>
      </c>
      <c r="J30" s="589"/>
    </row>
    <row r="31" spans="1:10">
      <c r="A31" s="601" t="s">
        <v>1035</v>
      </c>
      <c r="B31" s="602">
        <f>IFERROR(B30/B6,"")</f>
        <v>3.9332255566809533E-2</v>
      </c>
      <c r="C31" s="602">
        <f>IFERROR(C30/C6,"")</f>
        <v>5.6950809363656284E-2</v>
      </c>
      <c r="D31" s="602">
        <f>C31-B31</f>
        <v>1.761855379684675E-2</v>
      </c>
      <c r="E31" s="607"/>
      <c r="F31" s="602">
        <f>IFERROR(F30/F6,"")</f>
        <v>9.4772139169818234E-2</v>
      </c>
      <c r="G31" s="602">
        <f>IFERROR(G30/G6,"")</f>
        <v>0.1069729801860437</v>
      </c>
      <c r="H31" s="602">
        <f>G31-F31</f>
        <v>1.2200841016225469E-2</v>
      </c>
      <c r="I31" s="607"/>
      <c r="J31" s="589"/>
    </row>
    <row r="32" spans="1:10">
      <c r="A32" s="582"/>
      <c r="B32" s="583"/>
      <c r="C32" s="583"/>
      <c r="D32" s="587"/>
      <c r="E32" s="605"/>
      <c r="F32" s="583"/>
      <c r="G32" s="583"/>
      <c r="H32" s="587"/>
      <c r="I32" s="605"/>
      <c r="J32" s="589"/>
    </row>
    <row r="33" spans="1:10">
      <c r="A33" s="584" t="s">
        <v>1036</v>
      </c>
      <c r="B33" s="583"/>
      <c r="C33" s="583"/>
      <c r="D33" s="587"/>
      <c r="E33" s="605"/>
      <c r="F33" s="583"/>
      <c r="G33" s="583"/>
      <c r="H33" s="587"/>
      <c r="I33" s="605"/>
      <c r="J33" s="589"/>
    </row>
    <row r="34" spans="1:10" ht="26">
      <c r="A34" s="582" t="s">
        <v>1037</v>
      </c>
      <c r="B34" s="586">
        <f>'Proforma-May'!C39</f>
        <v>1417</v>
      </c>
      <c r="C34" s="586">
        <f>'Jun''26'!J137</f>
        <v>-3671</v>
      </c>
      <c r="D34" s="587">
        <f t="shared" ref="D34:D37" si="8">B34-C34</f>
        <v>5088</v>
      </c>
      <c r="E34" s="605">
        <f t="shared" ref="E34:E37" si="9">IFERROR(D34/ABS(B34),"")</f>
        <v>3.5906845448129854</v>
      </c>
      <c r="F34" s="586">
        <f>'Proforma-June'!C39</f>
        <v>0</v>
      </c>
      <c r="G34" s="586">
        <f>'Jun''26'!F137</f>
        <v>-1067</v>
      </c>
      <c r="H34" s="587">
        <f t="shared" ref="H34:H37" si="10">F34-G34</f>
        <v>1067</v>
      </c>
      <c r="I34" s="605" t="str">
        <f t="shared" ref="I34:I37" si="11">IFERROR(H34/ABS(F34),"")</f>
        <v/>
      </c>
      <c r="J34" s="590" t="s">
        <v>1038</v>
      </c>
    </row>
    <row r="35" spans="1:10">
      <c r="A35" s="582" t="s">
        <v>1039</v>
      </c>
      <c r="B35" s="586"/>
      <c r="C35" s="586">
        <f>'Jun''26'!J146</f>
        <v>4</v>
      </c>
      <c r="D35" s="587">
        <f t="shared" si="8"/>
        <v>-4</v>
      </c>
      <c r="E35" s="605" t="str">
        <f t="shared" si="9"/>
        <v/>
      </c>
      <c r="F35" s="586"/>
      <c r="G35" s="586">
        <f>'Jun''26'!F146</f>
        <v>1</v>
      </c>
      <c r="H35" s="587">
        <f t="shared" si="10"/>
        <v>-1</v>
      </c>
      <c r="I35" s="605" t="str">
        <f t="shared" si="11"/>
        <v/>
      </c>
      <c r="J35" s="590" t="s">
        <v>1040</v>
      </c>
    </row>
    <row r="36" spans="1:10">
      <c r="A36" s="582" t="s">
        <v>1041</v>
      </c>
      <c r="B36" s="586"/>
      <c r="C36" s="586">
        <f>'Jun''26'!J150</f>
        <v>-61</v>
      </c>
      <c r="D36" s="587">
        <f t="shared" si="8"/>
        <v>61</v>
      </c>
      <c r="E36" s="605" t="str">
        <f t="shared" si="9"/>
        <v/>
      </c>
      <c r="F36" s="586"/>
      <c r="G36" s="586">
        <f>'Jun''26'!F150</f>
        <v>-24</v>
      </c>
      <c r="H36" s="587">
        <f t="shared" si="10"/>
        <v>24</v>
      </c>
      <c r="I36" s="605" t="str">
        <f t="shared" si="11"/>
        <v/>
      </c>
      <c r="J36" s="590" t="s">
        <v>1040</v>
      </c>
    </row>
    <row r="37" spans="1:10">
      <c r="A37" s="594" t="s">
        <v>1042</v>
      </c>
      <c r="B37" s="596">
        <f>SUM(B34:B36)</f>
        <v>1417</v>
      </c>
      <c r="C37" s="596">
        <f>SUM(C34:C36)</f>
        <v>-3728</v>
      </c>
      <c r="D37" s="596">
        <f t="shared" si="8"/>
        <v>5145</v>
      </c>
      <c r="E37" s="604">
        <f t="shared" si="9"/>
        <v>3.6309103740296402</v>
      </c>
      <c r="F37" s="596">
        <f>SUM(F34:F36)</f>
        <v>0</v>
      </c>
      <c r="G37" s="596">
        <f>SUM(G34:G36)</f>
        <v>-1090</v>
      </c>
      <c r="H37" s="596">
        <f t="shared" si="10"/>
        <v>1090</v>
      </c>
      <c r="I37" s="604" t="str">
        <f t="shared" si="11"/>
        <v/>
      </c>
      <c r="J37" s="589"/>
    </row>
    <row r="38" spans="1:10" ht="14.5" thickBot="1">
      <c r="A38" s="597" t="s">
        <v>26</v>
      </c>
      <c r="B38" s="598">
        <f>B30-B37</f>
        <v>7071.7226813953021</v>
      </c>
      <c r="C38" s="598">
        <f>C30-C37</f>
        <v>15683</v>
      </c>
      <c r="D38" s="598">
        <f>C38-B38</f>
        <v>8611.2773186046979</v>
      </c>
      <c r="E38" s="608">
        <f>IFERROR(D38/ABS(B38),"")</f>
        <v>1.2177057425144435</v>
      </c>
      <c r="F38" s="598">
        <f>F30-F37</f>
        <v>21853.421328521741</v>
      </c>
      <c r="G38" s="598">
        <f>G30-G37</f>
        <v>25941</v>
      </c>
      <c r="H38" s="598">
        <f>G38-F38</f>
        <v>4087.5786714782589</v>
      </c>
      <c r="I38" s="608">
        <f>IFERROR(H38/ABS(F38),"")</f>
        <v>0.18704525071977643</v>
      </c>
      <c r="J38" s="589"/>
    </row>
    <row r="39" spans="1:10" ht="14.5" thickTop="1">
      <c r="A39" s="582"/>
      <c r="B39" s="583"/>
      <c r="C39" s="583"/>
      <c r="D39" s="587"/>
      <c r="E39" s="605"/>
      <c r="F39" s="583"/>
      <c r="G39" s="583"/>
      <c r="H39" s="587"/>
      <c r="I39" s="605"/>
      <c r="J39" s="589"/>
    </row>
    <row r="40" spans="1:10">
      <c r="A40" s="609" t="s">
        <v>1043</v>
      </c>
      <c r="B40" s="610"/>
      <c r="C40" s="610"/>
      <c r="D40" s="611"/>
      <c r="E40" s="612"/>
      <c r="F40" s="610"/>
      <c r="G40" s="610"/>
      <c r="H40" s="611"/>
      <c r="I40" s="612"/>
      <c r="J40" s="590"/>
    </row>
    <row r="41" spans="1:10">
      <c r="A41" s="585" t="s">
        <v>1044</v>
      </c>
      <c r="B41" s="613">
        <f>'Proforma-May'!C92</f>
        <v>7071.7226813953021</v>
      </c>
      <c r="C41" s="613"/>
      <c r="D41" s="611"/>
      <c r="E41" s="612"/>
      <c r="F41" s="613">
        <f>'Proforma-June'!C94</f>
        <v>21853.421328521741</v>
      </c>
      <c r="G41" s="613"/>
      <c r="H41" s="611"/>
      <c r="I41" s="612"/>
      <c r="J41" s="590"/>
    </row>
    <row r="42" spans="1:10">
      <c r="A42" s="585" t="s">
        <v>1045</v>
      </c>
      <c r="B42" s="613">
        <f>'Proforma-May'!C39</f>
        <v>1417</v>
      </c>
      <c r="C42" s="613"/>
      <c r="D42" s="611"/>
      <c r="E42" s="612"/>
      <c r="F42" s="613">
        <f>'Proforma-June'!C39</f>
        <v>0</v>
      </c>
      <c r="G42" s="613"/>
      <c r="H42" s="611"/>
      <c r="I42" s="612"/>
      <c r="J42" s="590"/>
    </row>
    <row r="43" spans="1:10">
      <c r="A43" s="614" t="s">
        <v>1046</v>
      </c>
      <c r="B43" s="615">
        <f>B41+B42</f>
        <v>8488.7226813953021</v>
      </c>
      <c r="C43" s="615"/>
      <c r="D43" s="615"/>
      <c r="E43" s="616"/>
      <c r="F43" s="615">
        <f>F41+F42</f>
        <v>21853.421328521741</v>
      </c>
      <c r="G43" s="615"/>
      <c r="H43" s="615"/>
      <c r="I43" s="616"/>
      <c r="J43" s="590"/>
    </row>
    <row r="44" spans="1:10">
      <c r="A44" s="585" t="s">
        <v>1047</v>
      </c>
      <c r="B44" s="611">
        <f>B43-B30</f>
        <v>0</v>
      </c>
      <c r="C44" s="611"/>
      <c r="D44" s="611"/>
      <c r="E44" s="612"/>
      <c r="F44" s="611">
        <f>F43-F30</f>
        <v>0</v>
      </c>
      <c r="G44" s="611"/>
      <c r="H44" s="611"/>
      <c r="I44" s="612"/>
      <c r="J44" s="590"/>
    </row>
    <row r="45" spans="1:10">
      <c r="A45" s="585" t="s">
        <v>1048</v>
      </c>
      <c r="B45" s="613"/>
      <c r="C45" s="613">
        <f>'Jun''26'!J134</f>
        <v>11957</v>
      </c>
      <c r="D45" s="611"/>
      <c r="E45" s="612"/>
      <c r="F45" s="613"/>
      <c r="G45" s="613">
        <f>'Jun''26'!F134</f>
        <v>24852</v>
      </c>
      <c r="H45" s="611"/>
      <c r="I45" s="612"/>
      <c r="J45" s="590"/>
    </row>
    <row r="46" spans="1:10">
      <c r="A46" s="585" t="s">
        <v>1049</v>
      </c>
      <c r="B46" s="611"/>
      <c r="C46" s="611">
        <f>C45-C30</f>
        <v>2</v>
      </c>
      <c r="D46" s="611"/>
      <c r="E46" s="612"/>
      <c r="F46" s="611"/>
      <c r="G46" s="611">
        <f>G45-G30</f>
        <v>1</v>
      </c>
      <c r="H46" s="611"/>
      <c r="I46" s="612"/>
      <c r="J46" s="590"/>
    </row>
  </sheetData>
  <mergeCells count="2">
    <mergeCell ref="B4:E4"/>
    <mergeCell ref="F4:I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1A45C-0CFB-42EF-8A8A-38C5B60B4B0C}">
  <dimension ref="B5:B7"/>
  <sheetViews>
    <sheetView showGridLines="0" workbookViewId="0">
      <selection activeCell="I8" sqref="I8"/>
    </sheetView>
  </sheetViews>
  <sheetFormatPr defaultRowHeight="14"/>
  <sheetData>
    <row r="5" spans="2:2" ht="20">
      <c r="B5" s="509" t="s">
        <v>967</v>
      </c>
    </row>
    <row r="7" spans="2:2" ht="20">
      <c r="B7" s="509" t="s">
        <v>965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E190-FD56-482D-B285-4C39913CE5EB}">
  <dimension ref="A1:AF36"/>
  <sheetViews>
    <sheetView showGridLines="0" zoomScale="80" zoomScaleNormal="70" workbookViewId="0">
      <pane xSplit="1" topLeftCell="B1" activePane="topRight" state="frozen"/>
      <selection pane="topRight" activeCell="M17" sqref="M17"/>
    </sheetView>
  </sheetViews>
  <sheetFormatPr defaultColWidth="8" defaultRowHeight="14.5" outlineLevelCol="1"/>
  <cols>
    <col min="1" max="1" width="33.4140625" style="121" customWidth="1"/>
    <col min="2" max="21" width="9.9140625" style="121" customWidth="1"/>
    <col min="22" max="22" width="8" style="121"/>
    <col min="23" max="23" width="10.08203125" style="121" customWidth="1"/>
    <col min="24" max="24" width="9.58203125" style="121" bestFit="1" customWidth="1"/>
    <col min="25" max="25" width="9.33203125" style="121" bestFit="1" customWidth="1"/>
    <col min="26" max="29" width="9.33203125" style="121" customWidth="1"/>
    <col min="30" max="31" width="21.58203125" style="121" hidden="1" customWidth="1" outlineLevel="1"/>
    <col min="32" max="32" width="8" style="121" collapsed="1"/>
    <col min="33" max="16384" width="8" style="121"/>
  </cols>
  <sheetData>
    <row r="1" spans="1:31" ht="18.5">
      <c r="A1" s="405" t="s">
        <v>886</v>
      </c>
    </row>
    <row r="2" spans="1:31">
      <c r="A2" s="406"/>
    </row>
    <row r="4" spans="1:31" ht="42" customHeight="1">
      <c r="A4" s="407" t="s">
        <v>887</v>
      </c>
      <c r="B4" s="407" t="s">
        <v>28</v>
      </c>
      <c r="C4" s="407" t="s">
        <v>888</v>
      </c>
      <c r="D4" s="407" t="s">
        <v>889</v>
      </c>
      <c r="E4" s="407" t="s">
        <v>890</v>
      </c>
      <c r="F4" s="407" t="s">
        <v>891</v>
      </c>
      <c r="G4" s="407" t="s">
        <v>892</v>
      </c>
      <c r="H4" s="407" t="s">
        <v>893</v>
      </c>
      <c r="I4" s="407" t="s">
        <v>894</v>
      </c>
      <c r="J4" s="407" t="s">
        <v>895</v>
      </c>
      <c r="K4" s="407" t="s">
        <v>896</v>
      </c>
      <c r="L4" s="407" t="s">
        <v>897</v>
      </c>
      <c r="M4" s="407" t="s">
        <v>898</v>
      </c>
      <c r="N4" s="407" t="s">
        <v>899</v>
      </c>
      <c r="O4" s="407" t="s">
        <v>900</v>
      </c>
      <c r="P4" s="407" t="s">
        <v>863</v>
      </c>
      <c r="Q4" s="407" t="s">
        <v>7</v>
      </c>
      <c r="R4" s="407" t="s">
        <v>9</v>
      </c>
      <c r="S4" s="407" t="s">
        <v>901</v>
      </c>
      <c r="T4" s="407" t="s">
        <v>902</v>
      </c>
      <c r="U4" s="407" t="s">
        <v>903</v>
      </c>
      <c r="W4" s="408" t="s">
        <v>904</v>
      </c>
      <c r="X4" s="408" t="s">
        <v>905</v>
      </c>
      <c r="Y4" s="408" t="s">
        <v>906</v>
      </c>
      <c r="Z4" s="409"/>
      <c r="AA4" s="409"/>
      <c r="AB4" s="409"/>
      <c r="AC4" s="409"/>
      <c r="AD4" s="410" t="s">
        <v>907</v>
      </c>
      <c r="AE4" s="410" t="s">
        <v>887</v>
      </c>
    </row>
    <row r="5" spans="1:31">
      <c r="A5" s="411" t="s">
        <v>908</v>
      </c>
      <c r="B5" s="412">
        <v>6750</v>
      </c>
      <c r="C5" s="413">
        <f t="shared" ref="C5:C29" si="0">IFERROR(B5/B$30,0)</f>
        <v>3.2155106707317076E-2</v>
      </c>
      <c r="D5" s="414">
        <v>4.7505266499896504</v>
      </c>
      <c r="E5" s="414">
        <v>3</v>
      </c>
      <c r="F5" s="414">
        <v>1.2294031205778799</v>
      </c>
      <c r="G5" s="414">
        <v>0.158823529411765</v>
      </c>
      <c r="H5" s="414">
        <v>0.36230000000000001</v>
      </c>
      <c r="I5" s="412">
        <v>1042.3369565217399</v>
      </c>
      <c r="J5" s="412">
        <v>219.33467921994901</v>
      </c>
      <c r="K5" s="412">
        <v>684.38929115853705</v>
      </c>
      <c r="L5" s="412">
        <v>125.11764705882401</v>
      </c>
      <c r="M5" s="412">
        <v>4678.8214260409504</v>
      </c>
      <c r="N5" s="413">
        <f t="shared" ref="N5:N30" si="1">IFERROR(M5/B5,0)</f>
        <v>0.69315872978384452</v>
      </c>
      <c r="O5" s="412">
        <v>716.55586567227601</v>
      </c>
      <c r="P5" s="412">
        <v>384.29347193478998</v>
      </c>
      <c r="Q5" s="412">
        <v>43.918616648650598</v>
      </c>
      <c r="R5" s="412">
        <v>393.68389225428302</v>
      </c>
      <c r="S5" s="412">
        <v>1538.45184651</v>
      </c>
      <c r="T5" s="412">
        <v>3140.36957953095</v>
      </c>
      <c r="U5" s="413">
        <f t="shared" ref="U5:U30" si="2">IFERROR(T5/B5,0)</f>
        <v>0.46523993770828886</v>
      </c>
      <c r="W5" s="415">
        <f t="shared" ref="W5:W30" si="3">D5</f>
        <v>4.7505266499896504</v>
      </c>
      <c r="X5" s="412">
        <f t="shared" ref="X5:X30" si="4">IFERROR(B5/D5,0)</f>
        <v>1420.8950917083489</v>
      </c>
      <c r="Y5" s="416">
        <f t="shared" ref="Y5:Y30" si="5">IFERROR((I5+J5+L5+S5)/D5,0)</f>
        <v>615.7719648445476</v>
      </c>
      <c r="Z5" s="417"/>
      <c r="AA5" s="417"/>
      <c r="AB5" s="417"/>
      <c r="AC5" s="417"/>
      <c r="AD5" s="418" t="s">
        <v>908</v>
      </c>
      <c r="AE5" s="418" t="s">
        <v>908</v>
      </c>
    </row>
    <row r="6" spans="1:31">
      <c r="A6" s="411" t="s">
        <v>909</v>
      </c>
      <c r="B6" s="412">
        <v>8073</v>
      </c>
      <c r="C6" s="413">
        <f t="shared" si="0"/>
        <v>3.8457507621951222E-2</v>
      </c>
      <c r="D6" s="414">
        <v>8.7050835981538697</v>
      </c>
      <c r="E6" s="414">
        <v>7</v>
      </c>
      <c r="F6" s="414">
        <v>0.75453744430771696</v>
      </c>
      <c r="G6" s="414">
        <v>0.55384615384615399</v>
      </c>
      <c r="H6" s="414">
        <v>0.3967</v>
      </c>
      <c r="I6" s="412">
        <v>2499.25</v>
      </c>
      <c r="J6" s="412">
        <v>413.98262959866202</v>
      </c>
      <c r="K6" s="412">
        <v>818.52959222561003</v>
      </c>
      <c r="L6" s="412">
        <v>125.11764705882401</v>
      </c>
      <c r="M6" s="412">
        <v>4216.1201311168998</v>
      </c>
      <c r="N6" s="413">
        <f t="shared" si="1"/>
        <v>0.522249489795231</v>
      </c>
      <c r="O6" s="412">
        <v>728.39993609501801</v>
      </c>
      <c r="P6" s="412">
        <v>704.19703874820698</v>
      </c>
      <c r="Q6" s="412">
        <v>80.478493777655004</v>
      </c>
      <c r="R6" s="412">
        <v>721.40447698101104</v>
      </c>
      <c r="S6" s="412">
        <v>2234.47994560189</v>
      </c>
      <c r="T6" s="412">
        <v>1981.64018551501</v>
      </c>
      <c r="U6" s="413">
        <f t="shared" si="2"/>
        <v>0.24546515366220859</v>
      </c>
      <c r="W6" s="415">
        <f t="shared" si="3"/>
        <v>8.7050835981538697</v>
      </c>
      <c r="X6" s="412">
        <f t="shared" si="4"/>
        <v>927.3891409511657</v>
      </c>
      <c r="Y6" s="416">
        <f t="shared" si="5"/>
        <v>605.71850491793225</v>
      </c>
      <c r="Z6" s="417"/>
      <c r="AA6" s="417"/>
      <c r="AB6" s="417"/>
      <c r="AC6" s="417"/>
      <c r="AD6" s="418" t="s">
        <v>1058</v>
      </c>
      <c r="AE6" s="418" t="s">
        <v>909</v>
      </c>
    </row>
    <row r="7" spans="1:31">
      <c r="A7" s="411" t="s">
        <v>910</v>
      </c>
      <c r="B7" s="412">
        <v>73430</v>
      </c>
      <c r="C7" s="413">
        <f t="shared" si="0"/>
        <v>0.3497999237804878</v>
      </c>
      <c r="D7" s="414">
        <v>68.117825110819695</v>
      </c>
      <c r="E7" s="414">
        <v>58</v>
      </c>
      <c r="F7" s="414">
        <v>6.5666141551087396</v>
      </c>
      <c r="G7" s="414">
        <v>1.01821095571096</v>
      </c>
      <c r="H7" s="414">
        <v>2.5329999999999999</v>
      </c>
      <c r="I7" s="412">
        <v>23466.532608695699</v>
      </c>
      <c r="J7" s="412">
        <v>1557.2920271840501</v>
      </c>
      <c r="K7" s="412">
        <v>7445.1415777438997</v>
      </c>
      <c r="L7" s="412">
        <v>2752.5882352941198</v>
      </c>
      <c r="M7" s="412">
        <v>38208.445551082303</v>
      </c>
      <c r="N7" s="413">
        <f t="shared" si="1"/>
        <v>0.5203383569533202</v>
      </c>
      <c r="O7" s="412">
        <v>5545.2855238039301</v>
      </c>
      <c r="P7" s="412">
        <v>5510.3859932121004</v>
      </c>
      <c r="Q7" s="412">
        <v>629.74926116632503</v>
      </c>
      <c r="R7" s="412">
        <v>5645.0352765798098</v>
      </c>
      <c r="S7" s="412">
        <v>17330.456054762199</v>
      </c>
      <c r="T7" s="412">
        <v>20877.9894963201</v>
      </c>
      <c r="U7" s="413">
        <f t="shared" si="2"/>
        <v>0.28432506463734303</v>
      </c>
      <c r="W7" s="415">
        <f t="shared" si="3"/>
        <v>68.117825110819695</v>
      </c>
      <c r="X7" s="412">
        <f t="shared" si="4"/>
        <v>1077.9850924561672</v>
      </c>
      <c r="Y7" s="416">
        <f t="shared" si="5"/>
        <v>662.18891828317328</v>
      </c>
      <c r="Z7" s="417"/>
      <c r="AA7" s="417"/>
      <c r="AB7" s="417"/>
      <c r="AC7" s="417"/>
      <c r="AD7" s="418" t="s">
        <v>1059</v>
      </c>
      <c r="AE7" s="418" t="s">
        <v>909</v>
      </c>
    </row>
    <row r="8" spans="1:31">
      <c r="A8" s="411" t="s">
        <v>911</v>
      </c>
      <c r="B8" s="412">
        <v>19905</v>
      </c>
      <c r="C8" s="413">
        <f t="shared" si="0"/>
        <v>9.4821836890243899E-2</v>
      </c>
      <c r="D8" s="414">
        <v>26.929792230735799</v>
      </c>
      <c r="E8" s="414">
        <v>21</v>
      </c>
      <c r="F8" s="414">
        <v>1.9106794102229501</v>
      </c>
      <c r="G8" s="414">
        <v>1.69551282051282</v>
      </c>
      <c r="H8" s="414">
        <v>2.3235999999999999</v>
      </c>
      <c r="I8" s="412">
        <v>5106.6304347826099</v>
      </c>
      <c r="J8" s="412">
        <v>1401.10446039576</v>
      </c>
      <c r="K8" s="412">
        <v>2018.1879763719501</v>
      </c>
      <c r="L8" s="412">
        <v>0</v>
      </c>
      <c r="M8" s="412">
        <v>11379.0771284497</v>
      </c>
      <c r="N8" s="413">
        <f t="shared" si="1"/>
        <v>0.57166928552874652</v>
      </c>
      <c r="O8" s="412">
        <v>1205.33467285507</v>
      </c>
      <c r="P8" s="412">
        <v>2178.4833803331098</v>
      </c>
      <c r="Q8" s="412">
        <v>248.96591652887</v>
      </c>
      <c r="R8" s="412">
        <v>2231.71580839744</v>
      </c>
      <c r="S8" s="412">
        <v>5864.4997781144903</v>
      </c>
      <c r="T8" s="412">
        <v>5514.5773503351902</v>
      </c>
      <c r="U8" s="413">
        <f t="shared" si="2"/>
        <v>0.2770448304614514</v>
      </c>
      <c r="W8" s="415">
        <f t="shared" si="3"/>
        <v>26.929792230735799</v>
      </c>
      <c r="X8" s="412">
        <f t="shared" si="4"/>
        <v>739.14420985698553</v>
      </c>
      <c r="Y8" s="416">
        <f t="shared" si="5"/>
        <v>459.42555246200703</v>
      </c>
      <c r="Z8" s="417"/>
      <c r="AA8" s="417"/>
      <c r="AB8" s="417"/>
      <c r="AC8" s="417"/>
      <c r="AD8" s="418" t="s">
        <v>910</v>
      </c>
      <c r="AE8" s="418" t="s">
        <v>910</v>
      </c>
    </row>
    <row r="9" spans="1:31">
      <c r="A9" s="411" t="s">
        <v>912</v>
      </c>
      <c r="B9" s="412">
        <v>14120</v>
      </c>
      <c r="C9" s="413">
        <f t="shared" si="0"/>
        <v>6.7263719512195119E-2</v>
      </c>
      <c r="D9" s="414">
        <v>5.4882597811652802</v>
      </c>
      <c r="E9" s="414">
        <v>4</v>
      </c>
      <c r="F9" s="414">
        <v>0.63392644783194796</v>
      </c>
      <c r="G9" s="414">
        <v>0.38333333333333303</v>
      </c>
      <c r="H9" s="414">
        <v>0.47099999999999997</v>
      </c>
      <c r="I9" s="412">
        <v>1353.9347826087001</v>
      </c>
      <c r="J9" s="412">
        <v>275.98629637681199</v>
      </c>
      <c r="K9" s="412">
        <v>1431.64100609756</v>
      </c>
      <c r="L9" s="412">
        <v>125.11764705882401</v>
      </c>
      <c r="M9" s="412">
        <v>10933.3202678581</v>
      </c>
      <c r="N9" s="413">
        <f t="shared" si="1"/>
        <v>0.77431446656218839</v>
      </c>
      <c r="O9" s="412">
        <v>401.02219677024999</v>
      </c>
      <c r="P9" s="412">
        <v>443.97233434921901</v>
      </c>
      <c r="Q9" s="412">
        <v>50.738959099983298</v>
      </c>
      <c r="R9" s="412">
        <v>454.82104018014502</v>
      </c>
      <c r="S9" s="412">
        <v>1350.5545303996</v>
      </c>
      <c r="T9" s="412">
        <v>9582.7657374585106</v>
      </c>
      <c r="U9" s="413">
        <f t="shared" si="2"/>
        <v>0.67866612871519194</v>
      </c>
      <c r="W9" s="415">
        <f t="shared" si="3"/>
        <v>5.4882597811652802</v>
      </c>
      <c r="X9" s="412">
        <f t="shared" si="4"/>
        <v>2572.7645124338501</v>
      </c>
      <c r="Y9" s="416">
        <f t="shared" si="5"/>
        <v>565.86119831677308</v>
      </c>
      <c r="Z9" s="417"/>
      <c r="AA9" s="417"/>
      <c r="AB9" s="417"/>
      <c r="AC9" s="417"/>
      <c r="AD9" s="418" t="s">
        <v>911</v>
      </c>
      <c r="AE9" s="418" t="s">
        <v>911</v>
      </c>
    </row>
    <row r="10" spans="1:31">
      <c r="A10" s="411" t="s">
        <v>913</v>
      </c>
      <c r="B10" s="412">
        <v>21500</v>
      </c>
      <c r="C10" s="413">
        <f t="shared" si="0"/>
        <v>0.10241996951219512</v>
      </c>
      <c r="D10" s="414">
        <v>13.1388477112777</v>
      </c>
      <c r="E10" s="414">
        <v>9</v>
      </c>
      <c r="F10" s="414">
        <v>1.5194143779443301</v>
      </c>
      <c r="G10" s="414">
        <v>0.69583333333333297</v>
      </c>
      <c r="H10" s="414">
        <v>1.9236</v>
      </c>
      <c r="I10" s="412">
        <v>3011.5108695652202</v>
      </c>
      <c r="J10" s="412">
        <v>1022.53567463768</v>
      </c>
      <c r="K10" s="412">
        <v>2179.90663109756</v>
      </c>
      <c r="L10" s="412">
        <v>250.23529411764699</v>
      </c>
      <c r="M10" s="412">
        <v>15035.811530581899</v>
      </c>
      <c r="N10" s="413">
        <f t="shared" si="1"/>
        <v>0.69934007118985575</v>
      </c>
      <c r="O10" s="412">
        <v>1282.1750790389699</v>
      </c>
      <c r="P10" s="412">
        <v>1062.86603069585</v>
      </c>
      <c r="Q10" s="412">
        <v>121.46864092171</v>
      </c>
      <c r="R10" s="412">
        <v>1088.8377411214699</v>
      </c>
      <c r="S10" s="412">
        <v>3555.34749177801</v>
      </c>
      <c r="T10" s="412">
        <v>11480.464038803901</v>
      </c>
      <c r="U10" s="413">
        <f t="shared" si="2"/>
        <v>0.53397507157227442</v>
      </c>
      <c r="W10" s="415">
        <f t="shared" si="3"/>
        <v>13.1388477112777</v>
      </c>
      <c r="X10" s="412">
        <f t="shared" si="4"/>
        <v>1636.3687647848694</v>
      </c>
      <c r="Y10" s="416">
        <f t="shared" si="5"/>
        <v>596.67556108207498</v>
      </c>
      <c r="Z10" s="417"/>
      <c r="AA10" s="417"/>
      <c r="AB10" s="417"/>
      <c r="AC10" s="417"/>
      <c r="AD10" s="418" t="s">
        <v>912</v>
      </c>
      <c r="AE10" s="418" t="s">
        <v>912</v>
      </c>
    </row>
    <row r="11" spans="1:31">
      <c r="A11" s="411" t="s">
        <v>914</v>
      </c>
      <c r="B11" s="412">
        <v>14643</v>
      </c>
      <c r="C11" s="413">
        <f t="shared" si="0"/>
        <v>6.9755144817073164E-2</v>
      </c>
      <c r="D11" s="414">
        <v>22.206781307593701</v>
      </c>
      <c r="E11" s="414">
        <v>15</v>
      </c>
      <c r="F11" s="414">
        <v>2.1625299706953198</v>
      </c>
      <c r="G11" s="414">
        <v>1.0442513368984001</v>
      </c>
      <c r="H11" s="414">
        <v>4</v>
      </c>
      <c r="I11" s="412">
        <v>4719.4130434782601</v>
      </c>
      <c r="J11" s="412">
        <v>1837.6232649383901</v>
      </c>
      <c r="K11" s="412">
        <v>1484.66850228659</v>
      </c>
      <c r="L11" s="412">
        <v>125.11764705882401</v>
      </c>
      <c r="M11" s="412">
        <v>6476.1775422379496</v>
      </c>
      <c r="N11" s="413">
        <f t="shared" si="1"/>
        <v>0.44227122462869284</v>
      </c>
      <c r="O11" s="412">
        <v>1194.7794221978099</v>
      </c>
      <c r="P11" s="412">
        <v>1796.4157909124399</v>
      </c>
      <c r="Q11" s="412">
        <v>205.30168276200601</v>
      </c>
      <c r="R11" s="412">
        <v>1840.3121893089899</v>
      </c>
      <c r="S11" s="412">
        <v>5036.8090851812503</v>
      </c>
      <c r="T11" s="412">
        <v>1439.36845705669</v>
      </c>
      <c r="U11" s="413">
        <f t="shared" si="2"/>
        <v>9.8297374653874892E-2</v>
      </c>
      <c r="W11" s="415">
        <f t="shared" si="3"/>
        <v>22.206781307593701</v>
      </c>
      <c r="X11" s="412">
        <f t="shared" si="4"/>
        <v>659.39317351645036</v>
      </c>
      <c r="Y11" s="416">
        <f t="shared" si="5"/>
        <v>527.72001841839983</v>
      </c>
      <c r="Z11" s="417"/>
      <c r="AA11" s="417"/>
      <c r="AB11" s="417"/>
      <c r="AC11" s="417"/>
      <c r="AD11" s="418" t="s">
        <v>913</v>
      </c>
      <c r="AE11" s="418" t="s">
        <v>913</v>
      </c>
    </row>
    <row r="12" spans="1:31">
      <c r="A12" s="411" t="s">
        <v>915</v>
      </c>
      <c r="B12" s="412">
        <v>883</v>
      </c>
      <c r="C12" s="413">
        <f t="shared" si="0"/>
        <v>4.2063643292682929E-3</v>
      </c>
      <c r="D12" s="414">
        <v>5.4032870623978102</v>
      </c>
      <c r="E12" s="414">
        <v>5</v>
      </c>
      <c r="F12" s="414">
        <v>0.26386398547473799</v>
      </c>
      <c r="G12" s="414">
        <v>0.13942307692307701</v>
      </c>
      <c r="H12" s="414">
        <v>0</v>
      </c>
      <c r="I12" s="412">
        <v>1231.25</v>
      </c>
      <c r="J12" s="412">
        <v>30.697428929765898</v>
      </c>
      <c r="K12" s="412">
        <v>89.528258384146298</v>
      </c>
      <c r="L12" s="412">
        <v>0</v>
      </c>
      <c r="M12" s="412">
        <v>-468.47568731391198</v>
      </c>
      <c r="N12" s="413">
        <f t="shared" si="1"/>
        <v>-0.53055004225811098</v>
      </c>
      <c r="O12" s="412">
        <v>254.72362121659401</v>
      </c>
      <c r="P12" s="412">
        <v>437.098473086919</v>
      </c>
      <c r="Q12" s="412">
        <v>49.9533863548751</v>
      </c>
      <c r="R12" s="412">
        <v>447.77921237356298</v>
      </c>
      <c r="S12" s="412">
        <v>1189.5546930319499</v>
      </c>
      <c r="T12" s="412">
        <v>-1658.0303803458601</v>
      </c>
      <c r="U12" s="413">
        <f t="shared" si="2"/>
        <v>-1.8777241000519367</v>
      </c>
      <c r="W12" s="415">
        <f t="shared" si="3"/>
        <v>5.4032870623978102</v>
      </c>
      <c r="X12" s="412">
        <f t="shared" si="4"/>
        <v>163.4190428535463</v>
      </c>
      <c r="Y12" s="416">
        <f t="shared" si="5"/>
        <v>453.70569685664924</v>
      </c>
      <c r="Z12" s="417"/>
      <c r="AA12" s="417"/>
      <c r="AB12" s="417"/>
      <c r="AC12" s="417"/>
      <c r="AD12" s="418" t="s">
        <v>914</v>
      </c>
      <c r="AE12" s="418" t="s">
        <v>914</v>
      </c>
    </row>
    <row r="13" spans="1:31">
      <c r="A13" s="411" t="s">
        <v>916</v>
      </c>
      <c r="B13" s="412">
        <v>1450</v>
      </c>
      <c r="C13" s="413">
        <f t="shared" si="0"/>
        <v>6.9073932926829269E-3</v>
      </c>
      <c r="D13" s="414">
        <v>1.4940308341280399</v>
      </c>
      <c r="E13" s="414">
        <v>1</v>
      </c>
      <c r="F13" s="414">
        <v>0.184874423871632</v>
      </c>
      <c r="G13" s="414">
        <v>0.11025641025641</v>
      </c>
      <c r="H13" s="414">
        <v>0.19889999999999999</v>
      </c>
      <c r="I13" s="412">
        <v>585.51086956521704</v>
      </c>
      <c r="J13" s="412">
        <v>128.20444921962101</v>
      </c>
      <c r="K13" s="412">
        <v>147.01695884146301</v>
      </c>
      <c r="L13" s="412">
        <v>0</v>
      </c>
      <c r="M13" s="412">
        <v>589.26772237369801</v>
      </c>
      <c r="N13" s="413">
        <f t="shared" si="1"/>
        <v>0.40639153267151584</v>
      </c>
      <c r="O13" s="412">
        <v>149.887015152109</v>
      </c>
      <c r="P13" s="412">
        <v>120.859504372204</v>
      </c>
      <c r="Q13" s="412">
        <v>13.812314360025001</v>
      </c>
      <c r="R13" s="412">
        <v>123.812772196262</v>
      </c>
      <c r="S13" s="412">
        <v>408.371606080601</v>
      </c>
      <c r="T13" s="412">
        <v>180.89611629309701</v>
      </c>
      <c r="U13" s="413">
        <f t="shared" si="2"/>
        <v>0.12475594227110139</v>
      </c>
      <c r="W13" s="415">
        <f t="shared" si="3"/>
        <v>1.4940308341280399</v>
      </c>
      <c r="X13" s="412">
        <f t="shared" si="4"/>
        <v>970.52883172003772</v>
      </c>
      <c r="Y13" s="416">
        <f t="shared" si="5"/>
        <v>751.04669812274767</v>
      </c>
      <c r="Z13" s="417"/>
      <c r="AA13" s="417"/>
      <c r="AB13" s="417"/>
      <c r="AC13" s="417"/>
      <c r="AD13" s="418" t="s">
        <v>1060</v>
      </c>
      <c r="AE13" s="418" t="s">
        <v>915</v>
      </c>
    </row>
    <row r="14" spans="1:31">
      <c r="A14" s="411" t="s">
        <v>917</v>
      </c>
      <c r="B14" s="412">
        <v>5111</v>
      </c>
      <c r="C14" s="413">
        <f t="shared" si="0"/>
        <v>2.434737042682927E-2</v>
      </c>
      <c r="D14" s="414">
        <v>3.3100294086416202</v>
      </c>
      <c r="E14" s="414">
        <v>3</v>
      </c>
      <c r="F14" s="414">
        <v>9.2671037600899397E-2</v>
      </c>
      <c r="G14" s="414">
        <v>0.16515837104072401</v>
      </c>
      <c r="H14" s="414">
        <v>5.2200000000000003E-2</v>
      </c>
      <c r="I14" s="412">
        <v>1260.4239130434801</v>
      </c>
      <c r="J14" s="412">
        <v>64.306205911863103</v>
      </c>
      <c r="K14" s="412">
        <v>518.20943216463399</v>
      </c>
      <c r="L14" s="412">
        <v>125.11764705882401</v>
      </c>
      <c r="M14" s="412">
        <v>3142.9428018212002</v>
      </c>
      <c r="N14" s="413">
        <f t="shared" si="1"/>
        <v>0.61493695985544905</v>
      </c>
      <c r="O14" s="412">
        <v>94.021258161597103</v>
      </c>
      <c r="P14" s="412">
        <v>267.764563252355</v>
      </c>
      <c r="Q14" s="412">
        <v>30.601220328741501</v>
      </c>
      <c r="R14" s="412">
        <v>274.30753621243599</v>
      </c>
      <c r="S14" s="412">
        <v>666.69457795512903</v>
      </c>
      <c r="T14" s="412">
        <v>2476.24822386607</v>
      </c>
      <c r="U14" s="413">
        <f t="shared" si="2"/>
        <v>0.48449388062337506</v>
      </c>
      <c r="W14" s="415">
        <f t="shared" si="3"/>
        <v>3.3100294086416202</v>
      </c>
      <c r="X14" s="412">
        <f t="shared" si="4"/>
        <v>1544.0950423753086</v>
      </c>
      <c r="Y14" s="416">
        <f t="shared" si="5"/>
        <v>639.4330933868921</v>
      </c>
      <c r="Z14" s="417"/>
      <c r="AA14" s="417"/>
      <c r="AB14" s="417"/>
      <c r="AC14" s="417"/>
      <c r="AD14" s="418" t="s">
        <v>1061</v>
      </c>
      <c r="AE14" s="418" t="s">
        <v>915</v>
      </c>
    </row>
    <row r="15" spans="1:31">
      <c r="A15" s="411" t="s">
        <v>918</v>
      </c>
      <c r="B15" s="412">
        <v>6740</v>
      </c>
      <c r="C15" s="413">
        <f t="shared" si="0"/>
        <v>3.2107469512195119E-2</v>
      </c>
      <c r="D15" s="414">
        <v>5.5302396296887197</v>
      </c>
      <c r="E15" s="414">
        <v>3.5</v>
      </c>
      <c r="F15" s="414">
        <v>0.85934732199641495</v>
      </c>
      <c r="G15" s="414">
        <v>0.70769230769230795</v>
      </c>
      <c r="H15" s="414">
        <v>0.4632</v>
      </c>
      <c r="I15" s="412">
        <v>1374.98913043478</v>
      </c>
      <c r="J15" s="412">
        <v>346.65045702341098</v>
      </c>
      <c r="K15" s="412">
        <v>683.37538109756099</v>
      </c>
      <c r="L15" s="412">
        <v>0</v>
      </c>
      <c r="M15" s="412">
        <v>4334.9850314442501</v>
      </c>
      <c r="N15" s="413">
        <f t="shared" si="1"/>
        <v>0.6431728533300074</v>
      </c>
      <c r="O15" s="412">
        <v>696.71619456911503</v>
      </c>
      <c r="P15" s="412">
        <v>447.36829082499298</v>
      </c>
      <c r="Q15" s="412">
        <v>51.1270627798718</v>
      </c>
      <c r="R15" s="412">
        <v>458.29997870225299</v>
      </c>
      <c r="S15" s="412">
        <v>1653.5115268762299</v>
      </c>
      <c r="T15" s="412">
        <v>2681.47350456801</v>
      </c>
      <c r="U15" s="413">
        <f t="shared" si="2"/>
        <v>0.39784473361543177</v>
      </c>
      <c r="W15" s="415">
        <f t="shared" si="3"/>
        <v>5.5302396296887197</v>
      </c>
      <c r="X15" s="412">
        <f t="shared" si="4"/>
        <v>1218.7536980887344</v>
      </c>
      <c r="Y15" s="416">
        <f t="shared" si="5"/>
        <v>610.30829409545822</v>
      </c>
      <c r="Z15" s="417"/>
      <c r="AA15" s="417"/>
      <c r="AB15" s="417"/>
      <c r="AC15" s="417"/>
      <c r="AD15" s="418" t="s">
        <v>916</v>
      </c>
      <c r="AE15" s="418" t="s">
        <v>916</v>
      </c>
    </row>
    <row r="16" spans="1:31">
      <c r="A16" s="411" t="s">
        <v>919</v>
      </c>
      <c r="B16" s="412">
        <v>1400</v>
      </c>
      <c r="C16" s="413">
        <f t="shared" si="0"/>
        <v>6.6692073170731706E-3</v>
      </c>
      <c r="D16" s="414">
        <v>0</v>
      </c>
      <c r="E16" s="414">
        <v>0</v>
      </c>
      <c r="F16" s="414">
        <v>0</v>
      </c>
      <c r="G16" s="414">
        <v>0</v>
      </c>
      <c r="H16" s="414">
        <v>0</v>
      </c>
      <c r="I16" s="412">
        <v>0</v>
      </c>
      <c r="J16" s="412">
        <v>0</v>
      </c>
      <c r="K16" s="412">
        <v>141.94740853658499</v>
      </c>
      <c r="L16" s="412">
        <v>0</v>
      </c>
      <c r="M16" s="412">
        <v>1258.05259146341</v>
      </c>
      <c r="N16" s="413">
        <f t="shared" si="1"/>
        <v>0.89860899390243565</v>
      </c>
      <c r="O16" s="412">
        <v>0</v>
      </c>
      <c r="P16" s="412">
        <v>0</v>
      </c>
      <c r="Q16" s="412">
        <v>0</v>
      </c>
      <c r="R16" s="412">
        <v>0</v>
      </c>
      <c r="S16" s="412">
        <v>0</v>
      </c>
      <c r="T16" s="412">
        <v>1258.05259146341</v>
      </c>
      <c r="U16" s="413">
        <f t="shared" si="2"/>
        <v>0.89860899390243565</v>
      </c>
      <c r="W16" s="415">
        <f t="shared" si="3"/>
        <v>0</v>
      </c>
      <c r="X16" s="412">
        <f t="shared" si="4"/>
        <v>0</v>
      </c>
      <c r="Y16" s="416">
        <f t="shared" si="5"/>
        <v>0</v>
      </c>
      <c r="Z16" s="417"/>
      <c r="AA16" s="417"/>
      <c r="AB16" s="417"/>
      <c r="AC16" s="417"/>
      <c r="AD16" s="418" t="s">
        <v>917</v>
      </c>
      <c r="AE16" s="418" t="s">
        <v>917</v>
      </c>
    </row>
    <row r="17" spans="1:31">
      <c r="A17" s="411" t="s">
        <v>920</v>
      </c>
      <c r="B17" s="412">
        <v>2680</v>
      </c>
      <c r="C17" s="413">
        <f t="shared" si="0"/>
        <v>1.2766768292682926E-2</v>
      </c>
      <c r="D17" s="414">
        <v>4.0892381618269003</v>
      </c>
      <c r="E17" s="414">
        <v>2</v>
      </c>
      <c r="F17" s="414">
        <v>1.3711381618269101</v>
      </c>
      <c r="G17" s="414">
        <v>0.25</v>
      </c>
      <c r="H17" s="414">
        <v>0.46810000000000002</v>
      </c>
      <c r="I17" s="412">
        <v>530.695652173913</v>
      </c>
      <c r="J17" s="412">
        <v>309.07378152173902</v>
      </c>
      <c r="K17" s="412">
        <v>271.72789634146301</v>
      </c>
      <c r="L17" s="412">
        <v>0</v>
      </c>
      <c r="M17" s="412">
        <v>1568.50266996288</v>
      </c>
      <c r="N17" s="413">
        <f t="shared" si="1"/>
        <v>0.58526219028465676</v>
      </c>
      <c r="O17" s="412">
        <v>284</v>
      </c>
      <c r="P17" s="412">
        <v>330.79859277920798</v>
      </c>
      <c r="Q17" s="412">
        <v>37.805004886079303</v>
      </c>
      <c r="R17" s="412">
        <v>338.88183658674501</v>
      </c>
      <c r="S17" s="412">
        <v>991.48543425203195</v>
      </c>
      <c r="T17" s="412">
        <v>577.01723571085199</v>
      </c>
      <c r="U17" s="413">
        <f t="shared" si="2"/>
        <v>0.2153049386980791</v>
      </c>
      <c r="W17" s="415">
        <f t="shared" si="3"/>
        <v>4.0892381618269003</v>
      </c>
      <c r="X17" s="412">
        <f t="shared" si="4"/>
        <v>655.37880014371387</v>
      </c>
      <c r="Y17" s="416">
        <f t="shared" si="5"/>
        <v>447.82299183316729</v>
      </c>
      <c r="Z17" s="417"/>
      <c r="AA17" s="417"/>
      <c r="AB17" s="417"/>
      <c r="AC17" s="417"/>
      <c r="AD17" s="418" t="s">
        <v>918</v>
      </c>
      <c r="AE17" s="418" t="s">
        <v>918</v>
      </c>
    </row>
    <row r="18" spans="1:31">
      <c r="A18" s="411" t="s">
        <v>921</v>
      </c>
      <c r="B18" s="412">
        <v>2720</v>
      </c>
      <c r="C18" s="413">
        <f t="shared" si="0"/>
        <v>1.2957317073170731E-2</v>
      </c>
      <c r="D18" s="414">
        <v>4.1730006142996396</v>
      </c>
      <c r="E18" s="414">
        <v>3</v>
      </c>
      <c r="F18" s="414">
        <v>0.37667753737656001</v>
      </c>
      <c r="G18" s="414">
        <v>0.26442307692307698</v>
      </c>
      <c r="H18" s="414">
        <v>0.53190000000000004</v>
      </c>
      <c r="I18" s="412">
        <v>778.73913043478296</v>
      </c>
      <c r="J18" s="412">
        <v>338.471473494983</v>
      </c>
      <c r="K18" s="412">
        <v>275.78353658536599</v>
      </c>
      <c r="L18" s="412">
        <v>125.11764705882401</v>
      </c>
      <c r="M18" s="412">
        <v>1201.8882124260499</v>
      </c>
      <c r="N18" s="413">
        <f t="shared" si="1"/>
        <v>0.44187066633310657</v>
      </c>
      <c r="O18" s="412">
        <v>275.62841766445803</v>
      </c>
      <c r="P18" s="412">
        <v>337.57454964676703</v>
      </c>
      <c r="Q18" s="412">
        <v>38.579388719861001</v>
      </c>
      <c r="R18" s="412">
        <v>345.82336765136898</v>
      </c>
      <c r="S18" s="412">
        <v>997.60572368245505</v>
      </c>
      <c r="T18" s="412">
        <v>204.28248874358999</v>
      </c>
      <c r="U18" s="413">
        <f t="shared" si="2"/>
        <v>7.5103856155731619E-2</v>
      </c>
      <c r="W18" s="415">
        <f t="shared" si="3"/>
        <v>4.1730006142996396</v>
      </c>
      <c r="X18" s="412">
        <f t="shared" si="4"/>
        <v>651.80915398846673</v>
      </c>
      <c r="Y18" s="416">
        <f t="shared" si="5"/>
        <v>536.76818713983732</v>
      </c>
      <c r="Z18" s="417"/>
      <c r="AA18" s="417"/>
      <c r="AB18" s="417"/>
      <c r="AC18" s="417"/>
      <c r="AD18" s="418" t="s">
        <v>1062</v>
      </c>
      <c r="AE18" s="418" t="s">
        <v>919</v>
      </c>
    </row>
    <row r="19" spans="1:31">
      <c r="A19" s="411" t="s">
        <v>922</v>
      </c>
      <c r="B19" s="412">
        <v>6891</v>
      </c>
      <c r="C19" s="413">
        <f t="shared" si="0"/>
        <v>3.2826791158536588E-2</v>
      </c>
      <c r="D19" s="414">
        <v>12.594235294117601</v>
      </c>
      <c r="E19" s="414">
        <v>10</v>
      </c>
      <c r="F19" s="414">
        <v>0</v>
      </c>
      <c r="G19" s="414">
        <v>0.71323529411764697</v>
      </c>
      <c r="H19" s="414">
        <v>1.881</v>
      </c>
      <c r="I19" s="412">
        <v>2988.1195652173901</v>
      </c>
      <c r="J19" s="412">
        <v>902.33798350383597</v>
      </c>
      <c r="K19" s="412">
        <v>698.68542301829302</v>
      </c>
      <c r="L19" s="412">
        <v>250.23529411764699</v>
      </c>
      <c r="M19" s="412">
        <v>2051.6217341428301</v>
      </c>
      <c r="N19" s="413">
        <f t="shared" si="1"/>
        <v>0.29772481993075461</v>
      </c>
      <c r="O19" s="412">
        <v>0</v>
      </c>
      <c r="P19" s="412">
        <v>1018.8096529362</v>
      </c>
      <c r="Q19" s="412">
        <v>116.43369938077601</v>
      </c>
      <c r="R19" s="412">
        <v>1043.70482177283</v>
      </c>
      <c r="S19" s="412">
        <v>2178.94817408981</v>
      </c>
      <c r="T19" s="412">
        <v>-127.32643994697401</v>
      </c>
      <c r="U19" s="413">
        <f t="shared" si="2"/>
        <v>-1.8477207944706718E-2</v>
      </c>
      <c r="W19" s="415">
        <f t="shared" si="3"/>
        <v>12.594235294117601</v>
      </c>
      <c r="X19" s="412">
        <f t="shared" si="4"/>
        <v>547.15509430084921</v>
      </c>
      <c r="Y19" s="416">
        <f t="shared" si="5"/>
        <v>501.78838725368286</v>
      </c>
      <c r="Z19" s="417"/>
      <c r="AA19" s="417"/>
      <c r="AB19" s="417"/>
      <c r="AC19" s="417"/>
      <c r="AD19" s="418" t="s">
        <v>957</v>
      </c>
      <c r="AE19" s="418" t="s">
        <v>920</v>
      </c>
    </row>
    <row r="20" spans="1:31">
      <c r="A20" s="411" t="s">
        <v>923</v>
      </c>
      <c r="B20" s="412">
        <v>10150</v>
      </c>
      <c r="C20" s="413">
        <f t="shared" si="0"/>
        <v>4.8351753048780491E-2</v>
      </c>
      <c r="D20" s="414">
        <v>8.34495432205415</v>
      </c>
      <c r="E20" s="414">
        <v>8</v>
      </c>
      <c r="F20" s="414">
        <v>0.344954322054149</v>
      </c>
      <c r="G20" s="414">
        <v>0</v>
      </c>
      <c r="H20" s="414">
        <v>0</v>
      </c>
      <c r="I20" s="412">
        <v>2490.4673913043498</v>
      </c>
      <c r="J20" s="412">
        <v>0</v>
      </c>
      <c r="K20" s="412">
        <v>1029.1187118902401</v>
      </c>
      <c r="L20" s="412">
        <v>0</v>
      </c>
      <c r="M20" s="412">
        <v>6630.4138968054103</v>
      </c>
      <c r="N20" s="413">
        <f t="shared" si="1"/>
        <v>0.65324274845373498</v>
      </c>
      <c r="O20" s="412">
        <v>317.33279768884199</v>
      </c>
      <c r="P20" s="412">
        <v>675.06440987262204</v>
      </c>
      <c r="Q20" s="412">
        <v>77.149098789203805</v>
      </c>
      <c r="R20" s="412">
        <v>691.55997644969398</v>
      </c>
      <c r="S20" s="412">
        <v>1761.1062828003601</v>
      </c>
      <c r="T20" s="412">
        <v>4869.3076140050498</v>
      </c>
      <c r="U20" s="413">
        <f t="shared" si="2"/>
        <v>0.479734740296064</v>
      </c>
      <c r="W20" s="415">
        <f t="shared" si="3"/>
        <v>8.34495432205415</v>
      </c>
      <c r="X20" s="412">
        <f t="shared" si="4"/>
        <v>1216.3038416130635</v>
      </c>
      <c r="Y20" s="416">
        <f t="shared" si="5"/>
        <v>509.47836381423889</v>
      </c>
      <c r="Z20" s="417"/>
      <c r="AA20" s="417"/>
      <c r="AB20" s="417"/>
      <c r="AC20" s="417"/>
      <c r="AD20" s="418" t="s">
        <v>921</v>
      </c>
      <c r="AE20" s="418" t="s">
        <v>921</v>
      </c>
    </row>
    <row r="21" spans="1:31">
      <c r="A21" s="411" t="s">
        <v>924</v>
      </c>
      <c r="B21" s="412">
        <v>0</v>
      </c>
      <c r="C21" s="413">
        <f t="shared" si="0"/>
        <v>0</v>
      </c>
      <c r="D21" s="414">
        <v>0.93</v>
      </c>
      <c r="E21" s="414">
        <v>0.93</v>
      </c>
      <c r="F21" s="414">
        <v>0</v>
      </c>
      <c r="G21" s="414">
        <v>0</v>
      </c>
      <c r="H21" s="414">
        <v>0</v>
      </c>
      <c r="I21" s="412">
        <v>258.74217391304398</v>
      </c>
      <c r="J21" s="412">
        <v>0</v>
      </c>
      <c r="K21" s="412">
        <v>0</v>
      </c>
      <c r="L21" s="412">
        <v>0</v>
      </c>
      <c r="M21" s="412">
        <v>-258.74217391304398</v>
      </c>
      <c r="N21" s="413">
        <f t="shared" si="1"/>
        <v>0</v>
      </c>
      <c r="O21" s="412">
        <v>0</v>
      </c>
      <c r="P21" s="412">
        <v>75.232275331016993</v>
      </c>
      <c r="Q21" s="412">
        <v>8.5978495633392793</v>
      </c>
      <c r="R21" s="412">
        <v>77.070616959338906</v>
      </c>
      <c r="S21" s="412">
        <v>160.900741853695</v>
      </c>
      <c r="T21" s="412">
        <v>-419.64291576673901</v>
      </c>
      <c r="U21" s="413">
        <f t="shared" si="2"/>
        <v>0</v>
      </c>
      <c r="W21" s="415">
        <f t="shared" si="3"/>
        <v>0.93</v>
      </c>
      <c r="X21" s="412">
        <f t="shared" si="4"/>
        <v>0</v>
      </c>
      <c r="Y21" s="416">
        <f t="shared" si="5"/>
        <v>451.22894168466553</v>
      </c>
      <c r="Z21" s="417"/>
      <c r="AA21" s="417"/>
      <c r="AB21" s="417"/>
      <c r="AC21" s="417"/>
      <c r="AD21" s="418" t="s">
        <v>909</v>
      </c>
      <c r="AE21" s="418" t="s">
        <v>909</v>
      </c>
    </row>
    <row r="22" spans="1:31">
      <c r="A22" s="411" t="s">
        <v>925</v>
      </c>
      <c r="B22" s="412">
        <v>0</v>
      </c>
      <c r="C22" s="413">
        <f t="shared" si="0"/>
        <v>0</v>
      </c>
      <c r="D22" s="414">
        <v>5.1499999999999997E-2</v>
      </c>
      <c r="E22" s="414">
        <v>0.05</v>
      </c>
      <c r="F22" s="414">
        <v>0</v>
      </c>
      <c r="G22" s="414">
        <v>0</v>
      </c>
      <c r="H22" s="414">
        <v>1.5E-3</v>
      </c>
      <c r="I22" s="412">
        <v>13.9108695652174</v>
      </c>
      <c r="J22" s="412">
        <v>0.64221195652173901</v>
      </c>
      <c r="K22" s="412">
        <v>0</v>
      </c>
      <c r="L22" s="412">
        <v>0</v>
      </c>
      <c r="M22" s="412">
        <v>-14.553081521739101</v>
      </c>
      <c r="N22" s="413">
        <f t="shared" si="1"/>
        <v>0</v>
      </c>
      <c r="O22" s="412">
        <v>0</v>
      </c>
      <c r="P22" s="412">
        <v>4.1660883651046996</v>
      </c>
      <c r="Q22" s="412">
        <v>0.47611747581932601</v>
      </c>
      <c r="R22" s="412">
        <v>4.2678890036623196</v>
      </c>
      <c r="S22" s="412">
        <v>8.9100948445863501</v>
      </c>
      <c r="T22" s="412">
        <v>-23.463176366325499</v>
      </c>
      <c r="U22" s="413">
        <f t="shared" si="2"/>
        <v>0</v>
      </c>
      <c r="W22" s="415">
        <f t="shared" si="3"/>
        <v>5.1499999999999997E-2</v>
      </c>
      <c r="X22" s="412">
        <f t="shared" si="4"/>
        <v>0</v>
      </c>
      <c r="Y22" s="416">
        <f t="shared" si="5"/>
        <v>455.59565759855326</v>
      </c>
      <c r="Z22" s="417"/>
      <c r="AA22" s="417"/>
      <c r="AB22" s="417"/>
      <c r="AC22" s="417"/>
      <c r="AD22" s="418" t="s">
        <v>922</v>
      </c>
      <c r="AE22" s="418" t="s">
        <v>922</v>
      </c>
    </row>
    <row r="23" spans="1:31">
      <c r="A23" s="411" t="s">
        <v>926</v>
      </c>
      <c r="B23" s="412">
        <v>0</v>
      </c>
      <c r="C23" s="413">
        <f t="shared" si="0"/>
        <v>0</v>
      </c>
      <c r="D23" s="414">
        <v>6</v>
      </c>
      <c r="E23" s="414">
        <v>6</v>
      </c>
      <c r="F23" s="414">
        <v>0</v>
      </c>
      <c r="G23" s="414">
        <v>0</v>
      </c>
      <c r="H23" s="414">
        <v>0</v>
      </c>
      <c r="I23" s="412">
        <v>1472.5978260869599</v>
      </c>
      <c r="J23" s="412">
        <v>0</v>
      </c>
      <c r="K23" s="412">
        <v>0</v>
      </c>
      <c r="L23" s="412">
        <v>0</v>
      </c>
      <c r="M23" s="412">
        <v>-1472.5978260869599</v>
      </c>
      <c r="N23" s="413">
        <f t="shared" si="1"/>
        <v>0</v>
      </c>
      <c r="O23" s="412">
        <v>0</v>
      </c>
      <c r="P23" s="412">
        <v>485.36951826462598</v>
      </c>
      <c r="Q23" s="412">
        <v>55.469997182834099</v>
      </c>
      <c r="R23" s="412">
        <v>497.22978683444398</v>
      </c>
      <c r="S23" s="412">
        <v>1038.0693022819</v>
      </c>
      <c r="T23" s="412">
        <v>-2510.6671283688602</v>
      </c>
      <c r="U23" s="413">
        <f t="shared" si="2"/>
        <v>0</v>
      </c>
      <c r="W23" s="415">
        <f t="shared" si="3"/>
        <v>6</v>
      </c>
      <c r="X23" s="412">
        <f t="shared" si="4"/>
        <v>0</v>
      </c>
      <c r="Y23" s="416">
        <f t="shared" si="5"/>
        <v>418.44452139481001</v>
      </c>
      <c r="Z23" s="417"/>
      <c r="AA23" s="417"/>
      <c r="AB23" s="417"/>
      <c r="AC23" s="417"/>
      <c r="AD23" s="418" t="s">
        <v>923</v>
      </c>
      <c r="AE23" s="418" t="s">
        <v>923</v>
      </c>
    </row>
    <row r="24" spans="1:31">
      <c r="A24" s="411" t="s">
        <v>927</v>
      </c>
      <c r="B24" s="412">
        <v>2114</v>
      </c>
      <c r="C24" s="413">
        <f t="shared" si="0"/>
        <v>1.0070503048780488E-2</v>
      </c>
      <c r="D24" s="414">
        <v>1.92175599779928</v>
      </c>
      <c r="E24" s="414">
        <v>1</v>
      </c>
      <c r="F24" s="414">
        <v>0.29275599779928302</v>
      </c>
      <c r="G24" s="414">
        <v>0.6</v>
      </c>
      <c r="H24" s="414">
        <v>2.9000000000000001E-2</v>
      </c>
      <c r="I24" s="412">
        <v>403.78260869565202</v>
      </c>
      <c r="J24" s="412">
        <v>178.01615000000001</v>
      </c>
      <c r="K24" s="412">
        <v>214.340586890244</v>
      </c>
      <c r="L24" s="412">
        <v>0</v>
      </c>
      <c r="M24" s="412">
        <v>1317.8606544141001</v>
      </c>
      <c r="N24" s="413">
        <f t="shared" si="1"/>
        <v>0.62339671448159883</v>
      </c>
      <c r="O24" s="412">
        <v>214.22002755245001</v>
      </c>
      <c r="P24" s="412">
        <v>155.46029714566501</v>
      </c>
      <c r="Q24" s="412">
        <v>17.766633297336799</v>
      </c>
      <c r="R24" s="412">
        <v>159.25905418892501</v>
      </c>
      <c r="S24" s="412">
        <v>546.70601218437798</v>
      </c>
      <c r="T24" s="412">
        <v>771.15464222972605</v>
      </c>
      <c r="U24" s="413">
        <f t="shared" si="2"/>
        <v>0.36478459897338034</v>
      </c>
      <c r="W24" s="415">
        <f t="shared" si="3"/>
        <v>1.92175599779928</v>
      </c>
      <c r="X24" s="412">
        <f t="shared" si="4"/>
        <v>1100.0355937074585</v>
      </c>
      <c r="Y24" s="416">
        <f t="shared" si="5"/>
        <v>587.22583521131173</v>
      </c>
      <c r="Z24" s="417"/>
      <c r="AA24" s="417"/>
      <c r="AB24" s="417"/>
      <c r="AC24" s="417"/>
      <c r="AD24" s="418" t="s">
        <v>924</v>
      </c>
      <c r="AE24" s="418" t="s">
        <v>924</v>
      </c>
    </row>
    <row r="25" spans="1:31">
      <c r="A25" s="411" t="s">
        <v>928</v>
      </c>
      <c r="B25" s="412">
        <v>7250</v>
      </c>
      <c r="C25" s="413">
        <f t="shared" si="0"/>
        <v>3.4536966463414635E-2</v>
      </c>
      <c r="D25" s="414">
        <v>5.6326233237562304</v>
      </c>
      <c r="E25" s="414">
        <v>4</v>
      </c>
      <c r="F25" s="414">
        <v>1.3088233237562299</v>
      </c>
      <c r="G25" s="414">
        <v>0</v>
      </c>
      <c r="H25" s="414">
        <v>0.32379999999999998</v>
      </c>
      <c r="I25" s="412">
        <v>1210.72826086957</v>
      </c>
      <c r="J25" s="412">
        <v>158.23261304347801</v>
      </c>
      <c r="K25" s="412">
        <v>735.08479420731703</v>
      </c>
      <c r="L25" s="412">
        <v>125.11764705882401</v>
      </c>
      <c r="M25" s="412">
        <v>5020.8366848208198</v>
      </c>
      <c r="N25" s="413">
        <f t="shared" si="1"/>
        <v>0.69252919790631995</v>
      </c>
      <c r="O25" s="412">
        <v>940.32870939331201</v>
      </c>
      <c r="P25" s="412">
        <v>455.65061153627602</v>
      </c>
      <c r="Q25" s="412">
        <v>52.073599983453903</v>
      </c>
      <c r="R25" s="412">
        <v>466.78468243167202</v>
      </c>
      <c r="S25" s="412">
        <v>1914.83760334471</v>
      </c>
      <c r="T25" s="412">
        <v>3105.9990814760999</v>
      </c>
      <c r="U25" s="413">
        <f t="shared" si="2"/>
        <v>0.42841366641049655</v>
      </c>
      <c r="W25" s="415">
        <f t="shared" si="3"/>
        <v>5.6326233237562304</v>
      </c>
      <c r="X25" s="412">
        <f t="shared" si="4"/>
        <v>1287.1444766104453</v>
      </c>
      <c r="Y25" s="416">
        <f t="shared" si="5"/>
        <v>605.20931870929314</v>
      </c>
      <c r="Z25" s="417"/>
      <c r="AA25" s="417"/>
      <c r="AB25" s="417"/>
      <c r="AC25" s="417"/>
      <c r="AD25" s="418" t="s">
        <v>925</v>
      </c>
      <c r="AE25" s="418" t="s">
        <v>925</v>
      </c>
    </row>
    <row r="26" spans="1:31">
      <c r="A26" s="411" t="s">
        <v>929</v>
      </c>
      <c r="B26" s="412">
        <v>3000</v>
      </c>
      <c r="C26" s="413">
        <f t="shared" si="0"/>
        <v>1.4291158536585366E-2</v>
      </c>
      <c r="D26" s="414">
        <v>3.1277889615543</v>
      </c>
      <c r="E26" s="414">
        <v>2</v>
      </c>
      <c r="F26" s="414">
        <v>1.1277889615543</v>
      </c>
      <c r="G26" s="414">
        <v>0</v>
      </c>
      <c r="H26" s="414">
        <v>0</v>
      </c>
      <c r="I26" s="412">
        <v>881.86956521739103</v>
      </c>
      <c r="J26" s="412">
        <v>0</v>
      </c>
      <c r="K26" s="412">
        <v>304.17301829268303</v>
      </c>
      <c r="L26" s="412">
        <v>125.11764705882401</v>
      </c>
      <c r="M26" s="412">
        <v>1688.8397694311</v>
      </c>
      <c r="N26" s="413">
        <f t="shared" si="1"/>
        <v>0.5629465898103666</v>
      </c>
      <c r="O26" s="412">
        <v>729.66637750008101</v>
      </c>
      <c r="P26" s="412">
        <v>253.022236917171</v>
      </c>
      <c r="Q26" s="412">
        <v>28.916407480986098</v>
      </c>
      <c r="R26" s="412">
        <v>259.20497310279598</v>
      </c>
      <c r="S26" s="412">
        <v>1270.8099950010301</v>
      </c>
      <c r="T26" s="412">
        <v>418.02977443006898</v>
      </c>
      <c r="U26" s="413">
        <f t="shared" si="2"/>
        <v>0.13934325814335632</v>
      </c>
      <c r="W26" s="415">
        <f t="shared" si="3"/>
        <v>3.1277889615543</v>
      </c>
      <c r="X26" s="412">
        <f t="shared" si="4"/>
        <v>959.1439949673595</v>
      </c>
      <c r="Y26" s="416">
        <f t="shared" si="5"/>
        <v>728.24517103779715</v>
      </c>
      <c r="Z26" s="417"/>
      <c r="AA26" s="417"/>
      <c r="AB26" s="417"/>
      <c r="AC26" s="417"/>
      <c r="AD26" s="418" t="s">
        <v>926</v>
      </c>
      <c r="AE26" s="418" t="s">
        <v>926</v>
      </c>
    </row>
    <row r="27" spans="1:31">
      <c r="A27" s="411" t="s">
        <v>930</v>
      </c>
      <c r="B27" s="412">
        <v>0</v>
      </c>
      <c r="C27" s="413">
        <f t="shared" si="0"/>
        <v>0</v>
      </c>
      <c r="D27" s="414">
        <v>1.0402</v>
      </c>
      <c r="E27" s="414">
        <v>1</v>
      </c>
      <c r="F27" s="414">
        <v>0</v>
      </c>
      <c r="G27" s="414">
        <v>0</v>
      </c>
      <c r="H27" s="414">
        <v>4.02E-2</v>
      </c>
      <c r="I27" s="412">
        <v>180.380434782609</v>
      </c>
      <c r="J27" s="412">
        <v>21.051691304347798</v>
      </c>
      <c r="K27" s="412">
        <v>0</v>
      </c>
      <c r="L27" s="412">
        <v>0</v>
      </c>
      <c r="M27" s="412">
        <v>-201.432126086957</v>
      </c>
      <c r="N27" s="413">
        <f t="shared" si="1"/>
        <v>0</v>
      </c>
      <c r="O27" s="412">
        <v>0</v>
      </c>
      <c r="P27" s="412">
        <v>84.146895483143993</v>
      </c>
      <c r="Q27" s="412">
        <v>9.6166485115973295</v>
      </c>
      <c r="R27" s="412">
        <v>86.203070710864907</v>
      </c>
      <c r="S27" s="412">
        <v>179.96661470560599</v>
      </c>
      <c r="T27" s="412">
        <v>-381.39874079256299</v>
      </c>
      <c r="U27" s="413">
        <f t="shared" si="2"/>
        <v>0</v>
      </c>
      <c r="W27" s="415">
        <f t="shared" si="3"/>
        <v>1.0402</v>
      </c>
      <c r="X27" s="412">
        <f t="shared" si="4"/>
        <v>0</v>
      </c>
      <c r="Y27" s="416">
        <f t="shared" si="5"/>
        <v>366.65904709917589</v>
      </c>
      <c r="Z27" s="417"/>
      <c r="AA27" s="417"/>
      <c r="AB27" s="417"/>
      <c r="AC27" s="417"/>
      <c r="AD27" s="418" t="s">
        <v>1063</v>
      </c>
      <c r="AE27" s="418" t="s">
        <v>911</v>
      </c>
    </row>
    <row r="28" spans="1:31">
      <c r="A28" s="411" t="s">
        <v>931</v>
      </c>
      <c r="B28" s="412">
        <v>700</v>
      </c>
      <c r="C28" s="413">
        <f t="shared" si="0"/>
        <v>3.3346036585365853E-3</v>
      </c>
      <c r="D28" s="414">
        <v>0</v>
      </c>
      <c r="E28" s="414">
        <v>0</v>
      </c>
      <c r="F28" s="414">
        <v>0</v>
      </c>
      <c r="G28" s="414">
        <v>0</v>
      </c>
      <c r="H28" s="414">
        <v>0</v>
      </c>
      <c r="I28" s="412">
        <v>0</v>
      </c>
      <c r="J28" s="412">
        <v>0</v>
      </c>
      <c r="K28" s="412">
        <v>70.973704268292707</v>
      </c>
      <c r="L28" s="412">
        <v>0</v>
      </c>
      <c r="M28" s="412">
        <v>629.02629573170702</v>
      </c>
      <c r="N28" s="413">
        <f t="shared" si="1"/>
        <v>0.89860899390243865</v>
      </c>
      <c r="O28" s="412">
        <v>0</v>
      </c>
      <c r="P28" s="412">
        <v>0</v>
      </c>
      <c r="Q28" s="412">
        <v>0</v>
      </c>
      <c r="R28" s="412">
        <v>0</v>
      </c>
      <c r="S28" s="412">
        <v>0</v>
      </c>
      <c r="T28" s="412">
        <v>629.02629573170702</v>
      </c>
      <c r="U28" s="413">
        <f t="shared" si="2"/>
        <v>0.89860899390243865</v>
      </c>
      <c r="W28" s="415">
        <f t="shared" si="3"/>
        <v>0</v>
      </c>
      <c r="X28" s="412">
        <f t="shared" si="4"/>
        <v>0</v>
      </c>
      <c r="Y28" s="416">
        <f t="shared" si="5"/>
        <v>0</v>
      </c>
      <c r="Z28" s="417"/>
      <c r="AA28" s="417"/>
      <c r="AB28" s="417"/>
      <c r="AC28" s="417"/>
      <c r="AD28" s="418" t="s">
        <v>1064</v>
      </c>
      <c r="AE28" s="418" t="s">
        <v>911</v>
      </c>
    </row>
    <row r="29" spans="1:31" ht="15" thickBot="1">
      <c r="A29" s="411" t="s">
        <v>932</v>
      </c>
      <c r="B29" s="412">
        <v>410</v>
      </c>
      <c r="C29" s="413">
        <f t="shared" si="0"/>
        <v>1.953125E-3</v>
      </c>
      <c r="D29" s="414">
        <v>0</v>
      </c>
      <c r="E29" s="414">
        <v>0</v>
      </c>
      <c r="F29" s="414">
        <v>0</v>
      </c>
      <c r="G29" s="414">
        <v>0</v>
      </c>
      <c r="H29" s="414">
        <v>0</v>
      </c>
      <c r="I29" s="412">
        <v>0</v>
      </c>
      <c r="J29" s="412">
        <v>0</v>
      </c>
      <c r="K29" s="412">
        <v>41.5703125</v>
      </c>
      <c r="L29" s="412">
        <v>0</v>
      </c>
      <c r="M29" s="412">
        <v>368.4296875</v>
      </c>
      <c r="N29" s="413">
        <f t="shared" si="1"/>
        <v>0.89860899390243898</v>
      </c>
      <c r="O29" s="412">
        <v>0</v>
      </c>
      <c r="P29" s="412">
        <v>0</v>
      </c>
      <c r="Q29" s="412">
        <v>0</v>
      </c>
      <c r="R29" s="412">
        <v>0</v>
      </c>
      <c r="S29" s="412">
        <v>0</v>
      </c>
      <c r="T29" s="412">
        <v>368.4296875</v>
      </c>
      <c r="U29" s="413">
        <f t="shared" si="2"/>
        <v>0.89860899390243898</v>
      </c>
      <c r="W29" s="415">
        <f t="shared" si="3"/>
        <v>0</v>
      </c>
      <c r="X29" s="412">
        <f t="shared" si="4"/>
        <v>0</v>
      </c>
      <c r="Y29" s="416">
        <f t="shared" si="5"/>
        <v>0</v>
      </c>
      <c r="Z29" s="417"/>
      <c r="AA29" s="417"/>
      <c r="AB29" s="417"/>
      <c r="AC29" s="417"/>
      <c r="AD29" s="418" t="s">
        <v>927</v>
      </c>
      <c r="AE29" s="418" t="s">
        <v>927</v>
      </c>
    </row>
    <row r="30" spans="1:31">
      <c r="A30" s="419" t="s">
        <v>19</v>
      </c>
      <c r="B30" s="420">
        <f t="shared" ref="B30:M30" si="6">SUM(B5:B29)</f>
        <v>209920</v>
      </c>
      <c r="C30" s="421">
        <f t="shared" si="6"/>
        <v>0.99999999999999989</v>
      </c>
      <c r="D30" s="422">
        <f t="shared" si="6"/>
        <v>212.97999999999996</v>
      </c>
      <c r="E30" s="423">
        <f t="shared" si="6"/>
        <v>167.48000000000002</v>
      </c>
      <c r="F30" s="423">
        <f t="shared" si="6"/>
        <v>21</v>
      </c>
      <c r="G30" s="423">
        <f t="shared" si="6"/>
        <v>8.5000000000000071</v>
      </c>
      <c r="H30" s="423">
        <f t="shared" si="6"/>
        <v>16</v>
      </c>
      <c r="I30" s="420">
        <f t="shared" si="6"/>
        <v>56861.816086956591</v>
      </c>
      <c r="J30" s="420">
        <f t="shared" si="6"/>
        <v>9205.54347826087</v>
      </c>
      <c r="K30" s="420">
        <f t="shared" si="6"/>
        <v>21283.999999999996</v>
      </c>
      <c r="L30" s="420">
        <f t="shared" si="6"/>
        <v>4254.0000000000055</v>
      </c>
      <c r="M30" s="420">
        <f t="shared" si="6"/>
        <v>118314.64043478263</v>
      </c>
      <c r="N30" s="421">
        <f t="shared" si="1"/>
        <v>0.56361776121752394</v>
      </c>
      <c r="O30" s="420">
        <f t="shared" ref="O30:T30" si="7">SUM(O5:O29)</f>
        <v>15030.077115331882</v>
      </c>
      <c r="P30" s="420">
        <f t="shared" si="7"/>
        <v>17228.999999999982</v>
      </c>
      <c r="Q30" s="420">
        <f t="shared" si="7"/>
        <v>1969.0000000000007</v>
      </c>
      <c r="R30" s="420">
        <f t="shared" si="7"/>
        <v>17650.000000000004</v>
      </c>
      <c r="S30" s="420">
        <f t="shared" si="7"/>
        <v>51878.077115331922</v>
      </c>
      <c r="T30" s="420">
        <f t="shared" si="7"/>
        <v>66436.563319450695</v>
      </c>
      <c r="U30" s="424">
        <f t="shared" si="2"/>
        <v>0.31648515300805402</v>
      </c>
      <c r="W30" s="425">
        <f t="shared" si="3"/>
        <v>212.97999999999996</v>
      </c>
      <c r="X30" s="426">
        <f t="shared" si="4"/>
        <v>985.6324537515261</v>
      </c>
      <c r="Y30" s="427">
        <f t="shared" si="5"/>
        <v>573.76014968799609</v>
      </c>
      <c r="Z30" s="428"/>
      <c r="AA30" s="428"/>
      <c r="AB30" s="428"/>
      <c r="AC30" s="428"/>
      <c r="AD30" s="418" t="s">
        <v>928</v>
      </c>
      <c r="AE30" s="418" t="s">
        <v>928</v>
      </c>
    </row>
    <row r="31" spans="1:31">
      <c r="W31" s="415"/>
      <c r="Y31" s="416"/>
      <c r="Z31" s="417"/>
      <c r="AA31" s="417"/>
      <c r="AB31" s="417"/>
      <c r="AC31" s="417"/>
      <c r="AD31" s="418" t="s">
        <v>929</v>
      </c>
      <c r="AE31" s="418" t="s">
        <v>929</v>
      </c>
    </row>
    <row r="32" spans="1:31">
      <c r="W32" s="415"/>
      <c r="Y32" s="416"/>
      <c r="Z32" s="417"/>
      <c r="AA32" s="417"/>
      <c r="AB32" s="417"/>
      <c r="AC32" s="417"/>
      <c r="AD32" s="418" t="s">
        <v>1065</v>
      </c>
      <c r="AE32" s="418" t="s">
        <v>929</v>
      </c>
    </row>
    <row r="33" spans="23:31">
      <c r="W33" s="415"/>
      <c r="Y33" s="416"/>
      <c r="Z33" s="417"/>
      <c r="AA33" s="417"/>
      <c r="AB33" s="417"/>
      <c r="AC33" s="417"/>
      <c r="AD33" s="418" t="s">
        <v>930</v>
      </c>
      <c r="AE33" s="418" t="s">
        <v>930</v>
      </c>
    </row>
    <row r="34" spans="23:31">
      <c r="W34" s="415"/>
      <c r="Y34" s="416"/>
      <c r="Z34" s="417"/>
      <c r="AA34" s="417"/>
      <c r="AB34" s="417"/>
      <c r="AC34" s="417"/>
      <c r="AD34" s="418" t="s">
        <v>1066</v>
      </c>
      <c r="AE34" s="418" t="s">
        <v>910</v>
      </c>
    </row>
    <row r="35" spans="23:31">
      <c r="W35" s="415"/>
      <c r="Y35" s="416"/>
      <c r="Z35" s="417"/>
      <c r="AA35" s="417"/>
      <c r="AB35" s="417"/>
      <c r="AC35" s="417"/>
      <c r="AD35" s="418" t="s">
        <v>931</v>
      </c>
      <c r="AE35" s="418" t="s">
        <v>931</v>
      </c>
    </row>
    <row r="36" spans="23:31">
      <c r="W36" s="415"/>
      <c r="Y36" s="416"/>
      <c r="Z36" s="417"/>
      <c r="AA36" s="417"/>
      <c r="AB36" s="417"/>
      <c r="AC36" s="417"/>
      <c r="AD36" s="418" t="s">
        <v>932</v>
      </c>
      <c r="AE36" s="418" t="s">
        <v>932</v>
      </c>
    </row>
  </sheetData>
  <autoFilter ref="A4:U30" xr:uid="{763F46A9-15E9-4649-A1CB-006E1FD1DEB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5EBB-BA58-4409-93C2-E100363CF7E8}">
  <dimension ref="A1:AL36"/>
  <sheetViews>
    <sheetView showGridLines="0" zoomScale="80" zoomScaleNormal="80" workbookViewId="0">
      <pane xSplit="1" topLeftCell="H1" activePane="topRight" state="frozen"/>
      <selection pane="topRight" activeCell="J17" sqref="J17"/>
    </sheetView>
  </sheetViews>
  <sheetFormatPr defaultRowHeight="14.5" outlineLevelCol="1"/>
  <cols>
    <col min="1" max="1" width="33.4140625" style="121" customWidth="1"/>
    <col min="2" max="25" width="10.58203125" style="121" customWidth="1"/>
    <col min="26" max="36" width="8.6640625" style="121"/>
    <col min="37" max="37" width="30.6640625" style="121" customWidth="1" outlineLevel="1"/>
    <col min="38" max="38" width="8" style="121" customWidth="1" outlineLevel="1"/>
    <col min="39" max="16384" width="8.6640625" style="121"/>
  </cols>
  <sheetData>
    <row r="1" spans="1:38" ht="18.5">
      <c r="A1" s="405" t="s">
        <v>933</v>
      </c>
    </row>
    <row r="2" spans="1:38">
      <c r="A2" s="429"/>
    </row>
    <row r="4" spans="1:38" ht="34" customHeight="1">
      <c r="A4" s="430" t="s">
        <v>934</v>
      </c>
      <c r="B4" s="408" t="s">
        <v>28</v>
      </c>
      <c r="C4" s="408" t="s">
        <v>888</v>
      </c>
      <c r="D4" s="408" t="s">
        <v>889</v>
      </c>
      <c r="E4" s="408" t="s">
        <v>935</v>
      </c>
      <c r="F4" s="408" t="s">
        <v>936</v>
      </c>
      <c r="G4" s="408" t="s">
        <v>892</v>
      </c>
      <c r="H4" s="408" t="s">
        <v>893</v>
      </c>
      <c r="I4" s="408" t="s">
        <v>894</v>
      </c>
      <c r="J4" s="408" t="s">
        <v>895</v>
      </c>
      <c r="K4" s="408" t="s">
        <v>896</v>
      </c>
      <c r="L4" s="408" t="s">
        <v>897</v>
      </c>
      <c r="M4" s="408" t="s">
        <v>898</v>
      </c>
      <c r="N4" s="408" t="s">
        <v>899</v>
      </c>
      <c r="O4" s="408" t="s">
        <v>937</v>
      </c>
      <c r="P4" s="408" t="s">
        <v>863</v>
      </c>
      <c r="Q4" s="408" t="s">
        <v>7</v>
      </c>
      <c r="R4" s="408" t="s">
        <v>9</v>
      </c>
      <c r="S4" s="408" t="s">
        <v>901</v>
      </c>
      <c r="T4" s="408" t="s">
        <v>902</v>
      </c>
      <c r="U4" s="408" t="s">
        <v>857</v>
      </c>
      <c r="W4" s="431" t="s">
        <v>904</v>
      </c>
      <c r="X4" s="431" t="s">
        <v>905</v>
      </c>
      <c r="Y4" s="431" t="s">
        <v>906</v>
      </c>
      <c r="AK4" s="432" t="s">
        <v>938</v>
      </c>
      <c r="AL4" s="432" t="s">
        <v>939</v>
      </c>
    </row>
    <row r="5" spans="1:38">
      <c r="A5" s="433" t="s">
        <v>908</v>
      </c>
      <c r="B5" s="434">
        <v>5450</v>
      </c>
      <c r="C5" s="435">
        <f t="shared" ref="C5:C29" si="0">IFERROR(B5/$B$31,0)</f>
        <v>2.5252420285672143E-2</v>
      </c>
      <c r="D5" s="436">
        <v>4.9315884325975796</v>
      </c>
      <c r="E5" s="121">
        <v>3</v>
      </c>
      <c r="F5" s="415">
        <v>1.4615884325975801</v>
      </c>
      <c r="G5" s="121">
        <v>0.22</v>
      </c>
      <c r="H5" s="121">
        <v>0.25</v>
      </c>
      <c r="I5" s="437">
        <v>1009.08695652174</v>
      </c>
      <c r="J5" s="437">
        <v>197.57336956521701</v>
      </c>
      <c r="K5" s="437">
        <v>488.43231316547099</v>
      </c>
      <c r="L5" s="437">
        <v>120.11764705882401</v>
      </c>
      <c r="M5" s="437">
        <v>3634.78971368875</v>
      </c>
      <c r="N5" s="438">
        <f t="shared" ref="N5:N29" si="1">IFERROR(M5/B5,0)</f>
        <v>0.66693389241995416</v>
      </c>
      <c r="O5" s="437">
        <v>1075.9888412984201</v>
      </c>
      <c r="P5" s="437">
        <v>351.63549463387898</v>
      </c>
      <c r="Q5" s="437">
        <v>299.30677888393097</v>
      </c>
      <c r="R5" s="437">
        <v>207.60800360194</v>
      </c>
      <c r="S5" s="437">
        <v>1934.5391184181699</v>
      </c>
      <c r="T5" s="437">
        <v>1700.2505952705801</v>
      </c>
      <c r="U5" s="439">
        <f t="shared" ref="U5:U29" si="2">IFERROR(T5/B5,0)</f>
        <v>0.31197258628817981</v>
      </c>
      <c r="W5" s="415">
        <v>4.9315884325975796</v>
      </c>
      <c r="X5" s="160">
        <f t="shared" ref="X5:X29" si="3">IFERROR(B5/W5,0)</f>
        <v>1105.1206065728727</v>
      </c>
      <c r="Y5" s="416">
        <f t="shared" ref="Y5:Y29" si="4">IFERROR((I5+J5+L5+S5)/D5,0)</f>
        <v>661.31169219369372</v>
      </c>
      <c r="AK5" s="432" t="s">
        <v>908</v>
      </c>
      <c r="AL5" s="432" t="s">
        <v>908</v>
      </c>
    </row>
    <row r="6" spans="1:38">
      <c r="A6" s="433" t="s">
        <v>909</v>
      </c>
      <c r="B6" s="434">
        <v>7662</v>
      </c>
      <c r="C6" s="435">
        <f t="shared" si="0"/>
        <v>3.5501659491526595E-2</v>
      </c>
      <c r="D6" s="436">
        <v>10.582024269382799</v>
      </c>
      <c r="E6" s="121">
        <v>8</v>
      </c>
      <c r="F6" s="415">
        <v>1.2020242693827901</v>
      </c>
      <c r="G6" s="121">
        <v>0.96</v>
      </c>
      <c r="H6" s="121">
        <v>0.42</v>
      </c>
      <c r="I6" s="437">
        <v>2995.2173913043498</v>
      </c>
      <c r="J6" s="437">
        <v>613.16130434782599</v>
      </c>
      <c r="K6" s="437">
        <v>686.67309788510704</v>
      </c>
      <c r="L6" s="437">
        <v>120.11764705882401</v>
      </c>
      <c r="M6" s="437">
        <v>3246.8305594039002</v>
      </c>
      <c r="N6" s="438">
        <f t="shared" si="1"/>
        <v>0.42375757757816501</v>
      </c>
      <c r="O6" s="437">
        <v>1191.1561448554801</v>
      </c>
      <c r="P6" s="437">
        <v>754.52673901098103</v>
      </c>
      <c r="Q6" s="437">
        <v>642.24167150791004</v>
      </c>
      <c r="R6" s="437">
        <v>445.477752789009</v>
      </c>
      <c r="S6" s="437">
        <v>3033.40230816338</v>
      </c>
      <c r="T6" s="437">
        <v>213.42825124051501</v>
      </c>
      <c r="U6" s="439">
        <f t="shared" si="2"/>
        <v>2.7855423027997261E-2</v>
      </c>
      <c r="W6" s="415">
        <v>10.582024269382799</v>
      </c>
      <c r="X6" s="160">
        <f t="shared" si="3"/>
        <v>724.05806346226507</v>
      </c>
      <c r="Y6" s="416">
        <f t="shared" si="4"/>
        <v>638.99859599062995</v>
      </c>
      <c r="AK6" s="432" t="s">
        <v>1058</v>
      </c>
      <c r="AL6" s="432" t="s">
        <v>909</v>
      </c>
    </row>
    <row r="7" spans="1:38">
      <c r="A7" s="433" t="s">
        <v>910</v>
      </c>
      <c r="B7" s="434">
        <v>79000</v>
      </c>
      <c r="C7" s="435">
        <f t="shared" si="0"/>
        <v>0.36604425735194479</v>
      </c>
      <c r="D7" s="436">
        <v>65.620500951342805</v>
      </c>
      <c r="E7" s="121">
        <v>57</v>
      </c>
      <c r="F7" s="415">
        <v>3.5705009513428498</v>
      </c>
      <c r="G7" s="121">
        <v>1.62</v>
      </c>
      <c r="H7" s="121">
        <v>3.43</v>
      </c>
      <c r="I7" s="437">
        <v>23901.880434782601</v>
      </c>
      <c r="J7" s="437">
        <v>2043.08804347826</v>
      </c>
      <c r="K7" s="437">
        <v>7080.0280257013201</v>
      </c>
      <c r="L7" s="437">
        <v>2642.5882352941198</v>
      </c>
      <c r="M7" s="437">
        <v>43332.415260743699</v>
      </c>
      <c r="N7" s="438">
        <f t="shared" si="1"/>
        <v>0.54851158557903412</v>
      </c>
      <c r="O7" s="437">
        <v>3451.2202646657001</v>
      </c>
      <c r="P7" s="437">
        <v>4678.91788325785</v>
      </c>
      <c r="Q7" s="437">
        <v>3982.6236590775602</v>
      </c>
      <c r="R7" s="437">
        <v>2762.4651537865202</v>
      </c>
      <c r="S7" s="437">
        <v>14875.226960787601</v>
      </c>
      <c r="T7" s="437">
        <v>28457.188299956098</v>
      </c>
      <c r="U7" s="439">
        <f t="shared" si="2"/>
        <v>0.36021757341716582</v>
      </c>
      <c r="W7" s="415">
        <v>65.620500951342805</v>
      </c>
      <c r="X7" s="160">
        <f t="shared" si="3"/>
        <v>1203.8920589554477</v>
      </c>
      <c r="Y7" s="416">
        <f t="shared" si="4"/>
        <v>662.33544462834811</v>
      </c>
      <c r="AK7" s="432" t="s">
        <v>1059</v>
      </c>
      <c r="AL7" s="432" t="s">
        <v>909</v>
      </c>
    </row>
    <row r="8" spans="1:38">
      <c r="A8" s="433" t="s">
        <v>911</v>
      </c>
      <c r="B8" s="434">
        <v>18586.86</v>
      </c>
      <c r="C8" s="435">
        <f t="shared" si="0"/>
        <v>8.6121688167146451E-2</v>
      </c>
      <c r="D8" s="436">
        <v>26.012762017585999</v>
      </c>
      <c r="E8" s="121">
        <v>21</v>
      </c>
      <c r="F8" s="415">
        <v>1.9077620175860499</v>
      </c>
      <c r="G8" s="121">
        <v>1.5649999999999999</v>
      </c>
      <c r="H8" s="121">
        <v>1.54</v>
      </c>
      <c r="I8" s="437">
        <v>5551.8695652173901</v>
      </c>
      <c r="J8" s="437">
        <v>1139.71440217391</v>
      </c>
      <c r="K8" s="437">
        <v>1665.76569252895</v>
      </c>
      <c r="L8" s="437">
        <v>0</v>
      </c>
      <c r="M8" s="437">
        <v>10229.5103400797</v>
      </c>
      <c r="N8" s="438">
        <f t="shared" si="1"/>
        <v>0.55036247865856303</v>
      </c>
      <c r="O8" s="437">
        <v>1227.8155793702399</v>
      </c>
      <c r="P8" s="437">
        <v>1854.7797659646401</v>
      </c>
      <c r="Q8" s="437">
        <v>1578.76029514024</v>
      </c>
      <c r="R8" s="437">
        <v>1095.07467309045</v>
      </c>
      <c r="S8" s="437">
        <v>5756.43031356556</v>
      </c>
      <c r="T8" s="437">
        <v>4473.0800265141897</v>
      </c>
      <c r="U8" s="439">
        <f t="shared" si="2"/>
        <v>0.24065818683275117</v>
      </c>
      <c r="W8" s="415">
        <v>27.212762017586002</v>
      </c>
      <c r="X8" s="160">
        <f t="shared" si="3"/>
        <v>683.01997378981264</v>
      </c>
      <c r="Y8" s="416">
        <f t="shared" si="4"/>
        <v>478.53489270156496</v>
      </c>
      <c r="AK8" s="432" t="s">
        <v>910</v>
      </c>
      <c r="AL8" s="432" t="s">
        <v>910</v>
      </c>
    </row>
    <row r="9" spans="1:38">
      <c r="A9" s="433" t="s">
        <v>912</v>
      </c>
      <c r="B9" s="434">
        <v>13193.5371</v>
      </c>
      <c r="C9" s="435">
        <f t="shared" si="0"/>
        <v>6.113187961537761E-2</v>
      </c>
      <c r="D9" s="436">
        <v>6.3928584789900498</v>
      </c>
      <c r="E9" s="121">
        <v>4</v>
      </c>
      <c r="F9" s="415">
        <v>1.13285847899005</v>
      </c>
      <c r="G9" s="121">
        <v>0.36</v>
      </c>
      <c r="H9" s="121">
        <v>0.9</v>
      </c>
      <c r="I9" s="437">
        <v>1393.8369565217399</v>
      </c>
      <c r="J9" s="437">
        <v>493.427826086957</v>
      </c>
      <c r="K9" s="437">
        <v>1182.4128155206299</v>
      </c>
      <c r="L9" s="437">
        <v>120.11764705882401</v>
      </c>
      <c r="M9" s="437">
        <v>10003.7418548118</v>
      </c>
      <c r="N9" s="438">
        <f t="shared" si="1"/>
        <v>0.75823047140344202</v>
      </c>
      <c r="O9" s="437">
        <v>700.44117234549196</v>
      </c>
      <c r="P9" s="437">
        <v>455.82797188126398</v>
      </c>
      <c r="Q9" s="437">
        <v>387.99382903887101</v>
      </c>
      <c r="R9" s="437">
        <v>269.12395555153603</v>
      </c>
      <c r="S9" s="437">
        <v>1813.38692881716</v>
      </c>
      <c r="T9" s="437">
        <v>8190.3549259946803</v>
      </c>
      <c r="U9" s="439">
        <f t="shared" si="2"/>
        <v>0.62078537877417883</v>
      </c>
      <c r="W9" s="415">
        <v>6.3928584789900498</v>
      </c>
      <c r="X9" s="160">
        <f t="shared" si="3"/>
        <v>2063.7930815080904</v>
      </c>
      <c r="Y9" s="416">
        <f t="shared" si="4"/>
        <v>597.66212110615811</v>
      </c>
      <c r="AK9" s="432" t="s">
        <v>911</v>
      </c>
      <c r="AL9" s="432" t="s">
        <v>911</v>
      </c>
    </row>
    <row r="10" spans="1:38">
      <c r="A10" s="433" t="s">
        <v>913</v>
      </c>
      <c r="B10" s="434">
        <v>21500</v>
      </c>
      <c r="C10" s="435">
        <f t="shared" si="0"/>
        <v>9.9619639659073583E-2</v>
      </c>
      <c r="D10" s="436">
        <v>14.754815438319101</v>
      </c>
      <c r="E10" s="121">
        <v>10</v>
      </c>
      <c r="F10" s="415">
        <v>2.0248154383190999</v>
      </c>
      <c r="G10" s="121">
        <v>1.23</v>
      </c>
      <c r="H10" s="121">
        <v>1.5</v>
      </c>
      <c r="I10" s="437">
        <v>3225.3260869565202</v>
      </c>
      <c r="J10" s="437">
        <v>1054.60760869565</v>
      </c>
      <c r="K10" s="437">
        <v>1926.8430702858</v>
      </c>
      <c r="L10" s="437">
        <v>240.23529411764699</v>
      </c>
      <c r="M10" s="437">
        <v>15052.9879399444</v>
      </c>
      <c r="N10" s="438">
        <f t="shared" si="1"/>
        <v>0.7001389739509023</v>
      </c>
      <c r="O10" s="437">
        <v>1937.83715222504</v>
      </c>
      <c r="P10" s="437">
        <v>1052.0579516713899</v>
      </c>
      <c r="Q10" s="437">
        <v>895.49570939034402</v>
      </c>
      <c r="R10" s="437">
        <v>621.14221787381496</v>
      </c>
      <c r="S10" s="437">
        <v>4506.5330311605903</v>
      </c>
      <c r="T10" s="437">
        <v>10546.4549087838</v>
      </c>
      <c r="U10" s="439">
        <f t="shared" si="2"/>
        <v>0.49053278645506049</v>
      </c>
      <c r="W10" s="415">
        <v>14.754815438319101</v>
      </c>
      <c r="X10" s="160">
        <f t="shared" si="3"/>
        <v>1457.151401851037</v>
      </c>
      <c r="Y10" s="416">
        <f t="shared" si="4"/>
        <v>611.78006994838745</v>
      </c>
      <c r="AK10" s="432" t="s">
        <v>912</v>
      </c>
      <c r="AL10" s="432" t="s">
        <v>912</v>
      </c>
    </row>
    <row r="11" spans="1:38">
      <c r="A11" s="433" t="s">
        <v>914</v>
      </c>
      <c r="B11" s="434">
        <v>14286</v>
      </c>
      <c r="C11" s="435">
        <f t="shared" si="0"/>
        <v>6.6193775449745362E-2</v>
      </c>
      <c r="D11" s="436">
        <v>25.129177127443299</v>
      </c>
      <c r="E11" s="121">
        <v>16</v>
      </c>
      <c r="F11" s="415">
        <v>3.2691771274432901</v>
      </c>
      <c r="G11" s="121">
        <v>1.74</v>
      </c>
      <c r="H11" s="121">
        <v>4.12</v>
      </c>
      <c r="I11" s="437">
        <v>5804.6413043478296</v>
      </c>
      <c r="J11" s="437">
        <v>2181.75869565217</v>
      </c>
      <c r="K11" s="437">
        <v>1280.32000474897</v>
      </c>
      <c r="L11" s="437">
        <v>120.11764705882401</v>
      </c>
      <c r="M11" s="437">
        <v>4899.1623481921997</v>
      </c>
      <c r="N11" s="438">
        <f t="shared" si="1"/>
        <v>0.34293450568334033</v>
      </c>
      <c r="O11" s="437">
        <v>2393.2149362257401</v>
      </c>
      <c r="P11" s="437">
        <v>1791.7777912169799</v>
      </c>
      <c r="Q11" s="437">
        <v>1525.13397352932</v>
      </c>
      <c r="R11" s="437">
        <v>1057.8778758389001</v>
      </c>
      <c r="S11" s="437">
        <v>6768.0045768109403</v>
      </c>
      <c r="T11" s="437">
        <v>-1868.8422286187399</v>
      </c>
      <c r="U11" s="439">
        <f t="shared" si="2"/>
        <v>-0.13081633967651826</v>
      </c>
      <c r="W11" s="415">
        <v>25.129177127443299</v>
      </c>
      <c r="X11" s="160">
        <f t="shared" si="3"/>
        <v>568.50249920831732</v>
      </c>
      <c r="Y11" s="416">
        <f t="shared" si="4"/>
        <v>591.92237566845995</v>
      </c>
      <c r="AK11" s="432" t="s">
        <v>913</v>
      </c>
      <c r="AL11" s="432" t="s">
        <v>913</v>
      </c>
    </row>
    <row r="12" spans="1:38">
      <c r="A12" s="433" t="s">
        <v>915</v>
      </c>
      <c r="B12" s="434">
        <v>270</v>
      </c>
      <c r="C12" s="435">
        <f t="shared" si="0"/>
        <v>1.2510373352534823E-3</v>
      </c>
      <c r="D12" s="436">
        <v>5.31</v>
      </c>
      <c r="E12" s="121">
        <v>5</v>
      </c>
      <c r="F12" s="415">
        <v>0</v>
      </c>
      <c r="G12" s="121">
        <v>0.14000000000000001</v>
      </c>
      <c r="H12" s="121">
        <v>0.17</v>
      </c>
      <c r="I12" s="437">
        <v>1755</v>
      </c>
      <c r="J12" s="437">
        <v>95.143369565217398</v>
      </c>
      <c r="K12" s="437">
        <v>24.197564138472899</v>
      </c>
      <c r="L12" s="437">
        <v>0</v>
      </c>
      <c r="M12" s="437">
        <v>-1604.3409337036901</v>
      </c>
      <c r="N12" s="438">
        <f t="shared" si="1"/>
        <v>-5.9420034581618149</v>
      </c>
      <c r="O12" s="437">
        <v>0</v>
      </c>
      <c r="P12" s="437">
        <v>378.61725527700003</v>
      </c>
      <c r="Q12" s="437">
        <v>322.27324270783498</v>
      </c>
      <c r="R12" s="437">
        <v>223.538219823758</v>
      </c>
      <c r="S12" s="437">
        <v>924.428717808594</v>
      </c>
      <c r="T12" s="437">
        <v>-2528.7696515122798</v>
      </c>
      <c r="U12" s="439">
        <f t="shared" si="2"/>
        <v>-9.3658135241195541</v>
      </c>
      <c r="W12" s="415">
        <v>5.31</v>
      </c>
      <c r="X12" s="160">
        <f t="shared" si="3"/>
        <v>50.847457627118651</v>
      </c>
      <c r="Y12" s="416">
        <f t="shared" si="4"/>
        <v>522.51828387454077</v>
      </c>
      <c r="AK12" s="432" t="s">
        <v>914</v>
      </c>
      <c r="AL12" s="432" t="s">
        <v>914</v>
      </c>
    </row>
    <row r="13" spans="1:38">
      <c r="A13" s="433" t="s">
        <v>916</v>
      </c>
      <c r="B13" s="434">
        <v>1450</v>
      </c>
      <c r="C13" s="435">
        <f t="shared" si="0"/>
        <v>6.7185338374724044E-3</v>
      </c>
      <c r="D13" s="436">
        <v>1.37943633037262</v>
      </c>
      <c r="E13" s="121">
        <v>1</v>
      </c>
      <c r="F13" s="415">
        <v>0.15443633037262</v>
      </c>
      <c r="G13" s="121">
        <v>0.1</v>
      </c>
      <c r="H13" s="121">
        <v>0.125</v>
      </c>
      <c r="I13" s="437">
        <v>627.54347826086996</v>
      </c>
      <c r="J13" s="437">
        <v>94.999728260869603</v>
      </c>
      <c r="K13" s="437">
        <v>129.949881484391</v>
      </c>
      <c r="L13" s="437">
        <v>0</v>
      </c>
      <c r="M13" s="437">
        <v>597.50691199386904</v>
      </c>
      <c r="N13" s="438">
        <f t="shared" si="1"/>
        <v>0.41207373240956485</v>
      </c>
      <c r="O13" s="437">
        <v>137.30390513010201</v>
      </c>
      <c r="P13" s="437">
        <v>98.357513603589098</v>
      </c>
      <c r="Q13" s="437">
        <v>83.720417946926702</v>
      </c>
      <c r="R13" s="437">
        <v>58.070949463599497</v>
      </c>
      <c r="S13" s="437">
        <v>377.45278614421699</v>
      </c>
      <c r="T13" s="437">
        <v>220.054125849652</v>
      </c>
      <c r="U13" s="439">
        <f t="shared" si="2"/>
        <v>0.15176146610320829</v>
      </c>
      <c r="W13" s="415">
        <v>1.37943633037262</v>
      </c>
      <c r="X13" s="160">
        <f t="shared" si="3"/>
        <v>1051.1539880991238</v>
      </c>
      <c r="Y13" s="416">
        <f t="shared" si="4"/>
        <v>797.42425833370669</v>
      </c>
      <c r="AK13" s="432" t="s">
        <v>1060</v>
      </c>
      <c r="AL13" s="432" t="s">
        <v>915</v>
      </c>
    </row>
    <row r="14" spans="1:38">
      <c r="A14" s="433" t="s">
        <v>917</v>
      </c>
      <c r="B14" s="434">
        <v>4000</v>
      </c>
      <c r="C14" s="435">
        <f t="shared" si="0"/>
        <v>1.8533886448199737E-2</v>
      </c>
      <c r="D14" s="436">
        <v>3.5411628398626802</v>
      </c>
      <c r="E14" s="121">
        <v>3</v>
      </c>
      <c r="F14" s="415">
        <v>8.1162839862679401E-2</v>
      </c>
      <c r="G14" s="121">
        <v>0.26</v>
      </c>
      <c r="H14" s="121">
        <v>0.2</v>
      </c>
      <c r="I14" s="437">
        <v>1315.73913043478</v>
      </c>
      <c r="J14" s="437">
        <v>184.01543478260899</v>
      </c>
      <c r="K14" s="437">
        <v>358.48243168107899</v>
      </c>
      <c r="L14" s="437">
        <v>120.11764705882401</v>
      </c>
      <c r="M14" s="437">
        <v>2021.6453560427101</v>
      </c>
      <c r="N14" s="438">
        <f t="shared" si="1"/>
        <v>0.50541133901067747</v>
      </c>
      <c r="O14" s="437">
        <v>94.585026597710694</v>
      </c>
      <c r="P14" s="437">
        <v>252.49441712198001</v>
      </c>
      <c r="Q14" s="437">
        <v>214.91940326912101</v>
      </c>
      <c r="R14" s="437">
        <v>149.07443264198699</v>
      </c>
      <c r="S14" s="437">
        <v>711.07327963079797</v>
      </c>
      <c r="T14" s="437">
        <v>1310.5720764119101</v>
      </c>
      <c r="U14" s="439">
        <f t="shared" si="2"/>
        <v>0.3276430191029775</v>
      </c>
      <c r="W14" s="415">
        <v>3.5411628398626802</v>
      </c>
      <c r="X14" s="160">
        <f t="shared" si="3"/>
        <v>1129.5724542718608</v>
      </c>
      <c r="Y14" s="416">
        <f t="shared" si="4"/>
        <v>658.24295501683309</v>
      </c>
      <c r="AK14" s="432" t="s">
        <v>1061</v>
      </c>
      <c r="AL14" s="432" t="s">
        <v>915</v>
      </c>
    </row>
    <row r="15" spans="1:38">
      <c r="A15" s="433" t="s">
        <v>918</v>
      </c>
      <c r="B15" s="434">
        <v>8257.5</v>
      </c>
      <c r="C15" s="435">
        <f t="shared" si="0"/>
        <v>3.8260891836502331E-2</v>
      </c>
      <c r="D15" s="436">
        <v>5.9564290686348302</v>
      </c>
      <c r="E15" s="121">
        <v>3.5</v>
      </c>
      <c r="F15" s="415">
        <v>0.74142906863483204</v>
      </c>
      <c r="G15" s="121">
        <v>0.94</v>
      </c>
      <c r="H15" s="121">
        <v>0.77500000000000002</v>
      </c>
      <c r="I15" s="437">
        <v>1466.6739130434801</v>
      </c>
      <c r="J15" s="437">
        <v>611.73461956521805</v>
      </c>
      <c r="K15" s="437">
        <v>740.04216990162797</v>
      </c>
      <c r="L15" s="437">
        <v>0</v>
      </c>
      <c r="M15" s="437">
        <v>5439.0492974896797</v>
      </c>
      <c r="N15" s="438">
        <f t="shared" si="1"/>
        <v>0.65867990281437239</v>
      </c>
      <c r="O15" s="437">
        <v>659.17848640221803</v>
      </c>
      <c r="P15" s="437">
        <v>424.70938328034998</v>
      </c>
      <c r="Q15" s="437">
        <v>361.50616024635798</v>
      </c>
      <c r="R15" s="437">
        <v>250.751327779495</v>
      </c>
      <c r="S15" s="437">
        <v>1696.1453577084201</v>
      </c>
      <c r="T15" s="437">
        <v>3742.9039397812599</v>
      </c>
      <c r="U15" s="439">
        <f t="shared" si="2"/>
        <v>0.45327325943460611</v>
      </c>
      <c r="W15" s="415">
        <v>5.9564290686348302</v>
      </c>
      <c r="X15" s="160">
        <f t="shared" si="3"/>
        <v>1386.317188511834</v>
      </c>
      <c r="Y15" s="416">
        <f t="shared" si="4"/>
        <v>633.6940886601069</v>
      </c>
      <c r="AK15" s="432" t="s">
        <v>916</v>
      </c>
      <c r="AL15" s="432" t="s">
        <v>916</v>
      </c>
    </row>
    <row r="16" spans="1:38">
      <c r="A16" s="433" t="s">
        <v>919</v>
      </c>
      <c r="B16" s="434">
        <v>2650</v>
      </c>
      <c r="C16" s="435">
        <f t="shared" si="0"/>
        <v>1.2278699771932326E-2</v>
      </c>
      <c r="D16" s="436">
        <v>0</v>
      </c>
      <c r="E16" s="121">
        <v>0</v>
      </c>
      <c r="F16" s="415">
        <v>0</v>
      </c>
      <c r="G16" s="121">
        <v>0</v>
      </c>
      <c r="H16" s="121">
        <v>0</v>
      </c>
      <c r="I16" s="437">
        <v>0</v>
      </c>
      <c r="J16" s="437">
        <v>0</v>
      </c>
      <c r="K16" s="437">
        <v>237.49461098871501</v>
      </c>
      <c r="L16" s="437">
        <v>0</v>
      </c>
      <c r="M16" s="437">
        <v>2412.5053890112799</v>
      </c>
      <c r="N16" s="438">
        <f t="shared" si="1"/>
        <v>0.91037939207972829</v>
      </c>
      <c r="O16" s="437">
        <v>0</v>
      </c>
      <c r="P16" s="437">
        <v>0</v>
      </c>
      <c r="Q16" s="437">
        <v>0</v>
      </c>
      <c r="R16" s="437">
        <v>0</v>
      </c>
      <c r="S16" s="437">
        <v>0</v>
      </c>
      <c r="T16" s="437">
        <v>2412.5053890112799</v>
      </c>
      <c r="U16" s="439">
        <f t="shared" si="2"/>
        <v>0.91037939207972829</v>
      </c>
      <c r="W16" s="415">
        <v>0</v>
      </c>
      <c r="X16" s="160">
        <f t="shared" si="3"/>
        <v>0</v>
      </c>
      <c r="Y16" s="416">
        <f t="shared" si="4"/>
        <v>0</v>
      </c>
      <c r="AK16" s="432" t="s">
        <v>917</v>
      </c>
      <c r="AL16" s="432" t="s">
        <v>917</v>
      </c>
    </row>
    <row r="17" spans="1:38">
      <c r="A17" s="433" t="s">
        <v>920</v>
      </c>
      <c r="B17" s="434">
        <v>2880</v>
      </c>
      <c r="C17" s="435">
        <f t="shared" si="0"/>
        <v>1.3344398242703811E-2</v>
      </c>
      <c r="D17" s="436">
        <v>3.7918799387320599</v>
      </c>
      <c r="E17" s="121">
        <v>2</v>
      </c>
      <c r="F17" s="415">
        <v>1.0818799387320599</v>
      </c>
      <c r="G17" s="121">
        <v>0.37</v>
      </c>
      <c r="H17" s="121">
        <v>0.34</v>
      </c>
      <c r="I17" s="437">
        <v>521.19021739130403</v>
      </c>
      <c r="J17" s="437">
        <v>318.01858695652197</v>
      </c>
      <c r="K17" s="437">
        <v>258.107350810377</v>
      </c>
      <c r="L17" s="437">
        <v>0</v>
      </c>
      <c r="M17" s="437">
        <v>1782.6838448418</v>
      </c>
      <c r="N17" s="438">
        <f t="shared" si="1"/>
        <v>0.61898744612562495</v>
      </c>
      <c r="O17" s="437">
        <v>591.07257182132105</v>
      </c>
      <c r="P17" s="437">
        <v>270.37121934889802</v>
      </c>
      <c r="Q17" s="437">
        <v>230.13586512504099</v>
      </c>
      <c r="R17" s="437">
        <v>159.62901907525199</v>
      </c>
      <c r="S17" s="437">
        <v>1251.20867537051</v>
      </c>
      <c r="T17" s="437">
        <v>531.47516947128497</v>
      </c>
      <c r="U17" s="439">
        <f t="shared" si="2"/>
        <v>0.18453998939975172</v>
      </c>
      <c r="W17" s="415">
        <v>3.7918799387320599</v>
      </c>
      <c r="X17" s="160">
        <f t="shared" si="3"/>
        <v>759.51771852856268</v>
      </c>
      <c r="Y17" s="416">
        <f t="shared" si="4"/>
        <v>551.28788714163136</v>
      </c>
      <c r="AK17" s="432" t="s">
        <v>918</v>
      </c>
      <c r="AL17" s="432" t="s">
        <v>918</v>
      </c>
    </row>
    <row r="18" spans="1:38">
      <c r="A18" s="433" t="s">
        <v>921</v>
      </c>
      <c r="B18" s="434">
        <v>2560</v>
      </c>
      <c r="C18" s="435">
        <f t="shared" si="0"/>
        <v>1.1861687326847831E-2</v>
      </c>
      <c r="D18" s="436">
        <v>4.9916710566507199</v>
      </c>
      <c r="E18" s="121">
        <v>3</v>
      </c>
      <c r="F18" s="415">
        <v>0.96167105665071895</v>
      </c>
      <c r="G18" s="121">
        <v>0.35</v>
      </c>
      <c r="H18" s="121">
        <v>0.68</v>
      </c>
      <c r="I18" s="437">
        <v>770.875</v>
      </c>
      <c r="J18" s="437">
        <v>486.04423913043502</v>
      </c>
      <c r="K18" s="437">
        <v>229.428756275891</v>
      </c>
      <c r="L18" s="437">
        <v>120.11764705882401</v>
      </c>
      <c r="M18" s="437">
        <v>953.53435753485098</v>
      </c>
      <c r="N18" s="438">
        <f t="shared" si="1"/>
        <v>0.37247435841205118</v>
      </c>
      <c r="O18" s="437">
        <v>525.39784161895204</v>
      </c>
      <c r="P18" s="437">
        <v>355.91954702725701</v>
      </c>
      <c r="Q18" s="437">
        <v>302.95329905040899</v>
      </c>
      <c r="R18" s="437">
        <v>210.13733746694601</v>
      </c>
      <c r="S18" s="437">
        <v>1394.4080251635601</v>
      </c>
      <c r="T18" s="437">
        <v>-440.87366762871301</v>
      </c>
      <c r="U18" s="439">
        <f t="shared" si="2"/>
        <v>-0.17221627641746601</v>
      </c>
      <c r="W18" s="415">
        <v>4.9916710566507199</v>
      </c>
      <c r="X18" s="160">
        <f t="shared" si="3"/>
        <v>512.85430689371037</v>
      </c>
      <c r="Y18" s="416">
        <f t="shared" si="4"/>
        <v>555.21385121326193</v>
      </c>
      <c r="AK18" s="432" t="s">
        <v>1062</v>
      </c>
      <c r="AL18" s="432" t="s">
        <v>919</v>
      </c>
    </row>
    <row r="19" spans="1:38">
      <c r="A19" s="433" t="s">
        <v>922</v>
      </c>
      <c r="B19" s="434">
        <v>7200</v>
      </c>
      <c r="C19" s="435">
        <f t="shared" si="0"/>
        <v>3.3360995606759529E-2</v>
      </c>
      <c r="D19" s="436">
        <v>8.9906940500853807</v>
      </c>
      <c r="E19" s="121">
        <v>7</v>
      </c>
      <c r="F19" s="415">
        <v>0.41069405008538201</v>
      </c>
      <c r="G19" s="121">
        <v>0.82</v>
      </c>
      <c r="H19" s="121">
        <v>0.76</v>
      </c>
      <c r="I19" s="437">
        <v>2297.2391304347798</v>
      </c>
      <c r="J19" s="437">
        <v>527.90978260869599</v>
      </c>
      <c r="K19" s="437">
        <v>645.26837702594298</v>
      </c>
      <c r="L19" s="437">
        <v>240.23529411764699</v>
      </c>
      <c r="M19" s="437">
        <v>3489.3474158129302</v>
      </c>
      <c r="N19" s="438">
        <f t="shared" si="1"/>
        <v>0.48463158552957364</v>
      </c>
      <c r="O19" s="437">
        <v>237.961990487067</v>
      </c>
      <c r="P19" s="437">
        <v>641.06062227468499</v>
      </c>
      <c r="Q19" s="437">
        <v>545.66104062430395</v>
      </c>
      <c r="R19" s="437">
        <v>378.48658059061103</v>
      </c>
      <c r="S19" s="437">
        <v>1803.17023397667</v>
      </c>
      <c r="T19" s="437">
        <v>1686.1771818362699</v>
      </c>
      <c r="U19" s="439">
        <f t="shared" si="2"/>
        <v>0.2341912752550375</v>
      </c>
      <c r="W19" s="415">
        <v>8.9906940500853807</v>
      </c>
      <c r="X19" s="160">
        <f t="shared" si="3"/>
        <v>800.8280517488663</v>
      </c>
      <c r="Y19" s="416">
        <f t="shared" si="4"/>
        <v>541.51041221245407</v>
      </c>
      <c r="AK19" s="432" t="s">
        <v>957</v>
      </c>
      <c r="AL19" s="432" t="s">
        <v>920</v>
      </c>
    </row>
    <row r="20" spans="1:38">
      <c r="A20" s="433" t="s">
        <v>923</v>
      </c>
      <c r="B20" s="434">
        <v>10150</v>
      </c>
      <c r="C20" s="435">
        <f t="shared" si="0"/>
        <v>4.7029736862306833E-2</v>
      </c>
      <c r="D20" s="436">
        <v>11</v>
      </c>
      <c r="E20" s="121">
        <v>10</v>
      </c>
      <c r="F20" s="415">
        <v>0</v>
      </c>
      <c r="G20" s="121">
        <v>0</v>
      </c>
      <c r="H20" s="121">
        <v>1</v>
      </c>
      <c r="I20" s="437">
        <v>2575.1304347826099</v>
      </c>
      <c r="J20" s="437">
        <v>369.10869565217399</v>
      </c>
      <c r="K20" s="437">
        <v>909.64917039073896</v>
      </c>
      <c r="L20" s="437">
        <v>0</v>
      </c>
      <c r="M20" s="437">
        <v>6296.1116991744802</v>
      </c>
      <c r="N20" s="438">
        <f t="shared" si="1"/>
        <v>0.62030657134723943</v>
      </c>
      <c r="O20" s="437">
        <v>0</v>
      </c>
      <c r="P20" s="437">
        <v>784.32953070564895</v>
      </c>
      <c r="Q20" s="437">
        <v>667.60935400869801</v>
      </c>
      <c r="R20" s="437">
        <v>463.07352505863298</v>
      </c>
      <c r="S20" s="437">
        <v>1915.0124097729799</v>
      </c>
      <c r="T20" s="437">
        <v>4381.0992894014998</v>
      </c>
      <c r="U20" s="439">
        <f t="shared" si="2"/>
        <v>0.43163539797059114</v>
      </c>
      <c r="W20" s="415">
        <v>11</v>
      </c>
      <c r="X20" s="160">
        <f t="shared" si="3"/>
        <v>922.72727272727275</v>
      </c>
      <c r="Y20" s="416">
        <f t="shared" si="4"/>
        <v>441.75014001888763</v>
      </c>
      <c r="AK20" s="432" t="s">
        <v>921</v>
      </c>
      <c r="AL20" s="432" t="s">
        <v>921</v>
      </c>
    </row>
    <row r="21" spans="1:38">
      <c r="A21" s="433" t="s">
        <v>924</v>
      </c>
      <c r="B21" s="434">
        <v>0</v>
      </c>
      <c r="C21" s="435">
        <f t="shared" si="0"/>
        <v>0</v>
      </c>
      <c r="D21" s="436">
        <v>1.25</v>
      </c>
      <c r="E21" s="121">
        <v>1.25</v>
      </c>
      <c r="F21" s="415">
        <v>0</v>
      </c>
      <c r="G21" s="121">
        <v>0</v>
      </c>
      <c r="H21" s="121">
        <v>0</v>
      </c>
      <c r="I21" s="437">
        <v>273.71467391304299</v>
      </c>
      <c r="J21" s="437">
        <v>0</v>
      </c>
      <c r="K21" s="437">
        <v>0</v>
      </c>
      <c r="L21" s="437">
        <v>0</v>
      </c>
      <c r="M21" s="437">
        <v>-273.71467391304299</v>
      </c>
      <c r="N21" s="438">
        <f t="shared" si="1"/>
        <v>0</v>
      </c>
      <c r="O21" s="437">
        <v>0</v>
      </c>
      <c r="P21" s="437">
        <v>89.128355762005597</v>
      </c>
      <c r="Q21" s="437">
        <v>75.864699319170299</v>
      </c>
      <c r="R21" s="437">
        <v>52.621991483935602</v>
      </c>
      <c r="S21" s="437">
        <v>217.61504656511099</v>
      </c>
      <c r="T21" s="437">
        <v>-491.32972047815502</v>
      </c>
      <c r="U21" s="439">
        <f t="shared" si="2"/>
        <v>0</v>
      </c>
      <c r="W21" s="415">
        <v>1.25</v>
      </c>
      <c r="X21" s="160">
        <f t="shared" si="3"/>
        <v>0</v>
      </c>
      <c r="Y21" s="416">
        <f t="shared" si="4"/>
        <v>393.06377638252314</v>
      </c>
      <c r="AK21" s="432" t="s">
        <v>909</v>
      </c>
      <c r="AL21" s="432" t="s">
        <v>909</v>
      </c>
    </row>
    <row r="22" spans="1:38">
      <c r="A22" s="433" t="s">
        <v>925</v>
      </c>
      <c r="B22" s="434">
        <v>250</v>
      </c>
      <c r="C22" s="435">
        <f t="shared" si="0"/>
        <v>1.1583679030124836E-3</v>
      </c>
      <c r="D22" s="436">
        <v>1.25</v>
      </c>
      <c r="E22" s="121">
        <v>0.75</v>
      </c>
      <c r="F22" s="415">
        <v>0</v>
      </c>
      <c r="G22" s="121">
        <v>0</v>
      </c>
      <c r="H22" s="121">
        <v>0.5</v>
      </c>
      <c r="I22" s="437">
        <v>227.73097826086999</v>
      </c>
      <c r="J22" s="437">
        <v>244.71739130434801</v>
      </c>
      <c r="K22" s="437">
        <v>22.405151980067501</v>
      </c>
      <c r="L22" s="437">
        <v>0</v>
      </c>
      <c r="M22" s="437">
        <v>-244.85352154528499</v>
      </c>
      <c r="N22" s="438">
        <f t="shared" si="1"/>
        <v>-0.97941408618114001</v>
      </c>
      <c r="O22" s="437">
        <v>0</v>
      </c>
      <c r="P22" s="437">
        <v>89.128355762005597</v>
      </c>
      <c r="Q22" s="437">
        <v>75.864699319170299</v>
      </c>
      <c r="R22" s="437">
        <v>52.621991483935602</v>
      </c>
      <c r="S22" s="437">
        <v>217.61504656511099</v>
      </c>
      <c r="T22" s="437">
        <v>-462.46856811039601</v>
      </c>
      <c r="U22" s="439">
        <f t="shared" si="2"/>
        <v>-1.849874272441584</v>
      </c>
      <c r="W22" s="415">
        <v>1.25</v>
      </c>
      <c r="X22" s="160">
        <f t="shared" si="3"/>
        <v>200</v>
      </c>
      <c r="Y22" s="416">
        <f t="shared" si="4"/>
        <v>552.05073290426321</v>
      </c>
      <c r="AK22" s="432" t="s">
        <v>922</v>
      </c>
      <c r="AL22" s="432" t="s">
        <v>922</v>
      </c>
    </row>
    <row r="23" spans="1:38">
      <c r="A23" s="433" t="s">
        <v>926</v>
      </c>
      <c r="B23" s="434">
        <v>0</v>
      </c>
      <c r="C23" s="435">
        <f t="shared" si="0"/>
        <v>0</v>
      </c>
      <c r="D23" s="436">
        <v>11</v>
      </c>
      <c r="E23" s="121">
        <v>11</v>
      </c>
      <c r="F23" s="415">
        <v>0</v>
      </c>
      <c r="G23" s="121">
        <v>0</v>
      </c>
      <c r="H23" s="121">
        <v>0</v>
      </c>
      <c r="I23" s="437">
        <v>2480.4239130434798</v>
      </c>
      <c r="J23" s="437">
        <v>0</v>
      </c>
      <c r="K23" s="437">
        <v>0</v>
      </c>
      <c r="L23" s="437">
        <v>0</v>
      </c>
      <c r="M23" s="437">
        <v>-2480.4239130434798</v>
      </c>
      <c r="N23" s="438">
        <f t="shared" si="1"/>
        <v>0</v>
      </c>
      <c r="O23" s="437">
        <v>0</v>
      </c>
      <c r="P23" s="437">
        <v>784.32953070564895</v>
      </c>
      <c r="Q23" s="437">
        <v>667.60935400869801</v>
      </c>
      <c r="R23" s="437">
        <v>463.07352505863298</v>
      </c>
      <c r="S23" s="437">
        <v>1915.0124097729799</v>
      </c>
      <c r="T23" s="437">
        <v>-4395.4363228164602</v>
      </c>
      <c r="U23" s="439">
        <f t="shared" si="2"/>
        <v>0</v>
      </c>
      <c r="W23" s="415">
        <v>11</v>
      </c>
      <c r="X23" s="160">
        <f t="shared" si="3"/>
        <v>0</v>
      </c>
      <c r="Y23" s="416">
        <f t="shared" si="4"/>
        <v>399.58512025604182</v>
      </c>
      <c r="AK23" s="432" t="s">
        <v>923</v>
      </c>
      <c r="AL23" s="432" t="s">
        <v>923</v>
      </c>
    </row>
    <row r="24" spans="1:38">
      <c r="A24" s="433" t="s">
        <v>927</v>
      </c>
      <c r="B24" s="434">
        <v>1750</v>
      </c>
      <c r="C24" s="435">
        <f t="shared" si="0"/>
        <v>8.1085753210873857E-3</v>
      </c>
      <c r="D24" s="436">
        <v>1.2</v>
      </c>
      <c r="E24" s="121">
        <v>1</v>
      </c>
      <c r="F24" s="415">
        <v>0</v>
      </c>
      <c r="G24" s="121">
        <v>0.2</v>
      </c>
      <c r="H24" s="121">
        <v>0</v>
      </c>
      <c r="I24" s="437">
        <v>261.36956521739103</v>
      </c>
      <c r="J24" s="437">
        <v>86.9</v>
      </c>
      <c r="K24" s="437">
        <v>156.836063860472</v>
      </c>
      <c r="L24" s="437">
        <v>0</v>
      </c>
      <c r="M24" s="437">
        <v>1244.8943709221401</v>
      </c>
      <c r="N24" s="438">
        <f t="shared" si="1"/>
        <v>0.71136821195550859</v>
      </c>
      <c r="O24" s="437">
        <v>0</v>
      </c>
      <c r="P24" s="437">
        <v>85.5632215315254</v>
      </c>
      <c r="Q24" s="437">
        <v>72.830111346403399</v>
      </c>
      <c r="R24" s="437">
        <v>50.517111824578201</v>
      </c>
      <c r="S24" s="437">
        <v>208.91044470250699</v>
      </c>
      <c r="T24" s="437">
        <v>1035.9839262196299</v>
      </c>
      <c r="U24" s="439">
        <f t="shared" si="2"/>
        <v>0.59199081498264561</v>
      </c>
      <c r="W24" s="415">
        <v>0</v>
      </c>
      <c r="X24" s="160">
        <f t="shared" si="3"/>
        <v>0</v>
      </c>
      <c r="Y24" s="416">
        <f t="shared" si="4"/>
        <v>464.31667493324835</v>
      </c>
      <c r="AK24" s="432" t="s">
        <v>924</v>
      </c>
      <c r="AL24" s="432" t="s">
        <v>924</v>
      </c>
    </row>
    <row r="25" spans="1:38">
      <c r="A25" s="433" t="s">
        <v>928</v>
      </c>
      <c r="B25" s="434">
        <v>10725</v>
      </c>
      <c r="C25" s="435">
        <f t="shared" si="0"/>
        <v>4.9693983039235542E-2</v>
      </c>
      <c r="D25" s="436">
        <v>4.5</v>
      </c>
      <c r="E25" s="121">
        <v>4</v>
      </c>
      <c r="F25" s="415">
        <v>0</v>
      </c>
      <c r="G25" s="121">
        <v>0</v>
      </c>
      <c r="H25" s="121">
        <v>0.5</v>
      </c>
      <c r="I25" s="437">
        <v>1123.96739130435</v>
      </c>
      <c r="J25" s="437">
        <v>242.70652173913001</v>
      </c>
      <c r="K25" s="437">
        <v>961.18101994489405</v>
      </c>
      <c r="L25" s="437">
        <v>120.11764705882401</v>
      </c>
      <c r="M25" s="437">
        <v>8277.0274199527994</v>
      </c>
      <c r="N25" s="438">
        <f t="shared" si="1"/>
        <v>0.77175080838720744</v>
      </c>
      <c r="O25" s="437">
        <v>0</v>
      </c>
      <c r="P25" s="437">
        <v>320.86208074322002</v>
      </c>
      <c r="Q25" s="437">
        <v>273.11291754901299</v>
      </c>
      <c r="R25" s="437">
        <v>189.43916934216799</v>
      </c>
      <c r="S25" s="437">
        <v>783.414167634401</v>
      </c>
      <c r="T25" s="437">
        <v>7493.6132523183996</v>
      </c>
      <c r="U25" s="439">
        <f t="shared" si="2"/>
        <v>0.69870519835136591</v>
      </c>
      <c r="W25" s="415">
        <v>2</v>
      </c>
      <c r="X25" s="160">
        <f t="shared" si="3"/>
        <v>5362.5</v>
      </c>
      <c r="Y25" s="416">
        <f t="shared" si="4"/>
        <v>504.49016171926786</v>
      </c>
      <c r="AK25" s="432" t="s">
        <v>925</v>
      </c>
      <c r="AL25" s="432" t="s">
        <v>925</v>
      </c>
    </row>
    <row r="26" spans="1:38">
      <c r="A26" s="433" t="s">
        <v>929</v>
      </c>
      <c r="B26" s="434">
        <v>3000</v>
      </c>
      <c r="C26" s="435">
        <f t="shared" si="0"/>
        <v>1.3900414836149804E-2</v>
      </c>
      <c r="D26" s="436">
        <v>2</v>
      </c>
      <c r="E26" s="121">
        <v>2</v>
      </c>
      <c r="F26" s="415">
        <v>0</v>
      </c>
      <c r="G26" s="121">
        <v>0</v>
      </c>
      <c r="H26" s="121">
        <v>0</v>
      </c>
      <c r="I26" s="437">
        <v>804.88043478260897</v>
      </c>
      <c r="J26" s="437">
        <v>0</v>
      </c>
      <c r="K26" s="437">
        <v>268.86182376081001</v>
      </c>
      <c r="L26" s="437">
        <v>120.11764705882401</v>
      </c>
      <c r="M26" s="437">
        <v>1806.1400943977601</v>
      </c>
      <c r="N26" s="438">
        <f t="shared" si="1"/>
        <v>0.60204669813258671</v>
      </c>
      <c r="O26" s="437">
        <v>0</v>
      </c>
      <c r="P26" s="437">
        <v>142.605369219209</v>
      </c>
      <c r="Q26" s="437">
        <v>121.383518910672</v>
      </c>
      <c r="R26" s="437">
        <v>84.195186374296995</v>
      </c>
      <c r="S26" s="437">
        <v>348.184074504178</v>
      </c>
      <c r="T26" s="437">
        <v>1457.9560198935801</v>
      </c>
      <c r="U26" s="439">
        <f t="shared" si="2"/>
        <v>0.4859853399645267</v>
      </c>
      <c r="W26" s="415">
        <v>0</v>
      </c>
      <c r="X26" s="160">
        <f t="shared" si="3"/>
        <v>0</v>
      </c>
      <c r="Y26" s="416">
        <f t="shared" si="4"/>
        <v>636.59107817280551</v>
      </c>
      <c r="AK26" s="432" t="s">
        <v>926</v>
      </c>
      <c r="AL26" s="432" t="s">
        <v>926</v>
      </c>
    </row>
    <row r="27" spans="1:38">
      <c r="A27" s="433" t="s">
        <v>930</v>
      </c>
      <c r="B27" s="434">
        <v>1000</v>
      </c>
      <c r="C27" s="435">
        <f t="shared" si="0"/>
        <v>4.6334716120499343E-3</v>
      </c>
      <c r="D27" s="436">
        <v>0</v>
      </c>
      <c r="E27" s="121">
        <v>0</v>
      </c>
      <c r="F27" s="415">
        <v>0</v>
      </c>
      <c r="G27" s="121">
        <v>0</v>
      </c>
      <c r="H27" s="121">
        <v>0</v>
      </c>
      <c r="I27" s="437">
        <v>0</v>
      </c>
      <c r="J27" s="437">
        <v>0</v>
      </c>
      <c r="K27" s="437">
        <v>89.620607920269805</v>
      </c>
      <c r="L27" s="437">
        <v>0</v>
      </c>
      <c r="M27" s="437">
        <v>910.37939207973</v>
      </c>
      <c r="N27" s="438">
        <f t="shared" si="1"/>
        <v>0.91037939207972995</v>
      </c>
      <c r="O27" s="437">
        <v>0</v>
      </c>
      <c r="P27" s="437">
        <v>0</v>
      </c>
      <c r="Q27" s="437">
        <v>0</v>
      </c>
      <c r="R27" s="437">
        <v>0</v>
      </c>
      <c r="S27" s="437">
        <v>0</v>
      </c>
      <c r="T27" s="437">
        <v>910.37939207973</v>
      </c>
      <c r="U27" s="439">
        <f t="shared" si="2"/>
        <v>0.91037939207972995</v>
      </c>
      <c r="W27" s="415">
        <v>0</v>
      </c>
      <c r="X27" s="160">
        <f t="shared" si="3"/>
        <v>0</v>
      </c>
      <c r="Y27" s="416">
        <f t="shared" si="4"/>
        <v>0</v>
      </c>
      <c r="AK27" s="432" t="s">
        <v>1063</v>
      </c>
      <c r="AL27" s="432" t="s">
        <v>911</v>
      </c>
    </row>
    <row r="28" spans="1:38">
      <c r="A28" s="433" t="s">
        <v>931</v>
      </c>
      <c r="B28" s="434">
        <v>0</v>
      </c>
      <c r="C28" s="435">
        <f t="shared" si="0"/>
        <v>0</v>
      </c>
      <c r="D28" s="436">
        <v>0</v>
      </c>
      <c r="E28" s="121">
        <v>0</v>
      </c>
      <c r="F28" s="415">
        <v>0</v>
      </c>
      <c r="G28" s="121">
        <v>0</v>
      </c>
      <c r="H28" s="121">
        <v>0</v>
      </c>
      <c r="I28" s="437">
        <v>0</v>
      </c>
      <c r="J28" s="437">
        <v>0</v>
      </c>
      <c r="K28" s="437">
        <v>0</v>
      </c>
      <c r="L28" s="437">
        <v>0</v>
      </c>
      <c r="M28" s="437">
        <v>0</v>
      </c>
      <c r="N28" s="438">
        <f t="shared" si="1"/>
        <v>0</v>
      </c>
      <c r="O28" s="437">
        <v>0</v>
      </c>
      <c r="P28" s="437">
        <v>0</v>
      </c>
      <c r="Q28" s="437">
        <v>0</v>
      </c>
      <c r="R28" s="437">
        <v>0</v>
      </c>
      <c r="S28" s="437">
        <v>0</v>
      </c>
      <c r="T28" s="437">
        <v>0</v>
      </c>
      <c r="U28" s="439">
        <f t="shared" si="2"/>
        <v>0</v>
      </c>
      <c r="W28" s="415">
        <v>219.58500000000001</v>
      </c>
      <c r="X28" s="160">
        <f t="shared" si="3"/>
        <v>0</v>
      </c>
      <c r="Y28" s="416">
        <f t="shared" si="4"/>
        <v>0</v>
      </c>
      <c r="AK28" s="432" t="s">
        <v>1063</v>
      </c>
      <c r="AL28" s="432" t="s">
        <v>927</v>
      </c>
    </row>
    <row r="29" spans="1:38">
      <c r="A29" s="433" t="s">
        <v>932</v>
      </c>
      <c r="B29" s="434">
        <v>0</v>
      </c>
      <c r="C29" s="435">
        <f t="shared" si="0"/>
        <v>0</v>
      </c>
      <c r="D29" s="436">
        <v>0</v>
      </c>
      <c r="E29" s="121">
        <v>0</v>
      </c>
      <c r="F29" s="415">
        <v>0</v>
      </c>
      <c r="G29" s="121">
        <v>0</v>
      </c>
      <c r="H29" s="121">
        <v>0</v>
      </c>
      <c r="I29" s="437">
        <v>0</v>
      </c>
      <c r="J29" s="437">
        <v>0</v>
      </c>
      <c r="K29" s="437">
        <v>0</v>
      </c>
      <c r="L29" s="437">
        <v>0</v>
      </c>
      <c r="M29" s="437">
        <v>0</v>
      </c>
      <c r="N29" s="438">
        <f t="shared" si="1"/>
        <v>0</v>
      </c>
      <c r="O29" s="437">
        <v>0</v>
      </c>
      <c r="P29" s="437">
        <v>0</v>
      </c>
      <c r="Q29" s="437">
        <v>0</v>
      </c>
      <c r="R29" s="437">
        <v>0</v>
      </c>
      <c r="S29" s="437">
        <v>0</v>
      </c>
      <c r="T29" s="437">
        <v>0</v>
      </c>
      <c r="U29" s="439">
        <f t="shared" si="2"/>
        <v>0</v>
      </c>
      <c r="W29" s="415">
        <v>0</v>
      </c>
      <c r="X29" s="160">
        <f t="shared" si="3"/>
        <v>0</v>
      </c>
      <c r="Y29" s="416">
        <f t="shared" si="4"/>
        <v>0</v>
      </c>
      <c r="AK29" s="432" t="s">
        <v>1064</v>
      </c>
      <c r="AL29" s="432" t="s">
        <v>911</v>
      </c>
    </row>
    <row r="30" spans="1:38" ht="15" thickBot="1">
      <c r="A30" s="433"/>
      <c r="B30" s="434"/>
      <c r="C30" s="435"/>
      <c r="D30" s="436"/>
      <c r="F30" s="415"/>
      <c r="I30" s="437"/>
      <c r="J30" s="437"/>
      <c r="K30" s="437"/>
      <c r="L30" s="437"/>
      <c r="M30" s="437"/>
      <c r="N30" s="438"/>
      <c r="O30" s="437"/>
      <c r="P30" s="437"/>
      <c r="Q30" s="437"/>
      <c r="R30" s="437"/>
      <c r="S30" s="437"/>
      <c r="T30" s="437"/>
      <c r="U30" s="439"/>
      <c r="W30" s="415"/>
      <c r="X30" s="160"/>
      <c r="Y30" s="416"/>
      <c r="AK30" s="432"/>
      <c r="AL30" s="432"/>
    </row>
    <row r="31" spans="1:38">
      <c r="A31" s="440" t="s">
        <v>19</v>
      </c>
      <c r="B31" s="441">
        <f>SUM(B5:B30)</f>
        <v>215820.8971</v>
      </c>
      <c r="C31" s="442">
        <v>1</v>
      </c>
      <c r="D31" s="441">
        <f t="shared" ref="D31:M31" si="5">SUM(D5:D30)</f>
        <v>219.58499999999992</v>
      </c>
      <c r="E31" s="440">
        <f t="shared" si="5"/>
        <v>173.5</v>
      </c>
      <c r="F31" s="443">
        <f t="shared" si="5"/>
        <v>18.000000000000004</v>
      </c>
      <c r="G31" s="440">
        <f t="shared" si="5"/>
        <v>10.874999999999998</v>
      </c>
      <c r="H31" s="440">
        <f t="shared" si="5"/>
        <v>17.21</v>
      </c>
      <c r="I31" s="444">
        <f t="shared" si="5"/>
        <v>60383.336956521736</v>
      </c>
      <c r="J31" s="444">
        <f t="shared" si="5"/>
        <v>10984.629619565208</v>
      </c>
      <c r="K31" s="444">
        <f t="shared" si="5"/>
        <v>19341.999999999996</v>
      </c>
      <c r="L31" s="444">
        <f t="shared" si="5"/>
        <v>4084.000000000005</v>
      </c>
      <c r="M31" s="444">
        <f t="shared" si="5"/>
        <v>121026.93052391299</v>
      </c>
      <c r="N31" s="445">
        <f>IFERROR(M31/B31,0)</f>
        <v>0.56077484687609047</v>
      </c>
      <c r="O31" s="444">
        <f t="shared" ref="O31:T31" si="6">SUM(O5:O30)</f>
        <v>14223.173913043487</v>
      </c>
      <c r="P31" s="444">
        <f t="shared" si="6"/>
        <v>15657.000000000005</v>
      </c>
      <c r="Q31" s="444">
        <f t="shared" si="6"/>
        <v>13326.999999999996</v>
      </c>
      <c r="R31" s="444">
        <f t="shared" si="6"/>
        <v>9243.9999999999945</v>
      </c>
      <c r="S31" s="444">
        <f t="shared" si="6"/>
        <v>52451.173913043429</v>
      </c>
      <c r="T31" s="444">
        <f t="shared" si="6"/>
        <v>68575.756610869619</v>
      </c>
      <c r="U31" s="446">
        <f>IFERROR(T31/B31,0)</f>
        <v>0.31774382153130998</v>
      </c>
      <c r="V31" s="440"/>
      <c r="W31" s="443">
        <f>SUM(W5:W30)</f>
        <v>434.66999999999996</v>
      </c>
      <c r="X31" s="447">
        <f>IFERROR(B31/W31,0)</f>
        <v>496.51666114523664</v>
      </c>
      <c r="Y31" s="448">
        <f>IFERROR((I31+J31+L31+S31)/D31,0)</f>
        <v>582.47667413134059</v>
      </c>
      <c r="AK31" s="432" t="s">
        <v>928</v>
      </c>
      <c r="AL31" s="432" t="s">
        <v>928</v>
      </c>
    </row>
    <row r="32" spans="1:38">
      <c r="AK32" s="432" t="s">
        <v>929</v>
      </c>
      <c r="AL32" s="432" t="s">
        <v>929</v>
      </c>
    </row>
    <row r="33" spans="37:38">
      <c r="AK33" s="432" t="s">
        <v>1065</v>
      </c>
      <c r="AL33" s="432" t="s">
        <v>929</v>
      </c>
    </row>
    <row r="34" spans="37:38">
      <c r="AK34" s="432" t="s">
        <v>930</v>
      </c>
      <c r="AL34" s="432" t="s">
        <v>930</v>
      </c>
    </row>
    <row r="35" spans="37:38">
      <c r="AK35" s="432" t="s">
        <v>1067</v>
      </c>
      <c r="AL35" s="432" t="s">
        <v>910</v>
      </c>
    </row>
    <row r="36" spans="37:38">
      <c r="AK36" s="432" t="s">
        <v>931</v>
      </c>
      <c r="AL36" s="432" t="s">
        <v>931</v>
      </c>
    </row>
  </sheetData>
  <autoFilter ref="A4:U4" xr:uid="{19A3B1AA-5388-4822-AB2A-3C40B3024183}"/>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7E84-D84D-4F99-BACE-36AEC7990D1D}">
  <dimension ref="A1:J28"/>
  <sheetViews>
    <sheetView showGridLines="0" zoomScale="70" zoomScaleNormal="70" workbookViewId="0">
      <selection activeCell="G11" sqref="G11"/>
    </sheetView>
  </sheetViews>
  <sheetFormatPr defaultRowHeight="14.5"/>
  <cols>
    <col min="1" max="1" width="55.75" style="121" bestFit="1" customWidth="1"/>
    <col min="2" max="4" width="13.25" style="121" customWidth="1"/>
    <col min="5" max="6" width="8.6640625" style="121"/>
    <col min="7" max="7" width="8" style="121" customWidth="1"/>
    <col min="8" max="16384" width="8.6640625" style="121"/>
  </cols>
  <sheetData>
    <row r="1" spans="1:10" ht="18.5">
      <c r="A1" s="449" t="s">
        <v>940</v>
      </c>
    </row>
    <row r="3" spans="1:10" ht="29">
      <c r="A3" s="407" t="s">
        <v>887</v>
      </c>
      <c r="B3" s="407" t="s">
        <v>941</v>
      </c>
      <c r="C3" s="407" t="s">
        <v>942</v>
      </c>
      <c r="D3" s="407" t="s">
        <v>943</v>
      </c>
      <c r="E3" s="407" t="s">
        <v>944</v>
      </c>
    </row>
    <row r="4" spans="1:10">
      <c r="A4" s="411" t="s">
        <v>930</v>
      </c>
      <c r="B4" s="450">
        <v>0.91037939207972995</v>
      </c>
      <c r="C4" s="450">
        <v>0</v>
      </c>
      <c r="D4" s="450">
        <f t="shared" ref="D4:D28" si="0">C4-B4</f>
        <v>-0.91037939207972995</v>
      </c>
      <c r="E4" s="121" t="s">
        <v>945</v>
      </c>
      <c r="G4" s="411"/>
      <c r="H4" s="450"/>
      <c r="I4" s="450"/>
      <c r="J4" s="450"/>
    </row>
    <row r="5" spans="1:10">
      <c r="A5" s="411" t="s">
        <v>918</v>
      </c>
      <c r="B5" s="450">
        <v>0.453273259434606</v>
      </c>
      <c r="C5" s="450">
        <v>0.39784473361543199</v>
      </c>
      <c r="D5" s="450">
        <f t="shared" si="0"/>
        <v>-5.5428525819174013E-2</v>
      </c>
      <c r="E5" s="121" t="s">
        <v>945</v>
      </c>
      <c r="G5" s="411"/>
      <c r="H5" s="450"/>
      <c r="I5" s="450"/>
      <c r="J5" s="450"/>
    </row>
    <row r="6" spans="1:10">
      <c r="A6" s="411" t="s">
        <v>929</v>
      </c>
      <c r="B6" s="450">
        <v>0.48598533996452697</v>
      </c>
      <c r="C6" s="450">
        <v>0.13934325814335599</v>
      </c>
      <c r="D6" s="450">
        <f t="shared" si="0"/>
        <v>-0.34664208182117096</v>
      </c>
      <c r="E6" s="121" t="s">
        <v>946</v>
      </c>
      <c r="G6" s="411"/>
      <c r="H6" s="450"/>
      <c r="I6" s="450"/>
      <c r="J6" s="450"/>
    </row>
    <row r="7" spans="1:10">
      <c r="A7" s="411" t="s">
        <v>920</v>
      </c>
      <c r="B7" s="450">
        <v>0.184539989399752</v>
      </c>
      <c r="C7" s="450">
        <v>0.21530493869807901</v>
      </c>
      <c r="D7" s="450">
        <f t="shared" si="0"/>
        <v>3.0764949298327016E-2</v>
      </c>
      <c r="E7" s="121" t="s">
        <v>945</v>
      </c>
      <c r="G7" s="411"/>
      <c r="H7" s="450"/>
      <c r="I7" s="450"/>
      <c r="J7" s="450"/>
    </row>
    <row r="8" spans="1:10">
      <c r="A8" s="411" t="s">
        <v>928</v>
      </c>
      <c r="B8" s="450">
        <v>0.69870519835136602</v>
      </c>
      <c r="C8" s="450">
        <v>0.428413666410497</v>
      </c>
      <c r="D8" s="450">
        <f t="shared" si="0"/>
        <v>-0.27029153194086902</v>
      </c>
      <c r="E8" s="121" t="s">
        <v>946</v>
      </c>
      <c r="G8" s="411"/>
      <c r="H8" s="450"/>
      <c r="I8" s="450"/>
      <c r="J8" s="450"/>
    </row>
    <row r="9" spans="1:10">
      <c r="A9" s="411" t="s">
        <v>922</v>
      </c>
      <c r="B9" s="450">
        <v>0.234191275255037</v>
      </c>
      <c r="C9" s="450">
        <v>-1.8477207944706801E-2</v>
      </c>
      <c r="D9" s="450">
        <f t="shared" si="0"/>
        <v>-0.25266848319974378</v>
      </c>
      <c r="E9" s="121" t="s">
        <v>945</v>
      </c>
      <c r="G9" s="411"/>
      <c r="H9" s="450"/>
      <c r="I9" s="450"/>
      <c r="J9" s="450"/>
    </row>
    <row r="10" spans="1:10">
      <c r="A10" s="411" t="s">
        <v>927</v>
      </c>
      <c r="B10" s="450">
        <v>0.59199081498264505</v>
      </c>
      <c r="C10" s="450">
        <v>0.36478459897338</v>
      </c>
      <c r="D10" s="450">
        <f t="shared" si="0"/>
        <v>-0.22720621600926505</v>
      </c>
      <c r="E10" s="121" t="s">
        <v>945</v>
      </c>
      <c r="G10" s="411"/>
      <c r="H10" s="450"/>
      <c r="I10" s="450"/>
      <c r="J10" s="450"/>
    </row>
    <row r="11" spans="1:10">
      <c r="A11" s="411" t="s">
        <v>910</v>
      </c>
      <c r="B11" s="450">
        <v>0.36021757341716498</v>
      </c>
      <c r="C11" s="450">
        <v>0.28432506463734297</v>
      </c>
      <c r="D11" s="450">
        <f t="shared" si="0"/>
        <v>-7.589250877982201E-2</v>
      </c>
      <c r="E11" s="121" t="s">
        <v>945</v>
      </c>
      <c r="G11" s="411"/>
      <c r="H11" s="450"/>
      <c r="I11" s="450"/>
      <c r="J11" s="450"/>
    </row>
    <row r="12" spans="1:10">
      <c r="A12" s="411" t="s">
        <v>916</v>
      </c>
      <c r="B12" s="450">
        <v>0.15176146610320901</v>
      </c>
      <c r="C12" s="450">
        <v>0.124755942271102</v>
      </c>
      <c r="D12" s="450">
        <f t="shared" si="0"/>
        <v>-2.7005523832107012E-2</v>
      </c>
      <c r="E12" s="121" t="s">
        <v>945</v>
      </c>
      <c r="G12" s="411"/>
      <c r="H12" s="450"/>
      <c r="I12" s="450"/>
      <c r="J12" s="450"/>
    </row>
    <row r="13" spans="1:10">
      <c r="A13" s="411" t="s">
        <v>919</v>
      </c>
      <c r="B13" s="450">
        <v>0.91037939207972995</v>
      </c>
      <c r="C13" s="450">
        <v>0.89860899390243898</v>
      </c>
      <c r="D13" s="450">
        <f t="shared" si="0"/>
        <v>-1.1770398177290975E-2</v>
      </c>
      <c r="E13" s="121" t="s">
        <v>946</v>
      </c>
      <c r="G13" s="411"/>
      <c r="H13" s="450"/>
      <c r="I13" s="450"/>
      <c r="J13" s="450"/>
    </row>
    <row r="14" spans="1:10">
      <c r="A14" s="411" t="s">
        <v>924</v>
      </c>
      <c r="B14" s="450">
        <v>0</v>
      </c>
      <c r="C14" s="450">
        <v>0</v>
      </c>
      <c r="D14" s="450">
        <f t="shared" si="0"/>
        <v>0</v>
      </c>
      <c r="E14" s="121" t="s">
        <v>946</v>
      </c>
      <c r="G14" s="411"/>
      <c r="H14" s="450"/>
      <c r="I14" s="450"/>
      <c r="J14" s="450"/>
    </row>
    <row r="15" spans="1:10">
      <c r="A15" s="411" t="s">
        <v>926</v>
      </c>
      <c r="B15" s="450">
        <v>0</v>
      </c>
      <c r="C15" s="450">
        <v>0</v>
      </c>
      <c r="D15" s="450">
        <f t="shared" si="0"/>
        <v>0</v>
      </c>
      <c r="E15" s="121" t="s">
        <v>946</v>
      </c>
      <c r="G15" s="411"/>
      <c r="H15" s="438"/>
      <c r="I15" s="438"/>
      <c r="J15" s="438"/>
    </row>
    <row r="16" spans="1:10">
      <c r="A16" s="411" t="s">
        <v>913</v>
      </c>
      <c r="B16" s="450">
        <v>0.49053278645505999</v>
      </c>
      <c r="C16" s="450">
        <v>0.53397507157227397</v>
      </c>
      <c r="D16" s="450">
        <f t="shared" si="0"/>
        <v>4.3442285117213986E-2</v>
      </c>
      <c r="E16" s="121" t="s">
        <v>946</v>
      </c>
    </row>
    <row r="17" spans="1:5">
      <c r="A17" s="411" t="s">
        <v>923</v>
      </c>
      <c r="B17" s="450">
        <v>0.43163539797059097</v>
      </c>
      <c r="C17" s="450">
        <v>0.479734740296064</v>
      </c>
      <c r="D17" s="450">
        <f t="shared" si="0"/>
        <v>4.8099342325473027E-2</v>
      </c>
      <c r="E17" s="121" t="s">
        <v>946</v>
      </c>
    </row>
    <row r="18" spans="1:5">
      <c r="A18" s="411" t="s">
        <v>912</v>
      </c>
      <c r="B18" s="450">
        <v>0.62078537877417905</v>
      </c>
      <c r="C18" s="450">
        <v>0.67866612871519205</v>
      </c>
      <c r="D18" s="450">
        <f t="shared" si="0"/>
        <v>5.7880749941012999E-2</v>
      </c>
      <c r="E18" s="121" t="s">
        <v>945</v>
      </c>
    </row>
    <row r="19" spans="1:5">
      <c r="A19" s="411" t="s">
        <v>908</v>
      </c>
      <c r="B19" s="450">
        <v>0.31197258628817898</v>
      </c>
      <c r="C19" s="450">
        <v>0.46523993770828898</v>
      </c>
      <c r="D19" s="450">
        <f t="shared" si="0"/>
        <v>0.15326735142011</v>
      </c>
      <c r="E19" s="121" t="s">
        <v>946</v>
      </c>
    </row>
    <row r="20" spans="1:5">
      <c r="A20" s="411" t="s">
        <v>917</v>
      </c>
      <c r="B20" s="450">
        <v>0.327643019102977</v>
      </c>
      <c r="C20" s="450">
        <v>0.48449388062337601</v>
      </c>
      <c r="D20" s="450">
        <f t="shared" si="0"/>
        <v>0.15685086152039901</v>
      </c>
      <c r="E20" s="121" t="s">
        <v>945</v>
      </c>
    </row>
    <row r="21" spans="1:5">
      <c r="A21" s="411" t="s">
        <v>911</v>
      </c>
      <c r="B21" s="450">
        <v>0.240658186832751</v>
      </c>
      <c r="C21" s="450">
        <v>0.27704483046145101</v>
      </c>
      <c r="D21" s="450">
        <f t="shared" si="0"/>
        <v>3.6386643628700005E-2</v>
      </c>
      <c r="E21" s="121" t="s">
        <v>946</v>
      </c>
    </row>
    <row r="22" spans="1:5">
      <c r="A22" s="411" t="s">
        <v>914</v>
      </c>
      <c r="B22" s="450">
        <v>-0.13081633967651801</v>
      </c>
      <c r="C22" s="450">
        <v>9.8297374653875003E-2</v>
      </c>
      <c r="D22" s="450">
        <f t="shared" si="0"/>
        <v>0.22911371433039301</v>
      </c>
      <c r="E22" s="121" t="s">
        <v>946</v>
      </c>
    </row>
    <row r="23" spans="1:5">
      <c r="A23" s="411" t="s">
        <v>909</v>
      </c>
      <c r="B23" s="450">
        <v>2.78554230279973E-2</v>
      </c>
      <c r="C23" s="450">
        <v>0.245465153662209</v>
      </c>
      <c r="D23" s="450">
        <f t="shared" si="0"/>
        <v>0.21760973063421171</v>
      </c>
      <c r="E23" s="121" t="s">
        <v>945</v>
      </c>
    </row>
    <row r="24" spans="1:5">
      <c r="A24" s="411" t="s">
        <v>921</v>
      </c>
      <c r="B24" s="450">
        <v>-0.17221627641746601</v>
      </c>
      <c r="C24" s="450">
        <v>7.5103856155731605E-2</v>
      </c>
      <c r="D24" s="450">
        <f t="shared" si="0"/>
        <v>0.24732013257319763</v>
      </c>
      <c r="E24" s="121" t="s">
        <v>945</v>
      </c>
    </row>
    <row r="25" spans="1:5">
      <c r="A25" s="411" t="s">
        <v>932</v>
      </c>
      <c r="B25" s="450">
        <v>0</v>
      </c>
      <c r="C25" s="450">
        <v>0.89860899390243898</v>
      </c>
      <c r="D25" s="450">
        <f t="shared" si="0"/>
        <v>0.89860899390243898</v>
      </c>
      <c r="E25" s="121" t="s">
        <v>946</v>
      </c>
    </row>
    <row r="26" spans="1:5">
      <c r="A26" s="411" t="s">
        <v>931</v>
      </c>
      <c r="B26" s="450">
        <v>0</v>
      </c>
      <c r="C26" s="450">
        <v>0.89860899390243898</v>
      </c>
      <c r="D26" s="450">
        <f t="shared" si="0"/>
        <v>0.89860899390243898</v>
      </c>
      <c r="E26" s="121" t="s">
        <v>946</v>
      </c>
    </row>
    <row r="27" spans="1:5">
      <c r="A27" s="411" t="s">
        <v>925</v>
      </c>
      <c r="B27" s="450">
        <v>-1.84987427244159</v>
      </c>
      <c r="C27" s="450">
        <v>0</v>
      </c>
      <c r="D27" s="450">
        <f t="shared" si="0"/>
        <v>1.84987427244159</v>
      </c>
      <c r="E27" s="121" t="s">
        <v>946</v>
      </c>
    </row>
    <row r="28" spans="1:5">
      <c r="A28" s="411" t="s">
        <v>915</v>
      </c>
      <c r="B28" s="438">
        <v>-9.3658135241195701</v>
      </c>
      <c r="C28" s="438">
        <v>-1.87772410005194</v>
      </c>
      <c r="D28" s="438">
        <f t="shared" si="0"/>
        <v>7.4880894240676303</v>
      </c>
      <c r="E28" s="121" t="s">
        <v>945</v>
      </c>
    </row>
  </sheetData>
  <autoFilter ref="A3:E28" xr:uid="{F09568A5-B66C-4899-A34B-B64C3C5EF718}"/>
  <conditionalFormatting sqref="B4:D28">
    <cfRule type="cellIs" dxfId="2" priority="2" operator="lessThan">
      <formula>0</formula>
    </cfRule>
  </conditionalFormatting>
  <conditionalFormatting sqref="H4:J15">
    <cfRule type="cellIs" dxfId="1" priority="1" operator="lessThan">
      <formula>0</formula>
    </cfRule>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0AD3-0F07-4BC1-BAE5-44AB24E26F38}">
  <dimension ref="A1:AG34"/>
  <sheetViews>
    <sheetView showGridLines="0" zoomScale="58" zoomScaleNormal="80" workbookViewId="0">
      <pane xSplit="1" ySplit="5" topLeftCell="B18" activePane="bottomRight" state="frozen"/>
      <selection pane="topRight" activeCell="J13" sqref="J13"/>
      <selection pane="bottomLeft" activeCell="J13" sqref="J13"/>
      <selection pane="bottomRight" activeCell="I39" sqref="I39"/>
    </sheetView>
  </sheetViews>
  <sheetFormatPr defaultRowHeight="14.5" outlineLevelCol="1"/>
  <cols>
    <col min="1" max="1" width="33.25" style="121" bestFit="1" customWidth="1"/>
    <col min="2" max="3" width="12.1640625" style="121" customWidth="1"/>
    <col min="4" max="4" width="9.58203125" style="121" bestFit="1" customWidth="1"/>
    <col min="5" max="5" width="9.4140625" style="121" customWidth="1" outlineLevel="1"/>
    <col min="6" max="8" width="9.33203125" style="121" customWidth="1" outlineLevel="1"/>
    <col min="9" max="9" width="14.1640625" style="121" customWidth="1"/>
    <col min="10" max="10" width="11.6640625" style="121" customWidth="1"/>
    <col min="11" max="11" width="11.4140625" style="121" customWidth="1" outlineLevel="1"/>
    <col min="12" max="12" width="8.08203125" style="121" bestFit="1" customWidth="1"/>
    <col min="13" max="13" width="12.33203125" style="121" customWidth="1"/>
    <col min="14" max="14" width="7.83203125" style="121" bestFit="1" customWidth="1"/>
    <col min="15" max="15" width="11" style="121" customWidth="1"/>
    <col min="16" max="16" width="9.58203125" style="121" customWidth="1"/>
    <col min="17" max="17" width="9.33203125" style="121" customWidth="1"/>
    <col min="18" max="18" width="9.9140625" style="121" customWidth="1"/>
    <col min="19" max="19" width="9.83203125" style="121" customWidth="1"/>
    <col min="20" max="20" width="10.83203125" style="121" customWidth="1"/>
    <col min="21" max="21" width="8.5" style="121" customWidth="1"/>
    <col min="22" max="22" width="8.4140625" style="121" customWidth="1"/>
    <col min="23" max="23" width="9.83203125" style="121" hidden="1" customWidth="1"/>
    <col min="24" max="25" width="8.4140625" style="121" customWidth="1"/>
    <col min="26" max="26" width="10.83203125" style="121" hidden="1" customWidth="1"/>
    <col min="27" max="28" width="8.4140625" style="121" hidden="1" customWidth="1"/>
    <col min="29" max="29" width="11.25" style="121" hidden="1" customWidth="1"/>
    <col min="30" max="33" width="8.4140625" style="121" hidden="1" customWidth="1"/>
    <col min="34" max="34" width="8.4140625" style="121" customWidth="1"/>
    <col min="35" max="16384" width="8.6640625" style="121"/>
  </cols>
  <sheetData>
    <row r="1" spans="1:30" ht="18.5">
      <c r="A1" s="449" t="s">
        <v>947</v>
      </c>
    </row>
    <row r="2" spans="1:30" ht="15.5">
      <c r="A2" s="451" t="s">
        <v>948</v>
      </c>
      <c r="B2" s="452">
        <v>46174</v>
      </c>
      <c r="C2" s="453"/>
      <c r="D2" s="453"/>
      <c r="E2" s="453"/>
      <c r="F2" s="453"/>
      <c r="G2" s="453"/>
      <c r="H2" s="453"/>
      <c r="I2" s="453" t="s">
        <v>949</v>
      </c>
      <c r="J2" s="453"/>
      <c r="K2" s="453"/>
      <c r="L2" s="453"/>
      <c r="M2" s="453"/>
      <c r="N2" s="453"/>
      <c r="O2" s="453"/>
      <c r="P2" s="453"/>
      <c r="Q2" s="453"/>
      <c r="R2" s="453"/>
      <c r="S2" s="453"/>
      <c r="T2" s="453"/>
      <c r="U2" s="454"/>
      <c r="W2" s="453"/>
    </row>
    <row r="3" spans="1:30" ht="15.5">
      <c r="B3" s="455"/>
      <c r="C3" s="455"/>
      <c r="D3" s="456"/>
      <c r="E3" s="456"/>
      <c r="F3" s="456"/>
      <c r="G3" s="456"/>
      <c r="H3" s="456"/>
      <c r="I3" s="457"/>
      <c r="J3" s="458"/>
      <c r="K3" s="457"/>
      <c r="L3" s="457"/>
      <c r="M3" s="457"/>
      <c r="N3" s="457"/>
      <c r="O3" s="457"/>
      <c r="P3" s="457"/>
      <c r="Q3" s="457"/>
      <c r="R3" s="457"/>
      <c r="S3" s="456"/>
      <c r="T3" s="459" t="s">
        <v>950</v>
      </c>
      <c r="U3" s="454">
        <v>92</v>
      </c>
      <c r="W3" s="456"/>
      <c r="Z3" s="121" t="e">
        <f>#REF!</f>
        <v>#REF!</v>
      </c>
      <c r="AC3" s="460" t="e">
        <f>#REF!</f>
        <v>#REF!</v>
      </c>
    </row>
    <row r="4" spans="1:30" ht="15.5">
      <c r="A4" s="461"/>
      <c r="B4" s="461"/>
      <c r="C4" s="461"/>
      <c r="D4" s="461"/>
      <c r="E4" s="461"/>
      <c r="F4" s="461"/>
      <c r="G4" s="461"/>
      <c r="H4" s="461"/>
      <c r="I4" s="462"/>
      <c r="J4" s="461"/>
      <c r="K4" s="461"/>
      <c r="L4" s="461"/>
      <c r="M4" s="461"/>
      <c r="N4" s="461"/>
      <c r="O4" s="461"/>
      <c r="P4" s="461"/>
      <c r="Q4" s="461"/>
      <c r="R4" s="461"/>
      <c r="S4" s="461"/>
      <c r="T4" s="461"/>
      <c r="U4" s="461"/>
      <c r="W4" s="461"/>
      <c r="Z4" s="121" t="s">
        <v>951</v>
      </c>
      <c r="AC4" s="121" t="s">
        <v>952</v>
      </c>
    </row>
    <row r="5" spans="1:30" ht="33" customHeight="1">
      <c r="A5" s="463" t="s">
        <v>953</v>
      </c>
      <c r="B5" s="464" t="s">
        <v>28</v>
      </c>
      <c r="C5" s="464" t="s">
        <v>888</v>
      </c>
      <c r="D5" s="464" t="s">
        <v>889</v>
      </c>
      <c r="E5" s="464" t="s">
        <v>890</v>
      </c>
      <c r="F5" s="464" t="s">
        <v>936</v>
      </c>
      <c r="G5" s="464" t="s">
        <v>892</v>
      </c>
      <c r="H5" s="464" t="s">
        <v>893</v>
      </c>
      <c r="I5" s="464" t="s">
        <v>894</v>
      </c>
      <c r="J5" s="464" t="s">
        <v>895</v>
      </c>
      <c r="K5" s="464" t="s">
        <v>896</v>
      </c>
      <c r="L5" s="464" t="s">
        <v>897</v>
      </c>
      <c r="M5" s="464" t="s">
        <v>898</v>
      </c>
      <c r="N5" s="464" t="s">
        <v>899</v>
      </c>
      <c r="O5" s="465" t="s">
        <v>937</v>
      </c>
      <c r="P5" s="464" t="s">
        <v>863</v>
      </c>
      <c r="Q5" s="464" t="s">
        <v>7</v>
      </c>
      <c r="R5" s="464" t="s">
        <v>9</v>
      </c>
      <c r="S5" s="464" t="s">
        <v>901</v>
      </c>
      <c r="T5" s="464" t="s">
        <v>902</v>
      </c>
      <c r="U5" s="464" t="s">
        <v>857</v>
      </c>
      <c r="W5" s="464" t="s">
        <v>882</v>
      </c>
      <c r="Z5" s="431" t="s">
        <v>954</v>
      </c>
      <c r="AA5" s="431" t="s">
        <v>955</v>
      </c>
      <c r="AC5" s="431" t="s">
        <v>954</v>
      </c>
      <c r="AD5" s="431" t="s">
        <v>955</v>
      </c>
    </row>
    <row r="6" spans="1:30" ht="15.5">
      <c r="A6" s="466" t="s">
        <v>908</v>
      </c>
      <c r="B6" s="467">
        <v>6750</v>
      </c>
      <c r="C6" s="468">
        <f t="shared" ref="C6:C29" si="0">$B6/$B$30</f>
        <v>2.9272850679969292E-2</v>
      </c>
      <c r="D6" s="469">
        <f t="shared" ref="D6:D29" si="1">SUM(E6:H6)</f>
        <v>6.6945323788866995</v>
      </c>
      <c r="E6" s="470">
        <v>5</v>
      </c>
      <c r="F6" s="470">
        <v>1.2245323788867</v>
      </c>
      <c r="G6" s="470">
        <v>0.22</v>
      </c>
      <c r="H6" s="470">
        <v>0.25</v>
      </c>
      <c r="I6" s="471">
        <v>1420.21739130435</v>
      </c>
      <c r="J6" s="471">
        <v>197.57336956521701</v>
      </c>
      <c r="K6" s="471">
        <f t="shared" ref="K6:K29" si="2">(B6/$B$30)*$K$32</f>
        <v>686.38980274391997</v>
      </c>
      <c r="L6" s="471">
        <v>120.11764705882401</v>
      </c>
      <c r="M6" s="471">
        <f t="shared" ref="M6:M29" si="3">B6-I6-J6-K6-L6</f>
        <v>4325.7017893276889</v>
      </c>
      <c r="N6" s="472">
        <f t="shared" ref="N6:N30" si="4">IFERROR(M6/B6,0)</f>
        <v>0.64084470953002803</v>
      </c>
      <c r="O6" s="471">
        <v>361.04477759739598</v>
      </c>
      <c r="P6" s="471">
        <f t="shared" ref="P6:R12" si="5">$D6*P$33</f>
        <v>470.78765404690574</v>
      </c>
      <c r="Q6" s="471">
        <f t="shared" si="5"/>
        <v>436.23139902214587</v>
      </c>
      <c r="R6" s="471">
        <f t="shared" si="5"/>
        <v>149.06338714677631</v>
      </c>
      <c r="S6" s="471">
        <f t="shared" ref="S6:S29" si="6">O6+P6+Q6+R6</f>
        <v>1417.127217813224</v>
      </c>
      <c r="T6" s="471">
        <f t="shared" ref="T6:T29" si="7">M6-S6</f>
        <v>2908.5745715144649</v>
      </c>
      <c r="U6" s="473">
        <f t="shared" ref="U6:U30" si="8">IFERROR(T6/B6,0)</f>
        <v>0.43089993652066144</v>
      </c>
    </row>
    <row r="7" spans="1:30" ht="15.5">
      <c r="A7" s="474" t="s">
        <v>923</v>
      </c>
      <c r="B7" s="475">
        <v>10150</v>
      </c>
      <c r="C7" s="468">
        <f t="shared" si="0"/>
        <v>4.4017693985435306E-2</v>
      </c>
      <c r="D7" s="469">
        <f t="shared" si="1"/>
        <v>8.4181658065504639</v>
      </c>
      <c r="E7" s="470">
        <v>8</v>
      </c>
      <c r="F7" s="470">
        <v>0.41816580655046398</v>
      </c>
      <c r="G7" s="470">
        <v>0</v>
      </c>
      <c r="H7" s="470">
        <v>0</v>
      </c>
      <c r="I7" s="471">
        <v>1827.3369565217399</v>
      </c>
      <c r="J7" s="471">
        <v>0</v>
      </c>
      <c r="K7" s="476">
        <f t="shared" si="2"/>
        <v>1032.1268885704872</v>
      </c>
      <c r="L7" s="476">
        <v>0</v>
      </c>
      <c r="M7" s="476">
        <f t="shared" si="3"/>
        <v>7290.5361549077734</v>
      </c>
      <c r="N7" s="477">
        <f t="shared" si="4"/>
        <v>0.71827942412884471</v>
      </c>
      <c r="O7" s="471">
        <v>399.05896154855998</v>
      </c>
      <c r="P7" s="476">
        <f t="shared" si="5"/>
        <v>592.00080112284797</v>
      </c>
      <c r="Q7" s="476">
        <f t="shared" si="5"/>
        <v>548.54738750290392</v>
      </c>
      <c r="R7" s="476">
        <f t="shared" si="5"/>
        <v>187.44256322444826</v>
      </c>
      <c r="S7" s="476">
        <f t="shared" si="6"/>
        <v>1727.0497133987601</v>
      </c>
      <c r="T7" s="476">
        <f t="shared" si="7"/>
        <v>5563.4864415090133</v>
      </c>
      <c r="U7" s="478">
        <f t="shared" si="8"/>
        <v>0.5481267430058141</v>
      </c>
    </row>
    <row r="8" spans="1:30" ht="15.5">
      <c r="A8" s="474" t="s">
        <v>910</v>
      </c>
      <c r="B8" s="475">
        <v>87000</v>
      </c>
      <c r="C8" s="468">
        <f t="shared" si="0"/>
        <v>0.37729451987515977</v>
      </c>
      <c r="D8" s="469">
        <f t="shared" si="1"/>
        <v>70.956435399925098</v>
      </c>
      <c r="E8" s="470">
        <v>60</v>
      </c>
      <c r="F8" s="470">
        <v>6.4964353999251099</v>
      </c>
      <c r="G8" s="470">
        <v>1.19</v>
      </c>
      <c r="H8" s="470">
        <v>3.27</v>
      </c>
      <c r="I8" s="471">
        <v>24006.119565217399</v>
      </c>
      <c r="J8" s="471">
        <v>1782.9452173913</v>
      </c>
      <c r="K8" s="476">
        <f t="shared" si="2"/>
        <v>8846.8019020327465</v>
      </c>
      <c r="L8" s="476">
        <v>2642.5882352941198</v>
      </c>
      <c r="M8" s="476">
        <f t="shared" si="3"/>
        <v>49721.545080064432</v>
      </c>
      <c r="N8" s="477">
        <f t="shared" si="4"/>
        <v>0.57151201241453375</v>
      </c>
      <c r="O8" s="471">
        <v>5701.6683139448396</v>
      </c>
      <c r="P8" s="476">
        <f t="shared" si="5"/>
        <v>4989.9547676871307</v>
      </c>
      <c r="Q8" s="476">
        <f t="shared" si="5"/>
        <v>4623.6874112006899</v>
      </c>
      <c r="R8" s="476">
        <f t="shared" si="5"/>
        <v>1579.9470376649688</v>
      </c>
      <c r="S8" s="476">
        <f t="shared" si="6"/>
        <v>16895.257530497627</v>
      </c>
      <c r="T8" s="476">
        <f t="shared" si="7"/>
        <v>32826.287549566805</v>
      </c>
      <c r="U8" s="478">
        <f t="shared" si="8"/>
        <v>0.37731364999502076</v>
      </c>
    </row>
    <row r="9" spans="1:30" ht="15.5">
      <c r="A9" s="474" t="s">
        <v>924</v>
      </c>
      <c r="B9" s="475">
        <v>0</v>
      </c>
      <c r="C9" s="468">
        <f t="shared" si="0"/>
        <v>0</v>
      </c>
      <c r="D9" s="469">
        <f t="shared" si="1"/>
        <v>2.93</v>
      </c>
      <c r="E9" s="470">
        <v>2.93</v>
      </c>
      <c r="F9" s="470">
        <v>0</v>
      </c>
      <c r="G9" s="470">
        <v>0</v>
      </c>
      <c r="H9" s="470">
        <v>0</v>
      </c>
      <c r="I9" s="471">
        <v>634.07119565217397</v>
      </c>
      <c r="J9" s="471">
        <v>0</v>
      </c>
      <c r="K9" s="476">
        <f t="shared" si="2"/>
        <v>0</v>
      </c>
      <c r="L9" s="476">
        <v>0</v>
      </c>
      <c r="M9" s="476">
        <f t="shared" si="3"/>
        <v>-634.07119565217397</v>
      </c>
      <c r="N9" s="477">
        <f t="shared" si="4"/>
        <v>0</v>
      </c>
      <c r="O9" s="471">
        <v>0</v>
      </c>
      <c r="P9" s="476">
        <f t="shared" si="5"/>
        <v>206.04991480925952</v>
      </c>
      <c r="Q9" s="476">
        <f t="shared" si="5"/>
        <v>190.92565795423715</v>
      </c>
      <c r="R9" s="476">
        <f t="shared" si="5"/>
        <v>65.240662024057173</v>
      </c>
      <c r="S9" s="476">
        <f t="shared" si="6"/>
        <v>462.21623478755384</v>
      </c>
      <c r="T9" s="476">
        <f t="shared" si="7"/>
        <v>-1096.2874304397278</v>
      </c>
      <c r="U9" s="478">
        <f t="shared" si="8"/>
        <v>0</v>
      </c>
    </row>
    <row r="10" spans="1:30" ht="15.5">
      <c r="A10" s="474" t="s">
        <v>911</v>
      </c>
      <c r="B10" s="475">
        <v>25924.54</v>
      </c>
      <c r="C10" s="468">
        <f t="shared" si="0"/>
        <v>0.1124274353136135</v>
      </c>
      <c r="D10" s="469">
        <f t="shared" si="1"/>
        <v>35.004457713057199</v>
      </c>
      <c r="E10" s="470">
        <v>27</v>
      </c>
      <c r="F10" s="470">
        <v>1.8744577130572</v>
      </c>
      <c r="G10" s="470">
        <v>2.93</v>
      </c>
      <c r="H10" s="470">
        <v>3.2</v>
      </c>
      <c r="I10" s="471">
        <v>7712.95652173913</v>
      </c>
      <c r="J10" s="471">
        <v>2141.7045652173902</v>
      </c>
      <c r="K10" s="476">
        <f t="shared" si="2"/>
        <v>2636.1985032336092</v>
      </c>
      <c r="L10" s="476">
        <v>240.23529411764699</v>
      </c>
      <c r="M10" s="476">
        <f t="shared" si="3"/>
        <v>13193.445115692226</v>
      </c>
      <c r="N10" s="477">
        <f t="shared" si="4"/>
        <v>0.50891723115211396</v>
      </c>
      <c r="O10" s="471">
        <v>1210.79504261642</v>
      </c>
      <c r="P10" s="476">
        <f t="shared" si="5"/>
        <v>2461.6605903480422</v>
      </c>
      <c r="Q10" s="476">
        <f t="shared" si="5"/>
        <v>2280.9723959715757</v>
      </c>
      <c r="R10" s="476">
        <f t="shared" si="5"/>
        <v>779.42457166995416</v>
      </c>
      <c r="S10" s="476">
        <f t="shared" si="6"/>
        <v>6732.8526006059919</v>
      </c>
      <c r="T10" s="476">
        <f t="shared" si="7"/>
        <v>6460.592515086234</v>
      </c>
      <c r="U10" s="478">
        <f t="shared" si="8"/>
        <v>0.24920760465127767</v>
      </c>
    </row>
    <row r="11" spans="1:30" ht="15.5">
      <c r="A11" s="474" t="s">
        <v>912</v>
      </c>
      <c r="B11" s="475">
        <v>14515.5</v>
      </c>
      <c r="C11" s="468">
        <f t="shared" si="0"/>
        <v>6.2949639117791736E-2</v>
      </c>
      <c r="D11" s="469">
        <f t="shared" si="1"/>
        <v>4.8394877804234699</v>
      </c>
      <c r="E11" s="470">
        <v>3</v>
      </c>
      <c r="F11" s="470">
        <v>0.57948778042347004</v>
      </c>
      <c r="G11" s="470">
        <v>0.36</v>
      </c>
      <c r="H11" s="470">
        <v>0.9</v>
      </c>
      <c r="I11" s="471">
        <v>1036.52173913043</v>
      </c>
      <c r="J11" s="471">
        <v>493.427826086957</v>
      </c>
      <c r="K11" s="476">
        <f t="shared" si="2"/>
        <v>1476.0431380339805</v>
      </c>
      <c r="L11" s="476">
        <v>120.11764705882401</v>
      </c>
      <c r="M11" s="476">
        <f t="shared" si="3"/>
        <v>11389.389649689807</v>
      </c>
      <c r="N11" s="477">
        <f t="shared" si="4"/>
        <v>0.78463639900036564</v>
      </c>
      <c r="O11" s="471">
        <v>421.321885931221</v>
      </c>
      <c r="P11" s="476">
        <f t="shared" si="5"/>
        <v>340.3331211183305</v>
      </c>
      <c r="Q11" s="476">
        <f t="shared" si="5"/>
        <v>315.35235107127704</v>
      </c>
      <c r="R11" s="476">
        <f t="shared" si="5"/>
        <v>107.75815244101098</v>
      </c>
      <c r="S11" s="476">
        <f t="shared" si="6"/>
        <v>1184.7655105618394</v>
      </c>
      <c r="T11" s="476">
        <f t="shared" si="7"/>
        <v>10204.624139127967</v>
      </c>
      <c r="U11" s="478">
        <f t="shared" si="8"/>
        <v>0.70301568248616775</v>
      </c>
    </row>
    <row r="12" spans="1:30" ht="15.5">
      <c r="A12" s="474" t="s">
        <v>913</v>
      </c>
      <c r="B12" s="475">
        <v>21500</v>
      </c>
      <c r="C12" s="468">
        <f t="shared" si="0"/>
        <v>9.3239450313976263E-2</v>
      </c>
      <c r="D12" s="469">
        <f t="shared" si="1"/>
        <v>11.71694156501289</v>
      </c>
      <c r="E12" s="470">
        <v>8</v>
      </c>
      <c r="F12" s="470">
        <v>1.4869415650128901</v>
      </c>
      <c r="G12" s="470">
        <v>0.73</v>
      </c>
      <c r="H12" s="470">
        <v>1.5</v>
      </c>
      <c r="I12" s="471">
        <v>2618.70652173913</v>
      </c>
      <c r="J12" s="471">
        <v>868.21086956521697</v>
      </c>
      <c r="K12" s="476">
        <f t="shared" si="2"/>
        <v>2186.2786309621156</v>
      </c>
      <c r="L12" s="476">
        <v>240.23529411764699</v>
      </c>
      <c r="M12" s="476">
        <f t="shared" si="3"/>
        <v>15586.568683615893</v>
      </c>
      <c r="N12" s="477">
        <f t="shared" si="4"/>
        <v>0.72495668295887872</v>
      </c>
      <c r="O12" s="471">
        <v>1365.4055356261999</v>
      </c>
      <c r="P12" s="476">
        <f t="shared" si="5"/>
        <v>823.98457723412218</v>
      </c>
      <c r="Q12" s="476">
        <f t="shared" si="5"/>
        <v>763.50333703461945</v>
      </c>
      <c r="R12" s="476">
        <f t="shared" si="5"/>
        <v>260.89454764458475</v>
      </c>
      <c r="S12" s="476">
        <f t="shared" si="6"/>
        <v>3213.7879975395263</v>
      </c>
      <c r="T12" s="476">
        <f t="shared" si="7"/>
        <v>12372.780686076367</v>
      </c>
      <c r="U12" s="478">
        <f t="shared" si="8"/>
        <v>0.57547817144541236</v>
      </c>
    </row>
    <row r="13" spans="1:30" ht="15.5">
      <c r="A13" s="474" t="s">
        <v>914</v>
      </c>
      <c r="B13" s="475">
        <v>14902.5</v>
      </c>
      <c r="C13" s="468">
        <f t="shared" si="0"/>
        <v>6.462794922344331E-2</v>
      </c>
      <c r="D13" s="469">
        <f t="shared" si="1"/>
        <v>25.030685082080808</v>
      </c>
      <c r="E13" s="470">
        <v>17</v>
      </c>
      <c r="F13" s="470">
        <v>2.1706850820808099</v>
      </c>
      <c r="G13" s="470">
        <v>1.74</v>
      </c>
      <c r="H13" s="470">
        <v>4.12</v>
      </c>
      <c r="I13" s="471">
        <v>5894.0543478260897</v>
      </c>
      <c r="J13" s="471">
        <v>2181.75869565217</v>
      </c>
      <c r="K13" s="476">
        <f t="shared" si="2"/>
        <v>1515.3961533912986</v>
      </c>
      <c r="L13" s="476">
        <v>120.11764705882401</v>
      </c>
      <c r="M13" s="476">
        <f t="shared" si="3"/>
        <v>5191.1731560716171</v>
      </c>
      <c r="N13" s="477">
        <f t="shared" si="4"/>
        <v>0.34834243624033667</v>
      </c>
      <c r="O13" s="471">
        <v>1245.4210380591901</v>
      </c>
      <c r="P13" s="476">
        <f t="shared" ref="P13:Q29" si="9">$D13*P$33</f>
        <v>1760.2629791058544</v>
      </c>
      <c r="Q13" s="476">
        <f t="shared" si="9"/>
        <v>1631.0580267377427</v>
      </c>
      <c r="R13" s="476">
        <f>$D13*R$33+R34</f>
        <v>2726.3441862357145</v>
      </c>
      <c r="S13" s="476">
        <f t="shared" si="6"/>
        <v>7363.0862301385023</v>
      </c>
      <c r="T13" s="476">
        <f t="shared" si="7"/>
        <v>-2171.9130740668852</v>
      </c>
      <c r="U13" s="478">
        <f t="shared" si="8"/>
        <v>-0.14574152484931288</v>
      </c>
    </row>
    <row r="14" spans="1:30" ht="15.5">
      <c r="A14" s="474" t="s">
        <v>929</v>
      </c>
      <c r="B14" s="475">
        <v>3000</v>
      </c>
      <c r="C14" s="468">
        <f t="shared" si="0"/>
        <v>1.301015585776413E-2</v>
      </c>
      <c r="D14" s="469">
        <f t="shared" si="1"/>
        <v>3.3710099353278302</v>
      </c>
      <c r="E14" s="470">
        <v>2</v>
      </c>
      <c r="F14" s="470">
        <v>1.12100993532783</v>
      </c>
      <c r="G14" s="470">
        <v>0</v>
      </c>
      <c r="H14" s="470">
        <v>0.25</v>
      </c>
      <c r="I14" s="471">
        <v>804.88043478260897</v>
      </c>
      <c r="J14" s="471">
        <v>121.35326086956501</v>
      </c>
      <c r="K14" s="476">
        <f t="shared" si="2"/>
        <v>305.06213455285331</v>
      </c>
      <c r="L14" s="476">
        <v>120.11764705882401</v>
      </c>
      <c r="M14" s="476">
        <f t="shared" si="3"/>
        <v>1648.5865227361485</v>
      </c>
      <c r="N14" s="477">
        <f t="shared" si="4"/>
        <v>0.54952884091204945</v>
      </c>
      <c r="O14" s="471">
        <v>797.07809129560303</v>
      </c>
      <c r="P14" s="476">
        <f t="shared" si="9"/>
        <v>237.06358702916958</v>
      </c>
      <c r="Q14" s="476">
        <f t="shared" si="9"/>
        <v>219.66289756748679</v>
      </c>
      <c r="R14" s="476">
        <f t="shared" ref="R14:R29" si="10">$D14*R$33</f>
        <v>75.060382208348727</v>
      </c>
      <c r="S14" s="476">
        <f t="shared" si="6"/>
        <v>1328.8649581006082</v>
      </c>
      <c r="T14" s="476">
        <f t="shared" si="7"/>
        <v>319.72156463554029</v>
      </c>
      <c r="U14" s="478">
        <f t="shared" si="8"/>
        <v>0.10657385487851342</v>
      </c>
    </row>
    <row r="15" spans="1:30" ht="15.5">
      <c r="A15" s="474" t="s">
        <v>915</v>
      </c>
      <c r="B15" s="475">
        <v>692.55</v>
      </c>
      <c r="C15" s="468">
        <f t="shared" si="0"/>
        <v>3.0033944797648489E-3</v>
      </c>
      <c r="D15" s="469">
        <f t="shared" si="1"/>
        <v>5.3784969817808932</v>
      </c>
      <c r="E15" s="470">
        <v>5</v>
      </c>
      <c r="F15" s="470">
        <v>6.8496981780893806E-2</v>
      </c>
      <c r="G15" s="470">
        <v>0.14000000000000001</v>
      </c>
      <c r="H15" s="470">
        <v>0.17</v>
      </c>
      <c r="I15" s="471">
        <v>2227.6195652173901</v>
      </c>
      <c r="J15" s="471">
        <v>95.143369565217398</v>
      </c>
      <c r="K15" s="476">
        <f t="shared" si="2"/>
        <v>70.423593761526178</v>
      </c>
      <c r="L15" s="476">
        <v>0</v>
      </c>
      <c r="M15" s="476">
        <f t="shared" si="3"/>
        <v>-1700.6365285441339</v>
      </c>
      <c r="N15" s="477">
        <f t="shared" si="4"/>
        <v>-2.4556155202427754</v>
      </c>
      <c r="O15" s="471">
        <v>70.916604039434901</v>
      </c>
      <c r="P15" s="476">
        <f t="shared" si="9"/>
        <v>378.23851361700082</v>
      </c>
      <c r="Q15" s="476">
        <f t="shared" si="9"/>
        <v>350.4754522359712</v>
      </c>
      <c r="R15" s="476">
        <f t="shared" si="10"/>
        <v>119.75996716238184</v>
      </c>
      <c r="S15" s="476">
        <f t="shared" si="6"/>
        <v>919.39053705478875</v>
      </c>
      <c r="T15" s="476">
        <f t="shared" si="7"/>
        <v>-2620.0270655989225</v>
      </c>
      <c r="U15" s="478">
        <f t="shared" si="8"/>
        <v>-3.7831594333967549</v>
      </c>
    </row>
    <row r="16" spans="1:30" ht="15.5">
      <c r="A16" s="474" t="s">
        <v>927</v>
      </c>
      <c r="B16" s="475">
        <v>1750</v>
      </c>
      <c r="C16" s="468">
        <f t="shared" si="0"/>
        <v>7.5892575836957422E-3</v>
      </c>
      <c r="D16" s="469">
        <f t="shared" si="1"/>
        <v>3.1119188137114522</v>
      </c>
      <c r="E16" s="470">
        <v>2</v>
      </c>
      <c r="F16" s="470">
        <v>0.25191881371145203</v>
      </c>
      <c r="G16" s="470">
        <v>0.7</v>
      </c>
      <c r="H16" s="470">
        <v>0.16</v>
      </c>
      <c r="I16" s="471">
        <v>296.48913043478302</v>
      </c>
      <c r="J16" s="471">
        <v>315.01282608695698</v>
      </c>
      <c r="K16" s="476">
        <f t="shared" si="2"/>
        <v>177.95291182249775</v>
      </c>
      <c r="L16" s="476">
        <v>0</v>
      </c>
      <c r="M16" s="476">
        <f t="shared" si="3"/>
        <v>960.54513165576236</v>
      </c>
      <c r="N16" s="477">
        <f t="shared" si="4"/>
        <v>0.5488829323747213</v>
      </c>
      <c r="O16" s="471">
        <v>194.84001645267199</v>
      </c>
      <c r="P16" s="476">
        <f t="shared" si="9"/>
        <v>218.84321039541865</v>
      </c>
      <c r="Q16" s="476">
        <f t="shared" si="9"/>
        <v>202.7799136546171</v>
      </c>
      <c r="R16" s="476">
        <f t="shared" si="10"/>
        <v>69.291345928892071</v>
      </c>
      <c r="S16" s="476">
        <f t="shared" si="6"/>
        <v>685.75448643159973</v>
      </c>
      <c r="T16" s="476">
        <f t="shared" si="7"/>
        <v>274.79064522416263</v>
      </c>
      <c r="U16" s="478">
        <f t="shared" si="8"/>
        <v>0.15702322584237866</v>
      </c>
    </row>
    <row r="17" spans="1:21" ht="15.5">
      <c r="A17" s="474" t="s">
        <v>956</v>
      </c>
      <c r="B17" s="475">
        <v>4350</v>
      </c>
      <c r="C17" s="468">
        <f t="shared" si="0"/>
        <v>1.8864725993757988E-2</v>
      </c>
      <c r="D17" s="469">
        <f t="shared" si="1"/>
        <v>0</v>
      </c>
      <c r="E17" s="470">
        <v>0</v>
      </c>
      <c r="F17" s="470">
        <v>0</v>
      </c>
      <c r="G17" s="470">
        <v>0</v>
      </c>
      <c r="H17" s="470">
        <v>0</v>
      </c>
      <c r="I17" s="471">
        <v>0</v>
      </c>
      <c r="J17" s="471">
        <v>0</v>
      </c>
      <c r="K17" s="476">
        <f t="shared" si="2"/>
        <v>442.3400951016373</v>
      </c>
      <c r="L17" s="476">
        <v>0</v>
      </c>
      <c r="M17" s="476">
        <f t="shared" si="3"/>
        <v>3907.6599048983626</v>
      </c>
      <c r="N17" s="477">
        <f t="shared" si="4"/>
        <v>0.89831262181571558</v>
      </c>
      <c r="O17" s="471">
        <v>0</v>
      </c>
      <c r="P17" s="476">
        <f t="shared" si="9"/>
        <v>0</v>
      </c>
      <c r="Q17" s="476">
        <f t="shared" si="9"/>
        <v>0</v>
      </c>
      <c r="R17" s="476">
        <f t="shared" si="10"/>
        <v>0</v>
      </c>
      <c r="S17" s="476">
        <f t="shared" si="6"/>
        <v>0</v>
      </c>
      <c r="T17" s="476">
        <f t="shared" si="7"/>
        <v>3907.6599048983626</v>
      </c>
      <c r="U17" s="478">
        <f t="shared" si="8"/>
        <v>0.89831262181571558</v>
      </c>
    </row>
    <row r="18" spans="1:21" ht="15.5">
      <c r="A18" s="474" t="s">
        <v>916</v>
      </c>
      <c r="B18" s="475">
        <v>1450</v>
      </c>
      <c r="C18" s="468">
        <f t="shared" si="0"/>
        <v>6.2882419979193296E-3</v>
      </c>
      <c r="D18" s="469">
        <f t="shared" si="1"/>
        <v>1.3868129462330501</v>
      </c>
      <c r="E18" s="470">
        <v>1</v>
      </c>
      <c r="F18" s="470">
        <v>0.16181294623305001</v>
      </c>
      <c r="G18" s="470">
        <v>0.1</v>
      </c>
      <c r="H18" s="470">
        <v>0.125</v>
      </c>
      <c r="I18" s="471">
        <v>627.54347826086996</v>
      </c>
      <c r="J18" s="471">
        <v>94.999728260869603</v>
      </c>
      <c r="K18" s="476">
        <f t="shared" si="2"/>
        <v>147.44669836721243</v>
      </c>
      <c r="L18" s="476">
        <v>0</v>
      </c>
      <c r="M18" s="476">
        <f t="shared" si="3"/>
        <v>580.01009511104803</v>
      </c>
      <c r="N18" s="477">
        <f t="shared" si="4"/>
        <v>0.40000696214555037</v>
      </c>
      <c r="O18" s="471">
        <v>138.42213342938601</v>
      </c>
      <c r="P18" s="476">
        <f t="shared" si="9"/>
        <v>97.526515163036919</v>
      </c>
      <c r="Q18" s="476">
        <f t="shared" si="9"/>
        <v>90.367977549146474</v>
      </c>
      <c r="R18" s="476">
        <f t="shared" si="10"/>
        <v>30.879383862040061</v>
      </c>
      <c r="S18" s="476">
        <f t="shared" si="6"/>
        <v>357.19601000360944</v>
      </c>
      <c r="T18" s="476">
        <f t="shared" si="7"/>
        <v>222.81408510743859</v>
      </c>
      <c r="U18" s="478">
        <f t="shared" si="8"/>
        <v>0.15366488628099212</v>
      </c>
    </row>
    <row r="19" spans="1:21" ht="15.5">
      <c r="A19" s="474" t="s">
        <v>928</v>
      </c>
      <c r="B19" s="475">
        <v>8925</v>
      </c>
      <c r="C19" s="468">
        <f t="shared" si="0"/>
        <v>3.8705213676848288E-2</v>
      </c>
      <c r="D19" s="469">
        <f t="shared" si="1"/>
        <v>5.6598314755168202</v>
      </c>
      <c r="E19" s="470">
        <v>4</v>
      </c>
      <c r="F19" s="470">
        <v>1.40983147551682</v>
      </c>
      <c r="G19" s="470">
        <v>0</v>
      </c>
      <c r="H19" s="470">
        <v>0.25</v>
      </c>
      <c r="I19" s="471">
        <v>1123.96739130435</v>
      </c>
      <c r="J19" s="471">
        <v>121.35326086956501</v>
      </c>
      <c r="K19" s="476">
        <f t="shared" si="2"/>
        <v>907.55985029473868</v>
      </c>
      <c r="L19" s="476">
        <v>120.11764705882401</v>
      </c>
      <c r="M19" s="476">
        <f t="shared" si="3"/>
        <v>6652.0018504725222</v>
      </c>
      <c r="N19" s="477">
        <f t="shared" si="4"/>
        <v>0.74532233618739741</v>
      </c>
      <c r="O19" s="471">
        <v>1076.08703391372</v>
      </c>
      <c r="P19" s="476">
        <f t="shared" si="9"/>
        <v>398.02313766723768</v>
      </c>
      <c r="Q19" s="476">
        <f t="shared" si="9"/>
        <v>368.80786633895895</v>
      </c>
      <c r="R19" s="476">
        <f t="shared" si="10"/>
        <v>126.02428409805925</v>
      </c>
      <c r="S19" s="476">
        <f t="shared" si="6"/>
        <v>1968.942322017976</v>
      </c>
      <c r="T19" s="476">
        <f t="shared" si="7"/>
        <v>4683.0595284545461</v>
      </c>
      <c r="U19" s="478">
        <f t="shared" si="8"/>
        <v>0.52471255220779234</v>
      </c>
    </row>
    <row r="20" spans="1:21" ht="15.5">
      <c r="A20" s="474" t="s">
        <v>917</v>
      </c>
      <c r="B20" s="475">
        <v>4750</v>
      </c>
      <c r="C20" s="468">
        <f t="shared" si="0"/>
        <v>2.0599413441459873E-2</v>
      </c>
      <c r="D20" s="469">
        <f t="shared" si="1"/>
        <v>3.488626246822653</v>
      </c>
      <c r="E20" s="470">
        <v>3</v>
      </c>
      <c r="F20" s="470">
        <v>6.86262468226531E-2</v>
      </c>
      <c r="G20" s="470">
        <v>0.26</v>
      </c>
      <c r="H20" s="470">
        <v>0.16</v>
      </c>
      <c r="I20" s="471">
        <v>1315.73913043478</v>
      </c>
      <c r="J20" s="471">
        <v>160.62717391304301</v>
      </c>
      <c r="K20" s="476">
        <f t="shared" si="2"/>
        <v>483.01504637535112</v>
      </c>
      <c r="L20" s="476">
        <v>120.11764705882401</v>
      </c>
      <c r="M20" s="476">
        <f t="shared" si="3"/>
        <v>2670.5010022180018</v>
      </c>
      <c r="N20" s="477">
        <f t="shared" si="4"/>
        <v>0.56221073730905302</v>
      </c>
      <c r="O20" s="471">
        <v>75.003413338452205</v>
      </c>
      <c r="P20" s="476">
        <f t="shared" si="9"/>
        <v>245.33486039561583</v>
      </c>
      <c r="Q20" s="476">
        <f t="shared" si="9"/>
        <v>227.3270517170771</v>
      </c>
      <c r="R20" s="476">
        <f t="shared" si="10"/>
        <v>77.679278463212199</v>
      </c>
      <c r="S20" s="476">
        <f t="shared" si="6"/>
        <v>625.34460391435732</v>
      </c>
      <c r="T20" s="476">
        <f t="shared" si="7"/>
        <v>2045.1563983036444</v>
      </c>
      <c r="U20" s="478">
        <f t="shared" si="8"/>
        <v>0.43055924174813565</v>
      </c>
    </row>
    <row r="21" spans="1:21" ht="15.5">
      <c r="A21" s="474" t="s">
        <v>918</v>
      </c>
      <c r="B21" s="475">
        <v>7800</v>
      </c>
      <c r="C21" s="468">
        <f t="shared" si="0"/>
        <v>3.3826405230186735E-2</v>
      </c>
      <c r="D21" s="469">
        <f t="shared" si="1"/>
        <v>5.09883347183845</v>
      </c>
      <c r="E21" s="470">
        <v>2.5</v>
      </c>
      <c r="F21" s="470">
        <v>0.88383347183844996</v>
      </c>
      <c r="G21" s="470">
        <v>0.94</v>
      </c>
      <c r="H21" s="470">
        <v>0.77500000000000002</v>
      </c>
      <c r="I21" s="471">
        <v>1011.5652173913001</v>
      </c>
      <c r="J21" s="471">
        <v>611.73461956521805</v>
      </c>
      <c r="K21" s="476">
        <f t="shared" si="2"/>
        <v>793.16154983741853</v>
      </c>
      <c r="L21" s="476">
        <v>0</v>
      </c>
      <c r="M21" s="476">
        <f t="shared" si="3"/>
        <v>5383.538613206063</v>
      </c>
      <c r="N21" s="477">
        <f t="shared" si="4"/>
        <v>0.69019725810334143</v>
      </c>
      <c r="O21" s="471">
        <v>756.07123914533702</v>
      </c>
      <c r="P21" s="476">
        <f t="shared" si="9"/>
        <v>358.57140017027768</v>
      </c>
      <c r="Q21" s="476">
        <f t="shared" si="9"/>
        <v>332.2519233480694</v>
      </c>
      <c r="R21" s="476">
        <f t="shared" si="10"/>
        <v>113.53285708299055</v>
      </c>
      <c r="S21" s="476">
        <f t="shared" si="6"/>
        <v>1560.4274197466748</v>
      </c>
      <c r="T21" s="476">
        <f t="shared" si="7"/>
        <v>3823.1111934593882</v>
      </c>
      <c r="U21" s="478">
        <f t="shared" si="8"/>
        <v>0.49014246069992157</v>
      </c>
    </row>
    <row r="22" spans="1:21" ht="15.5">
      <c r="A22" s="474" t="s">
        <v>926</v>
      </c>
      <c r="B22" s="475">
        <v>0</v>
      </c>
      <c r="C22" s="468">
        <f t="shared" si="0"/>
        <v>0</v>
      </c>
      <c r="D22" s="469">
        <f t="shared" si="1"/>
        <v>7</v>
      </c>
      <c r="E22" s="470">
        <v>7</v>
      </c>
      <c r="F22" s="470">
        <v>0</v>
      </c>
      <c r="G22" s="470">
        <v>0</v>
      </c>
      <c r="H22" s="470">
        <v>0</v>
      </c>
      <c r="I22" s="471">
        <v>2151.79347826087</v>
      </c>
      <c r="J22" s="471">
        <v>0</v>
      </c>
      <c r="K22" s="476">
        <f t="shared" si="2"/>
        <v>0</v>
      </c>
      <c r="L22" s="476">
        <v>0</v>
      </c>
      <c r="M22" s="476">
        <f t="shared" si="3"/>
        <v>-2151.79347826087</v>
      </c>
      <c r="N22" s="477">
        <f t="shared" si="4"/>
        <v>0</v>
      </c>
      <c r="O22" s="471">
        <v>0</v>
      </c>
      <c r="P22" s="476">
        <f t="shared" si="9"/>
        <v>492.2694210460125</v>
      </c>
      <c r="Q22" s="476">
        <f t="shared" si="9"/>
        <v>456.13638419101022</v>
      </c>
      <c r="R22" s="476">
        <f t="shared" si="10"/>
        <v>155.86506285610926</v>
      </c>
      <c r="S22" s="476">
        <f t="shared" si="6"/>
        <v>1104.2708680931319</v>
      </c>
      <c r="T22" s="476">
        <f t="shared" si="7"/>
        <v>-3256.0643463540018</v>
      </c>
      <c r="U22" s="478">
        <f t="shared" si="8"/>
        <v>0</v>
      </c>
    </row>
    <row r="23" spans="1:21" ht="15.5">
      <c r="A23" s="474" t="s">
        <v>925</v>
      </c>
      <c r="B23" s="475">
        <v>0</v>
      </c>
      <c r="C23" s="468">
        <f t="shared" si="0"/>
        <v>0</v>
      </c>
      <c r="D23" s="469">
        <f t="shared" si="1"/>
        <v>0.69399693063534496</v>
      </c>
      <c r="E23" s="470">
        <v>7.0000000000000007E-2</v>
      </c>
      <c r="F23" s="470">
        <v>2.3996930635344998E-2</v>
      </c>
      <c r="G23" s="470">
        <v>0</v>
      </c>
      <c r="H23" s="470">
        <v>0.6</v>
      </c>
      <c r="I23" s="471">
        <v>21.254891304347801</v>
      </c>
      <c r="J23" s="471">
        <v>293.66086956521701</v>
      </c>
      <c r="K23" s="476">
        <f t="shared" si="2"/>
        <v>0</v>
      </c>
      <c r="L23" s="476">
        <v>0</v>
      </c>
      <c r="M23" s="476">
        <f t="shared" si="3"/>
        <v>-314.91576086956479</v>
      </c>
      <c r="N23" s="477">
        <f t="shared" si="4"/>
        <v>0</v>
      </c>
      <c r="O23" s="471">
        <v>16.118886086939</v>
      </c>
      <c r="P23" s="476">
        <f t="shared" si="9"/>
        <v>48.80478103593871</v>
      </c>
      <c r="Q23" s="476">
        <f t="shared" si="9"/>
        <v>45.222464368523653</v>
      </c>
      <c r="R23" s="476">
        <f t="shared" si="10"/>
        <v>15.452839316489277</v>
      </c>
      <c r="S23" s="476">
        <f t="shared" si="6"/>
        <v>125.59897080789062</v>
      </c>
      <c r="T23" s="476">
        <f t="shared" si="7"/>
        <v>-440.51473167745542</v>
      </c>
      <c r="U23" s="478">
        <f t="shared" si="8"/>
        <v>0</v>
      </c>
    </row>
    <row r="24" spans="1:21" ht="15.5">
      <c r="A24" s="474" t="s">
        <v>930</v>
      </c>
      <c r="B24" s="475">
        <v>2000</v>
      </c>
      <c r="C24" s="468">
        <f t="shared" si="0"/>
        <v>8.6734372385094197E-3</v>
      </c>
      <c r="D24" s="469">
        <f t="shared" si="1"/>
        <v>1.6127522333841871</v>
      </c>
      <c r="E24" s="470">
        <v>1.5</v>
      </c>
      <c r="F24" s="470">
        <v>0.112752233384187</v>
      </c>
      <c r="G24" s="470">
        <v>0</v>
      </c>
      <c r="H24" s="470">
        <v>0</v>
      </c>
      <c r="I24" s="471">
        <v>399.70652173912998</v>
      </c>
      <c r="J24" s="471">
        <v>0</v>
      </c>
      <c r="K24" s="476">
        <f t="shared" si="2"/>
        <v>203.37475636856888</v>
      </c>
      <c r="L24" s="476">
        <v>0</v>
      </c>
      <c r="M24" s="476">
        <f t="shared" si="3"/>
        <v>1396.9187218923012</v>
      </c>
      <c r="N24" s="477">
        <f t="shared" si="4"/>
        <v>0.69845936094615058</v>
      </c>
      <c r="O24" s="471">
        <v>116.735150682197</v>
      </c>
      <c r="P24" s="476">
        <f t="shared" si="9"/>
        <v>113.41551545981392</v>
      </c>
      <c r="Q24" s="476">
        <f t="shared" si="9"/>
        <v>105.0907103331199</v>
      </c>
      <c r="R24" s="476">
        <f t="shared" si="10"/>
        <v>35.910246889679556</v>
      </c>
      <c r="S24" s="476">
        <f t="shared" si="6"/>
        <v>371.1516233648104</v>
      </c>
      <c r="T24" s="476">
        <f t="shared" si="7"/>
        <v>1025.7670985274908</v>
      </c>
      <c r="U24" s="478">
        <f t="shared" si="8"/>
        <v>0.51288354926374535</v>
      </c>
    </row>
    <row r="25" spans="1:21" ht="15.5">
      <c r="A25" s="121" t="s">
        <v>957</v>
      </c>
      <c r="B25" s="475">
        <v>2880</v>
      </c>
      <c r="C25" s="468">
        <f t="shared" si="0"/>
        <v>1.2489749623453564E-2</v>
      </c>
      <c r="D25" s="469">
        <f t="shared" si="1"/>
        <v>3.5445863905651329</v>
      </c>
      <c r="E25" s="470">
        <v>2.25</v>
      </c>
      <c r="F25" s="470">
        <v>0.41458639056513302</v>
      </c>
      <c r="G25" s="470">
        <v>0.37</v>
      </c>
      <c r="H25" s="470">
        <v>0.51</v>
      </c>
      <c r="I25" s="471">
        <v>579.40489130434798</v>
      </c>
      <c r="J25" s="471">
        <v>406.28554347826099</v>
      </c>
      <c r="K25" s="476">
        <f t="shared" si="2"/>
        <v>292.8596491707392</v>
      </c>
      <c r="L25" s="476">
        <v>0</v>
      </c>
      <c r="M25" s="476">
        <f t="shared" si="3"/>
        <v>1601.4499160466519</v>
      </c>
      <c r="N25" s="477">
        <f t="shared" si="4"/>
        <v>0.55605899862730968</v>
      </c>
      <c r="O25" s="471">
        <v>320.65099850496898</v>
      </c>
      <c r="P25" s="476">
        <f t="shared" si="9"/>
        <v>249.27021290443901</v>
      </c>
      <c r="Q25" s="476">
        <f t="shared" si="9"/>
        <v>230.97354566357765</v>
      </c>
      <c r="R25" s="476">
        <f t="shared" si="10"/>
        <v>78.925311509191985</v>
      </c>
      <c r="S25" s="476">
        <f t="shared" si="6"/>
        <v>879.82006858217756</v>
      </c>
      <c r="T25" s="476">
        <f t="shared" si="7"/>
        <v>721.62984746447432</v>
      </c>
      <c r="U25" s="478">
        <f t="shared" si="8"/>
        <v>0.25056591925849803</v>
      </c>
    </row>
    <row r="26" spans="1:21" ht="15.5">
      <c r="A26" s="474" t="s">
        <v>931</v>
      </c>
      <c r="B26" s="475">
        <v>0</v>
      </c>
      <c r="C26" s="468">
        <f t="shared" si="0"/>
        <v>0</v>
      </c>
      <c r="D26" s="469">
        <f t="shared" si="1"/>
        <v>0</v>
      </c>
      <c r="E26" s="470">
        <v>0</v>
      </c>
      <c r="F26" s="470">
        <v>0</v>
      </c>
      <c r="G26" s="470">
        <v>0</v>
      </c>
      <c r="H26" s="470">
        <v>0</v>
      </c>
      <c r="I26" s="471">
        <v>0</v>
      </c>
      <c r="J26" s="471">
        <v>0</v>
      </c>
      <c r="K26" s="476">
        <f t="shared" si="2"/>
        <v>0</v>
      </c>
      <c r="L26" s="476">
        <v>0</v>
      </c>
      <c r="M26" s="476">
        <f t="shared" si="3"/>
        <v>0</v>
      </c>
      <c r="N26" s="477">
        <f t="shared" si="4"/>
        <v>0</v>
      </c>
      <c r="O26" s="471">
        <v>0</v>
      </c>
      <c r="P26" s="476">
        <f t="shared" si="9"/>
        <v>0</v>
      </c>
      <c r="Q26" s="476">
        <f t="shared" si="9"/>
        <v>0</v>
      </c>
      <c r="R26" s="476">
        <f t="shared" si="10"/>
        <v>0</v>
      </c>
      <c r="S26" s="476">
        <f t="shared" si="6"/>
        <v>0</v>
      </c>
      <c r="T26" s="476">
        <f t="shared" si="7"/>
        <v>0</v>
      </c>
      <c r="U26" s="478">
        <f t="shared" si="8"/>
        <v>0</v>
      </c>
    </row>
    <row r="27" spans="1:21" ht="15.5">
      <c r="A27" s="474" t="s">
        <v>921</v>
      </c>
      <c r="B27" s="475">
        <v>2560</v>
      </c>
      <c r="C27" s="468">
        <f t="shared" si="0"/>
        <v>1.1101999665292057E-2</v>
      </c>
      <c r="D27" s="469">
        <f t="shared" si="1"/>
        <v>4.9785212360578956</v>
      </c>
      <c r="E27" s="470">
        <v>3.75</v>
      </c>
      <c r="F27" s="470">
        <v>0.368521236057896</v>
      </c>
      <c r="G27" s="470">
        <v>0.35</v>
      </c>
      <c r="H27" s="470">
        <v>0.51</v>
      </c>
      <c r="I27" s="471">
        <v>945.51902173913004</v>
      </c>
      <c r="J27" s="471">
        <v>397.777282608696</v>
      </c>
      <c r="K27" s="476">
        <f t="shared" si="2"/>
        <v>260.31968815176816</v>
      </c>
      <c r="L27" s="476">
        <v>120.11764705882401</v>
      </c>
      <c r="M27" s="476">
        <f t="shared" si="3"/>
        <v>836.26636044158192</v>
      </c>
      <c r="N27" s="477">
        <f t="shared" si="4"/>
        <v>0.32666654704749293</v>
      </c>
      <c r="O27" s="471">
        <v>285.02310978219498</v>
      </c>
      <c r="P27" s="476">
        <f t="shared" si="9"/>
        <v>350.11053807707128</v>
      </c>
      <c r="Q27" s="476">
        <f t="shared" si="9"/>
        <v>324.41209646194392</v>
      </c>
      <c r="R27" s="476">
        <f t="shared" si="10"/>
        <v>110.85393219837695</v>
      </c>
      <c r="S27" s="476">
        <f t="shared" si="6"/>
        <v>1070.399676519587</v>
      </c>
      <c r="T27" s="476">
        <f t="shared" si="7"/>
        <v>-234.13331607800512</v>
      </c>
      <c r="U27" s="478">
        <f t="shared" si="8"/>
        <v>-9.1458326592970748E-2</v>
      </c>
    </row>
    <row r="28" spans="1:21" ht="15.5">
      <c r="A28" s="474" t="s">
        <v>919</v>
      </c>
      <c r="B28" s="475">
        <v>1325</v>
      </c>
      <c r="C28" s="468">
        <f t="shared" si="0"/>
        <v>5.7461521705124904E-3</v>
      </c>
      <c r="D28" s="469">
        <f t="shared" si="1"/>
        <v>0</v>
      </c>
      <c r="E28" s="470">
        <v>0</v>
      </c>
      <c r="F28" s="470">
        <v>0</v>
      </c>
      <c r="G28" s="470">
        <v>0</v>
      </c>
      <c r="H28" s="470">
        <v>0</v>
      </c>
      <c r="I28" s="471">
        <v>0</v>
      </c>
      <c r="J28" s="471">
        <v>0</v>
      </c>
      <c r="K28" s="476">
        <f t="shared" si="2"/>
        <v>134.73577609417688</v>
      </c>
      <c r="L28" s="476">
        <v>0</v>
      </c>
      <c r="M28" s="476">
        <f t="shared" si="3"/>
        <v>1190.2642239058232</v>
      </c>
      <c r="N28" s="477">
        <f t="shared" si="4"/>
        <v>0.89831262181571558</v>
      </c>
      <c r="O28" s="471">
        <v>0</v>
      </c>
      <c r="P28" s="476">
        <f t="shared" si="9"/>
        <v>0</v>
      </c>
      <c r="Q28" s="476">
        <f t="shared" si="9"/>
        <v>0</v>
      </c>
      <c r="R28" s="476">
        <f t="shared" si="10"/>
        <v>0</v>
      </c>
      <c r="S28" s="476">
        <f t="shared" si="6"/>
        <v>0</v>
      </c>
      <c r="T28" s="476">
        <f t="shared" si="7"/>
        <v>1190.2642239058232</v>
      </c>
      <c r="U28" s="478">
        <f t="shared" si="8"/>
        <v>0.89831262181571558</v>
      </c>
    </row>
    <row r="29" spans="1:21" ht="15.5">
      <c r="A29" s="479" t="s">
        <v>909</v>
      </c>
      <c r="B29" s="480">
        <v>8364</v>
      </c>
      <c r="C29" s="468">
        <f t="shared" si="0"/>
        <v>3.6272314531446394E-2</v>
      </c>
      <c r="D29" s="469">
        <f t="shared" si="1"/>
        <v>10.223907612189644</v>
      </c>
      <c r="E29" s="470">
        <v>8</v>
      </c>
      <c r="F29" s="470">
        <v>0.86390761218964296</v>
      </c>
      <c r="G29" s="470">
        <v>0.96</v>
      </c>
      <c r="H29" s="470">
        <v>0.4</v>
      </c>
      <c r="I29" s="471">
        <v>2997.20652173913</v>
      </c>
      <c r="J29" s="471">
        <v>602.12869565217397</v>
      </c>
      <c r="K29" s="481">
        <f t="shared" si="2"/>
        <v>850.51323113335502</v>
      </c>
      <c r="L29" s="481">
        <v>120.11764705882401</v>
      </c>
      <c r="M29" s="481">
        <f t="shared" si="3"/>
        <v>3794.0339044165166</v>
      </c>
      <c r="N29" s="482">
        <f t="shared" si="4"/>
        <v>0.45361476619040131</v>
      </c>
      <c r="O29" s="471">
        <v>894.42472452699701</v>
      </c>
      <c r="P29" s="481">
        <f t="shared" si="9"/>
        <v>718.98815444007369</v>
      </c>
      <c r="Q29" s="481">
        <f t="shared" si="9"/>
        <v>666.21375007530412</v>
      </c>
      <c r="R29" s="481">
        <f t="shared" si="10"/>
        <v>227.65000037271324</v>
      </c>
      <c r="S29" s="481">
        <f t="shared" si="6"/>
        <v>2507.2766294150883</v>
      </c>
      <c r="T29" s="481">
        <f t="shared" si="7"/>
        <v>1286.7572750014283</v>
      </c>
      <c r="U29" s="483">
        <f t="shared" si="8"/>
        <v>0.15384472441432667</v>
      </c>
    </row>
    <row r="30" spans="1:21" ht="15.5">
      <c r="A30" s="484" t="s">
        <v>19</v>
      </c>
      <c r="B30" s="485">
        <f>SUM(B6:B29)</f>
        <v>230589.09</v>
      </c>
      <c r="C30" s="485"/>
      <c r="D30" s="485">
        <f t="shared" ref="D30:M30" si="11">SUM(D6:D29)</f>
        <v>221.14</v>
      </c>
      <c r="E30" s="485">
        <f t="shared" si="11"/>
        <v>173</v>
      </c>
      <c r="F30" s="485">
        <f t="shared" si="11"/>
        <v>19.999999999999996</v>
      </c>
      <c r="G30" s="485">
        <f t="shared" si="11"/>
        <v>10.989999999999998</v>
      </c>
      <c r="H30" s="485">
        <f t="shared" si="11"/>
        <v>17.150000000000002</v>
      </c>
      <c r="I30" s="485">
        <f t="shared" si="11"/>
        <v>59652.673913043473</v>
      </c>
      <c r="J30" s="485">
        <f t="shared" si="11"/>
        <v>10885.697173913035</v>
      </c>
      <c r="K30" s="485">
        <f t="shared" si="11"/>
        <v>23448.000000000004</v>
      </c>
      <c r="L30" s="485">
        <f t="shared" si="11"/>
        <v>4084.0000000000045</v>
      </c>
      <c r="M30" s="485">
        <f t="shared" si="11"/>
        <v>132518.7189130435</v>
      </c>
      <c r="N30" s="486">
        <f t="shared" si="4"/>
        <v>0.57469639570997699</v>
      </c>
      <c r="O30" s="485">
        <f t="shared" ref="O30:T30" si="12">SUM(O6:O29)</f>
        <v>15446.086956521727</v>
      </c>
      <c r="P30" s="485">
        <f t="shared" si="12"/>
        <v>15551.494252873601</v>
      </c>
      <c r="Q30" s="485">
        <f t="shared" si="12"/>
        <v>14409.999999999995</v>
      </c>
      <c r="R30" s="485">
        <f t="shared" si="12"/>
        <v>7093.0000000000018</v>
      </c>
      <c r="S30" s="485">
        <f t="shared" si="12"/>
        <v>52500.581209395314</v>
      </c>
      <c r="T30" s="485">
        <f t="shared" si="12"/>
        <v>80018.137703648157</v>
      </c>
      <c r="U30" s="487">
        <f t="shared" si="8"/>
        <v>0.34701614765749828</v>
      </c>
    </row>
    <row r="31" spans="1:21">
      <c r="T31" s="488">
        <v>80017.421328521697</v>
      </c>
    </row>
    <row r="32" spans="1:21">
      <c r="A32" s="121" t="s">
        <v>958</v>
      </c>
      <c r="J32" s="121">
        <v>43445</v>
      </c>
      <c r="K32" s="160">
        <v>23448</v>
      </c>
      <c r="L32" s="489">
        <v>4084</v>
      </c>
      <c r="P32" s="121">
        <v>15551.494252873599</v>
      </c>
      <c r="Q32" s="121">
        <v>14410</v>
      </c>
      <c r="R32" s="488">
        <f>7093-R34</f>
        <v>4924</v>
      </c>
      <c r="T32" s="160">
        <f>T30-T31</f>
        <v>0.71637512645975221</v>
      </c>
    </row>
    <row r="33" spans="1:18">
      <c r="A33" s="121" t="s">
        <v>884</v>
      </c>
      <c r="J33" s="121">
        <v>2935.0947368421098</v>
      </c>
      <c r="L33" s="136">
        <f>L32/34</f>
        <v>120.11764705882354</v>
      </c>
      <c r="P33" s="460">
        <f>P32/$D$30</f>
        <v>70.324203006573214</v>
      </c>
      <c r="Q33" s="460">
        <f>Q32/$D$30</f>
        <v>65.162340598715744</v>
      </c>
      <c r="R33" s="460">
        <f>R32/$D$30</f>
        <v>22.266437550872752</v>
      </c>
    </row>
    <row r="34" spans="1:18">
      <c r="R34" s="488">
        <v>2169</v>
      </c>
    </row>
  </sheetData>
  <autoFilter ref="A5:U33" xr:uid="{84665933-DBCA-4343-8862-DB6FF255BDD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E09D-6F17-4530-9851-046766D02586}">
  <dimension ref="A1:U36"/>
  <sheetViews>
    <sheetView showGridLines="0" zoomScale="58" zoomScaleNormal="70" workbookViewId="0">
      <pane xSplit="1" ySplit="4" topLeftCell="B5" activePane="bottomRight" state="frozen"/>
      <selection pane="topRight" activeCell="B1" sqref="B1"/>
      <selection pane="bottomLeft" activeCell="A5" sqref="A5"/>
      <selection pane="bottomRight" activeCell="X14" sqref="X14"/>
    </sheetView>
  </sheetViews>
  <sheetFormatPr defaultRowHeight="14.5"/>
  <cols>
    <col min="1" max="1" width="30.25" style="121" bestFit="1" customWidth="1"/>
    <col min="2" max="2" width="10.6640625" style="121" bestFit="1" customWidth="1"/>
    <col min="3" max="3" width="8" style="121" customWidth="1"/>
    <col min="4" max="4" width="11.6640625" style="121" customWidth="1"/>
    <col min="5" max="8" width="8" style="121" customWidth="1"/>
    <col min="9" max="9" width="10.33203125" style="121" customWidth="1"/>
    <col min="10" max="10" width="11.08203125" style="121" customWidth="1"/>
    <col min="11" max="11" width="14.1640625" style="121" bestFit="1" customWidth="1"/>
    <col min="12" max="12" width="11.5" style="121" customWidth="1"/>
    <col min="13" max="13" width="10.6640625" style="121" bestFit="1" customWidth="1"/>
    <col min="14" max="14" width="8.08203125" style="121" bestFit="1" customWidth="1"/>
    <col min="15" max="15" width="14.5" style="121" customWidth="1"/>
    <col min="16" max="16" width="11.08203125" style="121" bestFit="1" customWidth="1"/>
    <col min="17" max="17" width="8.5" style="121" bestFit="1" customWidth="1"/>
    <col min="18" max="18" width="12.58203125" style="121" bestFit="1" customWidth="1"/>
    <col min="19" max="19" width="11.6640625" style="121" customWidth="1"/>
    <col min="20" max="20" width="9.9140625" style="121" bestFit="1" customWidth="1"/>
    <col min="21" max="21" width="8.08203125" style="121" bestFit="1" customWidth="1"/>
    <col min="22" max="16384" width="8.6640625" style="121"/>
  </cols>
  <sheetData>
    <row r="1" spans="1:21" ht="18.5">
      <c r="A1" s="449" t="s">
        <v>959</v>
      </c>
    </row>
    <row r="2" spans="1:21" ht="15.5">
      <c r="A2" s="451" t="s">
        <v>948</v>
      </c>
      <c r="B2" s="490" t="s">
        <v>960</v>
      </c>
    </row>
    <row r="4" spans="1:21" ht="27" customHeight="1">
      <c r="A4" s="491" t="s">
        <v>961</v>
      </c>
      <c r="B4" s="491" t="s">
        <v>28</v>
      </c>
      <c r="C4" s="491" t="s">
        <v>888</v>
      </c>
      <c r="D4" s="491" t="s">
        <v>889</v>
      </c>
      <c r="E4" s="491" t="s">
        <v>890</v>
      </c>
      <c r="F4" s="491" t="s">
        <v>891</v>
      </c>
      <c r="G4" s="491" t="s">
        <v>892</v>
      </c>
      <c r="H4" s="491" t="s">
        <v>893</v>
      </c>
      <c r="I4" s="491" t="s">
        <v>894</v>
      </c>
      <c r="J4" s="491" t="s">
        <v>895</v>
      </c>
      <c r="K4" s="491" t="s">
        <v>896</v>
      </c>
      <c r="L4" s="491" t="s">
        <v>897</v>
      </c>
      <c r="M4" s="491" t="s">
        <v>898</v>
      </c>
      <c r="N4" s="491" t="s">
        <v>899</v>
      </c>
      <c r="O4" s="491" t="s">
        <v>937</v>
      </c>
      <c r="P4" s="491" t="s">
        <v>863</v>
      </c>
      <c r="Q4" s="491" t="s">
        <v>7</v>
      </c>
      <c r="R4" s="491" t="s">
        <v>9</v>
      </c>
      <c r="S4" s="491" t="s">
        <v>901</v>
      </c>
      <c r="T4" s="491" t="s">
        <v>902</v>
      </c>
      <c r="U4" s="491" t="s">
        <v>857</v>
      </c>
    </row>
    <row r="5" spans="1:21" ht="15.5">
      <c r="A5" s="492" t="s">
        <v>908</v>
      </c>
      <c r="B5" s="493">
        <v>7150</v>
      </c>
      <c r="C5" s="494">
        <f t="shared" ref="C5:C30" si="0">IFERROR($B5/$B$31,0)</f>
        <v>3.1683852756495191E-2</v>
      </c>
      <c r="D5" s="495">
        <f t="shared" ref="D5:D30" si="1">SUM(E5:H5)</f>
        <v>9.6250034021890105</v>
      </c>
      <c r="E5" s="495">
        <v>8</v>
      </c>
      <c r="F5" s="495">
        <v>1.21477333070466</v>
      </c>
      <c r="G5" s="495">
        <v>0.133333333333333</v>
      </c>
      <c r="H5" s="495">
        <v>0.27689673815101801</v>
      </c>
      <c r="I5" s="493">
        <v>2290.2608695652202</v>
      </c>
      <c r="J5" s="493">
        <v>159.645565985254</v>
      </c>
      <c r="K5" s="493">
        <f t="shared" ref="K5:K30" si="2">$K$35*D5</f>
        <v>803.90892748699036</v>
      </c>
      <c r="L5" s="476">
        <f>1*$L$35</f>
        <v>169.41176470588235</v>
      </c>
      <c r="M5" s="493">
        <f>B5-I5-K5-L5-J5</f>
        <v>3726.7728722566535</v>
      </c>
      <c r="N5" s="496">
        <f>IFERROR(M5/B5,0)</f>
        <v>0.52122697514079075</v>
      </c>
      <c r="O5" s="493">
        <v>722.20203897174304</v>
      </c>
      <c r="P5" s="493">
        <f t="shared" ref="P5:P30" si="3">$P$35*D5</f>
        <v>643.42199986186938</v>
      </c>
      <c r="Q5" s="493">
        <f t="shared" ref="Q5:Q30" si="4">$Q$35*$D5</f>
        <v>114.2784867839772</v>
      </c>
      <c r="R5" s="493">
        <f t="shared" ref="R5:R12" si="5">$R$35*D5</f>
        <v>689.12497006482386</v>
      </c>
      <c r="S5" s="493">
        <f>O5+P5+Q5+R5</f>
        <v>2169.0274956824132</v>
      </c>
      <c r="T5" s="493">
        <f>M5-S5</f>
        <v>1557.7453765742403</v>
      </c>
      <c r="U5" s="496">
        <f>IFERROR(T5/B5,0)</f>
        <v>0.21786648623415947</v>
      </c>
    </row>
    <row r="6" spans="1:21" ht="15.5">
      <c r="A6" s="492" t="s">
        <v>923</v>
      </c>
      <c r="B6" s="493">
        <v>13150</v>
      </c>
      <c r="C6" s="494">
        <f t="shared" si="0"/>
        <v>5.8271701223484157E-2</v>
      </c>
      <c r="D6" s="495">
        <f t="shared" si="1"/>
        <v>8.3950026991281455</v>
      </c>
      <c r="E6" s="495">
        <v>8</v>
      </c>
      <c r="F6" s="495">
        <v>0.39500269912814601</v>
      </c>
      <c r="G6" s="495">
        <v>0</v>
      </c>
      <c r="H6" s="495">
        <v>0</v>
      </c>
      <c r="I6" s="493">
        <v>2279.2173913043498</v>
      </c>
      <c r="J6" s="493">
        <v>0</v>
      </c>
      <c r="K6" s="493">
        <f t="shared" si="2"/>
        <v>701.17560837138149</v>
      </c>
      <c r="L6" s="476"/>
      <c r="M6" s="493">
        <f>B6-I6-K6-L6-J6</f>
        <v>10169.607000324269</v>
      </c>
      <c r="N6" s="496">
        <f>IFERROR(M6/B6,0)</f>
        <v>0.77335414451135132</v>
      </c>
      <c r="O6" s="493">
        <v>398.50992208576298</v>
      </c>
      <c r="P6" s="493">
        <f t="shared" si="3"/>
        <v>561.19766402268021</v>
      </c>
      <c r="Q6" s="493">
        <f t="shared" si="4"/>
        <v>99.674583469298298</v>
      </c>
      <c r="R6" s="493">
        <f t="shared" si="5"/>
        <v>601.06014948681172</v>
      </c>
      <c r="S6" s="493">
        <f>O6+P6+Q6+R6</f>
        <v>1660.4423190645532</v>
      </c>
      <c r="T6" s="493">
        <f>M6-S6</f>
        <v>8509.1646812597155</v>
      </c>
      <c r="U6" s="496">
        <f>IFERROR(T6/B6,0)</f>
        <v>0.64708476663571979</v>
      </c>
    </row>
    <row r="7" spans="1:21" ht="15.5">
      <c r="A7" s="497" t="s">
        <v>962</v>
      </c>
      <c r="B7" s="493">
        <v>675</v>
      </c>
      <c r="C7" s="494">
        <f t="shared" si="0"/>
        <v>2.9911329525362591E-3</v>
      </c>
      <c r="D7" s="495">
        <f t="shared" si="1"/>
        <v>0</v>
      </c>
      <c r="E7" s="495">
        <v>0</v>
      </c>
      <c r="F7" s="495">
        <v>0</v>
      </c>
      <c r="G7" s="495">
        <v>0</v>
      </c>
      <c r="H7" s="495">
        <v>0</v>
      </c>
      <c r="I7" s="493">
        <v>0</v>
      </c>
      <c r="J7" s="493">
        <v>0</v>
      </c>
      <c r="K7" s="493">
        <f t="shared" si="2"/>
        <v>0</v>
      </c>
      <c r="L7" s="476"/>
      <c r="M7" s="493"/>
      <c r="N7" s="496"/>
      <c r="O7" s="493">
        <v>0</v>
      </c>
      <c r="P7" s="493">
        <f t="shared" si="3"/>
        <v>0</v>
      </c>
      <c r="Q7" s="493">
        <f t="shared" si="4"/>
        <v>0</v>
      </c>
      <c r="R7" s="493">
        <f t="shared" si="5"/>
        <v>0</v>
      </c>
      <c r="S7" s="493"/>
      <c r="T7" s="493"/>
      <c r="U7" s="496"/>
    </row>
    <row r="8" spans="1:21" ht="15.5">
      <c r="A8" s="492" t="s">
        <v>910</v>
      </c>
      <c r="B8" s="493">
        <v>79168</v>
      </c>
      <c r="C8" s="494">
        <f t="shared" si="0"/>
        <v>0.35081779790576378</v>
      </c>
      <c r="D8" s="495">
        <f t="shared" si="1"/>
        <v>79.597347209225191</v>
      </c>
      <c r="E8" s="495">
        <v>70</v>
      </c>
      <c r="F8" s="495">
        <v>6.12528369041073</v>
      </c>
      <c r="G8" s="495">
        <v>0.98108974358974399</v>
      </c>
      <c r="H8" s="495">
        <v>2.4909737752247101</v>
      </c>
      <c r="I8" s="493">
        <v>25287.543478260901</v>
      </c>
      <c r="J8" s="493">
        <v>1499.1414421904699</v>
      </c>
      <c r="K8" s="493">
        <f t="shared" si="2"/>
        <v>6648.2073150462274</v>
      </c>
      <c r="L8" s="476">
        <f>22*L35</f>
        <v>3727.0588235294117</v>
      </c>
      <c r="M8" s="493">
        <f t="shared" ref="M8:M30" si="6">B8-I8-K8-L8-J8</f>
        <v>42006.048940972985</v>
      </c>
      <c r="N8" s="496">
        <f t="shared" ref="N8:N31" si="7">IFERROR(M8/B8,0)</f>
        <v>0.5305937871485068</v>
      </c>
      <c r="O8" s="493">
        <v>5318.1040229891696</v>
      </c>
      <c r="P8" s="493">
        <f t="shared" si="3"/>
        <v>5321.004282804879</v>
      </c>
      <c r="Q8" s="493">
        <f t="shared" si="4"/>
        <v>945.06609618655568</v>
      </c>
      <c r="R8" s="493">
        <f t="shared" si="5"/>
        <v>5698.961051828991</v>
      </c>
      <c r="S8" s="493">
        <f t="shared" ref="S8:S30" si="8">O8+P8+Q8+R8</f>
        <v>17283.135453809595</v>
      </c>
      <c r="T8" s="493">
        <f t="shared" ref="T8:T31" si="9">M8-S8</f>
        <v>24722.913487163391</v>
      </c>
      <c r="U8" s="496">
        <f t="shared" ref="U8:U31" si="10">IFERROR(T8/B8,0)</f>
        <v>0.31228417399913339</v>
      </c>
    </row>
    <row r="9" spans="1:21" ht="15.5">
      <c r="A9" s="492" t="s">
        <v>924</v>
      </c>
      <c r="B9" s="493">
        <v>0</v>
      </c>
      <c r="C9" s="494">
        <f t="shared" si="0"/>
        <v>0</v>
      </c>
      <c r="D9" s="495">
        <f t="shared" si="1"/>
        <v>3</v>
      </c>
      <c r="E9" s="495">
        <v>3</v>
      </c>
      <c r="F9" s="495">
        <v>0</v>
      </c>
      <c r="G9" s="495">
        <v>0</v>
      </c>
      <c r="H9" s="495">
        <v>0</v>
      </c>
      <c r="I9" s="493">
        <v>644.70652173913004</v>
      </c>
      <c r="J9" s="493">
        <v>0</v>
      </c>
      <c r="K9" s="493">
        <f t="shared" si="2"/>
        <v>250.56892778993438</v>
      </c>
      <c r="L9" s="476"/>
      <c r="M9" s="493">
        <f t="shared" si="6"/>
        <v>-895.27544952906442</v>
      </c>
      <c r="N9" s="496">
        <f t="shared" si="7"/>
        <v>0</v>
      </c>
      <c r="O9" s="493">
        <v>0</v>
      </c>
      <c r="P9" s="493">
        <f t="shared" si="3"/>
        <v>200.54704595185996</v>
      </c>
      <c r="Q9" s="493">
        <f t="shared" si="4"/>
        <v>35.619256017505478</v>
      </c>
      <c r="R9" s="493">
        <f t="shared" si="5"/>
        <v>214.79212253829326</v>
      </c>
      <c r="S9" s="493">
        <f t="shared" si="8"/>
        <v>450.95842450765872</v>
      </c>
      <c r="T9" s="493">
        <f t="shared" si="9"/>
        <v>-1346.2338740367231</v>
      </c>
      <c r="U9" s="496">
        <f t="shared" si="10"/>
        <v>0</v>
      </c>
    </row>
    <row r="10" spans="1:21" ht="15.5">
      <c r="A10" s="492" t="s">
        <v>911</v>
      </c>
      <c r="B10" s="493">
        <v>29723</v>
      </c>
      <c r="C10" s="494">
        <f t="shared" si="0"/>
        <v>0.13171176999738554</v>
      </c>
      <c r="D10" s="495">
        <f t="shared" si="1"/>
        <v>30.776383441122391</v>
      </c>
      <c r="E10" s="495">
        <v>22</v>
      </c>
      <c r="F10" s="495">
        <v>2.3308218135560699</v>
      </c>
      <c r="G10" s="495">
        <v>2.5538461538461501</v>
      </c>
      <c r="H10" s="495">
        <v>3.8917154737201698</v>
      </c>
      <c r="I10" s="493">
        <v>5887.8695652173901</v>
      </c>
      <c r="J10" s="493">
        <v>2181.7205512382602</v>
      </c>
      <c r="K10" s="493">
        <f t="shared" si="2"/>
        <v>2570.5351333646431</v>
      </c>
      <c r="L10" s="476">
        <f>2*L35</f>
        <v>338.8235294117647</v>
      </c>
      <c r="M10" s="493">
        <f t="shared" si="6"/>
        <v>18744.051220767939</v>
      </c>
      <c r="N10" s="496">
        <f t="shared" si="7"/>
        <v>0.6306244733293388</v>
      </c>
      <c r="O10" s="493">
        <v>1674.81885080186</v>
      </c>
      <c r="P10" s="493">
        <f t="shared" si="3"/>
        <v>2057.3709280662783</v>
      </c>
      <c r="Q10" s="493">
        <f t="shared" si="4"/>
        <v>365.41062702741823</v>
      </c>
      <c r="R10" s="493">
        <f t="shared" si="5"/>
        <v>2203.5082411236867</v>
      </c>
      <c r="S10" s="493">
        <f t="shared" si="8"/>
        <v>6301.1086470192422</v>
      </c>
      <c r="T10" s="493">
        <f t="shared" si="9"/>
        <v>12442.942573748696</v>
      </c>
      <c r="U10" s="496">
        <f t="shared" si="10"/>
        <v>0.41863010374957765</v>
      </c>
    </row>
    <row r="11" spans="1:21" ht="15.5">
      <c r="A11" s="492" t="s">
        <v>912</v>
      </c>
      <c r="B11" s="493">
        <v>12958</v>
      </c>
      <c r="C11" s="494">
        <f t="shared" si="0"/>
        <v>5.7420890072540511E-2</v>
      </c>
      <c r="D11" s="495">
        <f t="shared" si="1"/>
        <v>4.3252874804779742</v>
      </c>
      <c r="E11" s="495">
        <v>3</v>
      </c>
      <c r="F11" s="495">
        <v>0.53772453628546502</v>
      </c>
      <c r="G11" s="495">
        <v>0.391666666666667</v>
      </c>
      <c r="H11" s="495">
        <v>0.395896277525842</v>
      </c>
      <c r="I11" s="493">
        <v>1029.8478260869599</v>
      </c>
      <c r="J11" s="493">
        <v>249.99976105510001</v>
      </c>
      <c r="K11" s="493">
        <f t="shared" si="2"/>
        <v>361.26088212219759</v>
      </c>
      <c r="L11" s="476">
        <f>1*L35</f>
        <v>169.41176470588235</v>
      </c>
      <c r="M11" s="493">
        <f t="shared" si="6"/>
        <v>11147.479766029859</v>
      </c>
      <c r="N11" s="496">
        <f t="shared" si="7"/>
        <v>0.86027780259529707</v>
      </c>
      <c r="O11" s="493">
        <v>385.64402603641997</v>
      </c>
      <c r="P11" s="493">
        <f t="shared" si="3"/>
        <v>289.14120903414033</v>
      </c>
      <c r="Q11" s="493">
        <f t="shared" si="4"/>
        <v>51.354507372152064</v>
      </c>
      <c r="R11" s="493">
        <f t="shared" si="5"/>
        <v>309.67922617339025</v>
      </c>
      <c r="S11" s="493">
        <f t="shared" si="8"/>
        <v>1035.8189686161027</v>
      </c>
      <c r="T11" s="493">
        <f t="shared" si="9"/>
        <v>10111.660797413757</v>
      </c>
      <c r="U11" s="496">
        <f t="shared" si="10"/>
        <v>0.78034116356025285</v>
      </c>
    </row>
    <row r="12" spans="1:21" ht="15.5">
      <c r="A12" s="492" t="s">
        <v>913</v>
      </c>
      <c r="B12" s="493">
        <v>24409</v>
      </c>
      <c r="C12" s="494">
        <f t="shared" si="0"/>
        <v>0.10816379887178897</v>
      </c>
      <c r="D12" s="495">
        <f t="shared" si="1"/>
        <v>16.246035652965173</v>
      </c>
      <c r="E12" s="495">
        <v>12</v>
      </c>
      <c r="F12" s="495">
        <v>1.57026601389936</v>
      </c>
      <c r="G12" s="495">
        <v>0.74583333333333302</v>
      </c>
      <c r="H12" s="495">
        <v>1.9299363057324801</v>
      </c>
      <c r="I12" s="493">
        <v>4075.8097826087001</v>
      </c>
      <c r="J12" s="493">
        <v>1012.65308547955</v>
      </c>
      <c r="K12" s="493">
        <f t="shared" si="2"/>
        <v>1356.9172448001766</v>
      </c>
      <c r="L12" s="476">
        <f>2*L35</f>
        <v>338.8235294117647</v>
      </c>
      <c r="M12" s="493">
        <f t="shared" si="6"/>
        <v>17624.796357699808</v>
      </c>
      <c r="N12" s="496">
        <f t="shared" si="7"/>
        <v>0.72206138546027321</v>
      </c>
      <c r="O12" s="493">
        <v>1365.929197081</v>
      </c>
      <c r="P12" s="493">
        <f t="shared" si="3"/>
        <v>1086.0314862102539</v>
      </c>
      <c r="Q12" s="493">
        <f t="shared" si="4"/>
        <v>192.89056773082942</v>
      </c>
      <c r="R12" s="493">
        <f t="shared" si="5"/>
        <v>1163.1734935777256</v>
      </c>
      <c r="S12" s="493">
        <f t="shared" si="8"/>
        <v>3808.0247445998093</v>
      </c>
      <c r="T12" s="493">
        <f t="shared" si="9"/>
        <v>13816.771613099998</v>
      </c>
      <c r="U12" s="496">
        <f t="shared" si="10"/>
        <v>0.56605234188618947</v>
      </c>
    </row>
    <row r="13" spans="1:21" ht="15.5">
      <c r="A13" s="492" t="s">
        <v>914</v>
      </c>
      <c r="B13" s="493">
        <v>13171</v>
      </c>
      <c r="C13" s="494">
        <f t="shared" si="0"/>
        <v>5.8364758693118621E-2</v>
      </c>
      <c r="D13" s="495">
        <f t="shared" si="1"/>
        <v>24.174001286070261</v>
      </c>
      <c r="E13" s="495">
        <v>17</v>
      </c>
      <c r="F13" s="495">
        <v>2.1323346194035899</v>
      </c>
      <c r="G13" s="495">
        <v>1.0416666666666701</v>
      </c>
      <c r="H13" s="495">
        <v>4</v>
      </c>
      <c r="I13" s="493">
        <v>5962.45652173913</v>
      </c>
      <c r="J13" s="493">
        <v>1931.2297101449301</v>
      </c>
      <c r="K13" s="493">
        <f t="shared" si="2"/>
        <v>2019.0845275477068</v>
      </c>
      <c r="L13" s="476">
        <f>1*L35</f>
        <v>169.41176470588235</v>
      </c>
      <c r="M13" s="493">
        <f t="shared" si="6"/>
        <v>3088.8174758623509</v>
      </c>
      <c r="N13" s="496">
        <f t="shared" si="7"/>
        <v>0.23451654968205535</v>
      </c>
      <c r="O13" s="493">
        <v>1538.06763630859</v>
      </c>
      <c r="P13" s="493">
        <f t="shared" si="3"/>
        <v>1616.0081822526183</v>
      </c>
      <c r="Q13" s="493">
        <f t="shared" si="4"/>
        <v>287.01998025868107</v>
      </c>
      <c r="R13" s="493">
        <f>$R$35*D13+R36</f>
        <v>3899.7950154928208</v>
      </c>
      <c r="S13" s="493">
        <f t="shared" si="8"/>
        <v>7340.8908143127101</v>
      </c>
      <c r="T13" s="493">
        <f t="shared" si="9"/>
        <v>-4252.0733384503592</v>
      </c>
      <c r="U13" s="496">
        <f t="shared" si="10"/>
        <v>-0.32283602903730613</v>
      </c>
    </row>
    <row r="14" spans="1:21" ht="15.5">
      <c r="A14" s="492" t="s">
        <v>929</v>
      </c>
      <c r="B14" s="493">
        <v>3000</v>
      </c>
      <c r="C14" s="494">
        <f t="shared" si="0"/>
        <v>1.3293924233494485E-2</v>
      </c>
      <c r="D14" s="495">
        <f t="shared" si="1"/>
        <v>3.1127095638648399</v>
      </c>
      <c r="E14" s="495">
        <v>2</v>
      </c>
      <c r="F14" s="495">
        <v>1.1127095638648401</v>
      </c>
      <c r="G14" s="495">
        <v>0</v>
      </c>
      <c r="H14" s="495">
        <v>0</v>
      </c>
      <c r="I14" s="493">
        <v>701.26086956521704</v>
      </c>
      <c r="J14" s="493">
        <v>0</v>
      </c>
      <c r="K14" s="493">
        <f t="shared" si="2"/>
        <v>259.98276597969573</v>
      </c>
      <c r="L14" s="476">
        <f>1*L35</f>
        <v>169.41176470588235</v>
      </c>
      <c r="M14" s="493">
        <f t="shared" si="6"/>
        <v>1869.3445997492049</v>
      </c>
      <c r="N14" s="496">
        <f t="shared" si="7"/>
        <v>0.62311486658306836</v>
      </c>
      <c r="O14" s="493">
        <v>721.00513217834305</v>
      </c>
      <c r="P14" s="493">
        <f t="shared" si="3"/>
        <v>208.08156931306536</v>
      </c>
      <c r="Q14" s="493">
        <f t="shared" si="4"/>
        <v>36.957466287813183</v>
      </c>
      <c r="R14" s="493">
        <f t="shared" ref="R14:R30" si="11">$R$35*D14</f>
        <v>222.86183135592469</v>
      </c>
      <c r="S14" s="493">
        <f t="shared" si="8"/>
        <v>1188.9059991351462</v>
      </c>
      <c r="T14" s="493">
        <f t="shared" si="9"/>
        <v>680.43860061405871</v>
      </c>
      <c r="U14" s="496">
        <f t="shared" si="10"/>
        <v>0.22681286687135291</v>
      </c>
    </row>
    <row r="15" spans="1:21" ht="15.5">
      <c r="A15" s="492" t="s">
        <v>915</v>
      </c>
      <c r="B15" s="493">
        <v>707</v>
      </c>
      <c r="C15" s="494">
        <f t="shared" si="0"/>
        <v>3.1329348110268672E-3</v>
      </c>
      <c r="D15" s="495">
        <f t="shared" si="1"/>
        <v>3.6998005997833263</v>
      </c>
      <c r="E15" s="495">
        <v>3.5</v>
      </c>
      <c r="F15" s="495">
        <v>6.0377522860249097E-2</v>
      </c>
      <c r="G15" s="495">
        <v>0.13942307692307701</v>
      </c>
      <c r="H15" s="495">
        <v>0</v>
      </c>
      <c r="I15" s="493">
        <v>1493.1630434782601</v>
      </c>
      <c r="J15" s="493">
        <v>30.697428929765898</v>
      </c>
      <c r="K15" s="493">
        <f t="shared" si="2"/>
        <v>309.01835644142142</v>
      </c>
      <c r="L15" s="476"/>
      <c r="M15" s="493">
        <f t="shared" si="6"/>
        <v>-1125.8788288494475</v>
      </c>
      <c r="N15" s="496">
        <f t="shared" si="7"/>
        <v>-1.592473591017606</v>
      </c>
      <c r="O15" s="493">
        <v>60.650760410050403</v>
      </c>
      <c r="P15" s="493">
        <f t="shared" si="3"/>
        <v>247.32802696582195</v>
      </c>
      <c r="Q15" s="493">
        <f t="shared" si="4"/>
        <v>43.928048259134208</v>
      </c>
      <c r="R15" s="493">
        <f t="shared" si="11"/>
        <v>264.89600793197036</v>
      </c>
      <c r="S15" s="493">
        <f t="shared" si="8"/>
        <v>616.80284356697689</v>
      </c>
      <c r="T15" s="493">
        <f t="shared" si="9"/>
        <v>-1742.6816724164244</v>
      </c>
      <c r="U15" s="496">
        <f t="shared" si="10"/>
        <v>-2.4648962834744332</v>
      </c>
    </row>
    <row r="16" spans="1:21" ht="15.5">
      <c r="A16" s="492" t="s">
        <v>927</v>
      </c>
      <c r="B16" s="493">
        <v>1850</v>
      </c>
      <c r="C16" s="494">
        <f t="shared" si="0"/>
        <v>8.1979199439882657E-3</v>
      </c>
      <c r="D16" s="495">
        <f t="shared" si="1"/>
        <v>4.2530155311237987</v>
      </c>
      <c r="E16" s="495">
        <v>3.1</v>
      </c>
      <c r="F16" s="495">
        <v>0.67563964880574801</v>
      </c>
      <c r="G16" s="495">
        <v>0.35</v>
      </c>
      <c r="H16" s="495">
        <v>0.12737588231805</v>
      </c>
      <c r="I16" s="493">
        <v>895.128260869565</v>
      </c>
      <c r="J16" s="493">
        <v>147.73364188138399</v>
      </c>
      <c r="K16" s="493">
        <f t="shared" si="2"/>
        <v>355.22451383587622</v>
      </c>
      <c r="L16" s="476"/>
      <c r="M16" s="493">
        <f t="shared" si="6"/>
        <v>451.91358341317482</v>
      </c>
      <c r="N16" s="496">
        <f t="shared" si="7"/>
        <v>0.24427761265577017</v>
      </c>
      <c r="O16" s="493">
        <v>490.24793359619099</v>
      </c>
      <c r="P16" s="493">
        <f t="shared" si="3"/>
        <v>284.30990038475289</v>
      </c>
      <c r="Q16" s="493">
        <f t="shared" si="4"/>
        <v>50.496416349841873</v>
      </c>
      <c r="R16" s="493">
        <f t="shared" si="11"/>
        <v>304.50474437280246</v>
      </c>
      <c r="S16" s="493">
        <f t="shared" si="8"/>
        <v>1129.5589947035883</v>
      </c>
      <c r="T16" s="493">
        <f t="shared" si="9"/>
        <v>-677.64541129041345</v>
      </c>
      <c r="U16" s="496">
        <f t="shared" si="10"/>
        <v>-0.366294816913737</v>
      </c>
    </row>
    <row r="17" spans="1:21" ht="15.5">
      <c r="A17" s="492" t="s">
        <v>956</v>
      </c>
      <c r="B17" s="493">
        <v>0</v>
      </c>
      <c r="C17" s="494">
        <f t="shared" si="0"/>
        <v>0</v>
      </c>
      <c r="D17" s="495">
        <f t="shared" si="1"/>
        <v>0</v>
      </c>
      <c r="E17" s="495">
        <v>0</v>
      </c>
      <c r="F17" s="495">
        <v>0</v>
      </c>
      <c r="G17" s="495">
        <v>0</v>
      </c>
      <c r="H17" s="495">
        <v>0</v>
      </c>
      <c r="I17" s="493">
        <v>0</v>
      </c>
      <c r="J17" s="493">
        <v>0</v>
      </c>
      <c r="K17" s="493">
        <f t="shared" si="2"/>
        <v>0</v>
      </c>
      <c r="L17" s="476"/>
      <c r="M17" s="493">
        <f t="shared" si="6"/>
        <v>0</v>
      </c>
      <c r="N17" s="496">
        <f t="shared" si="7"/>
        <v>0</v>
      </c>
      <c r="O17" s="493">
        <v>0</v>
      </c>
      <c r="P17" s="493">
        <f t="shared" si="3"/>
        <v>0</v>
      </c>
      <c r="Q17" s="493">
        <f t="shared" si="4"/>
        <v>0</v>
      </c>
      <c r="R17" s="493">
        <f t="shared" si="11"/>
        <v>0</v>
      </c>
      <c r="S17" s="493">
        <f t="shared" si="8"/>
        <v>0</v>
      </c>
      <c r="T17" s="493">
        <f t="shared" si="9"/>
        <v>0</v>
      </c>
      <c r="U17" s="496">
        <f t="shared" si="10"/>
        <v>0</v>
      </c>
    </row>
    <row r="18" spans="1:21" ht="15.5">
      <c r="A18" s="492" t="s">
        <v>916</v>
      </c>
      <c r="B18" s="493">
        <v>1450</v>
      </c>
      <c r="C18" s="494">
        <f t="shared" si="0"/>
        <v>6.4253967128556676E-3</v>
      </c>
      <c r="D18" s="495">
        <f t="shared" si="1"/>
        <v>1.41426734070662</v>
      </c>
      <c r="E18" s="495">
        <v>1</v>
      </c>
      <c r="F18" s="495">
        <v>0.19137652184805901</v>
      </c>
      <c r="G18" s="495">
        <v>0.15192307692307699</v>
      </c>
      <c r="H18" s="495">
        <v>7.09677419354839E-2</v>
      </c>
      <c r="I18" s="493">
        <v>585.51086956521704</v>
      </c>
      <c r="J18" s="493">
        <v>72.082670280864505</v>
      </c>
      <c r="K18" s="493">
        <f t="shared" si="2"/>
        <v>118.12381705639319</v>
      </c>
      <c r="L18" s="476"/>
      <c r="M18" s="493">
        <f t="shared" si="6"/>
        <v>674.28264309752535</v>
      </c>
      <c r="N18" s="496">
        <f t="shared" si="7"/>
        <v>0.46502251248105198</v>
      </c>
      <c r="O18" s="493">
        <v>157.975618324349</v>
      </c>
      <c r="P18" s="493">
        <f t="shared" si="3"/>
        <v>94.542379121635108</v>
      </c>
      <c r="Q18" s="493">
        <f t="shared" si="4"/>
        <v>16.791716828608582</v>
      </c>
      <c r="R18" s="493">
        <f t="shared" si="11"/>
        <v>101.25782798232082</v>
      </c>
      <c r="S18" s="493">
        <f t="shared" si="8"/>
        <v>370.5675422569135</v>
      </c>
      <c r="T18" s="493">
        <f t="shared" si="9"/>
        <v>303.71510084061185</v>
      </c>
      <c r="U18" s="496">
        <f t="shared" si="10"/>
        <v>0.20945869023490474</v>
      </c>
    </row>
    <row r="19" spans="1:21" ht="15.5">
      <c r="A19" s="492" t="s">
        <v>928</v>
      </c>
      <c r="B19" s="493">
        <v>8925</v>
      </c>
      <c r="C19" s="494">
        <f t="shared" si="0"/>
        <v>3.9549424594646096E-2</v>
      </c>
      <c r="D19" s="495">
        <f t="shared" si="1"/>
        <v>4.8866936131854937</v>
      </c>
      <c r="E19" s="495">
        <v>3</v>
      </c>
      <c r="F19" s="495">
        <v>1.3353109524979001</v>
      </c>
      <c r="G19" s="495">
        <v>4.1666666666666699E-2</v>
      </c>
      <c r="H19" s="495">
        <v>0.50971599402092704</v>
      </c>
      <c r="I19" s="493">
        <v>882.10326086956502</v>
      </c>
      <c r="J19" s="493">
        <v>264.42141296224099</v>
      </c>
      <c r="K19" s="493">
        <f t="shared" si="2"/>
        <v>408.15119303126983</v>
      </c>
      <c r="L19" s="476">
        <f>1*L35</f>
        <v>169.41176470588235</v>
      </c>
      <c r="M19" s="493">
        <f t="shared" si="6"/>
        <v>7200.9123684310416</v>
      </c>
      <c r="N19" s="496">
        <f t="shared" si="7"/>
        <v>0.80682491523036881</v>
      </c>
      <c r="O19" s="493">
        <v>937.32912692622199</v>
      </c>
      <c r="P19" s="493">
        <f t="shared" si="3"/>
        <v>326.67065619872392</v>
      </c>
      <c r="Q19" s="493">
        <f t="shared" si="4"/>
        <v>58.020130295720989</v>
      </c>
      <c r="R19" s="493">
        <f t="shared" si="11"/>
        <v>349.87443112347785</v>
      </c>
      <c r="S19" s="493">
        <f t="shared" si="8"/>
        <v>1671.8943445441446</v>
      </c>
      <c r="T19" s="493">
        <f t="shared" si="9"/>
        <v>5529.018023886897</v>
      </c>
      <c r="U19" s="496">
        <f t="shared" si="10"/>
        <v>0.6194978178024535</v>
      </c>
    </row>
    <row r="20" spans="1:21" ht="15.5">
      <c r="A20" s="492" t="s">
        <v>917</v>
      </c>
      <c r="B20" s="493">
        <v>3413</v>
      </c>
      <c r="C20" s="494">
        <f t="shared" si="0"/>
        <v>1.5124054469638893E-2</v>
      </c>
      <c r="D20" s="495">
        <f t="shared" si="1"/>
        <v>3.2229823579808299</v>
      </c>
      <c r="E20" s="495">
        <v>3</v>
      </c>
      <c r="F20" s="495">
        <v>6.3612714436561996E-2</v>
      </c>
      <c r="G20" s="495">
        <v>0.11025641025641</v>
      </c>
      <c r="H20" s="495">
        <v>4.9113233287858098E-2</v>
      </c>
      <c r="I20" s="493">
        <v>1254.98913043478</v>
      </c>
      <c r="J20" s="493">
        <v>48.675587109373197</v>
      </c>
      <c r="K20" s="493">
        <f t="shared" si="2"/>
        <v>269.19307790837701</v>
      </c>
      <c r="L20" s="476">
        <f>1*L35</f>
        <v>169.41176470588235</v>
      </c>
      <c r="M20" s="493">
        <f t="shared" si="6"/>
        <v>1670.730439841587</v>
      </c>
      <c r="N20" s="496">
        <f t="shared" si="7"/>
        <v>0.48951961319706622</v>
      </c>
      <c r="O20" s="493">
        <v>73.5161177374045</v>
      </c>
      <c r="P20" s="493">
        <f t="shared" si="3"/>
        <v>215.45319701600516</v>
      </c>
      <c r="Q20" s="493">
        <f t="shared" si="4"/>
        <v>38.266744582940888</v>
      </c>
      <c r="R20" s="493">
        <f t="shared" si="11"/>
        <v>230.75707385805859</v>
      </c>
      <c r="S20" s="493">
        <f t="shared" si="8"/>
        <v>557.9931331944091</v>
      </c>
      <c r="T20" s="493">
        <f t="shared" si="9"/>
        <v>1112.7373066471778</v>
      </c>
      <c r="U20" s="496">
        <f t="shared" si="10"/>
        <v>0.3260290965857538</v>
      </c>
    </row>
    <row r="21" spans="1:21" ht="15.5">
      <c r="A21" s="492" t="s">
        <v>918</v>
      </c>
      <c r="B21" s="493">
        <v>6521</v>
      </c>
      <c r="C21" s="494">
        <f t="shared" si="0"/>
        <v>2.8896559975539179E-2</v>
      </c>
      <c r="D21" s="495">
        <f t="shared" si="1"/>
        <v>4.1931460382173116</v>
      </c>
      <c r="E21" s="495">
        <v>2.25</v>
      </c>
      <c r="F21" s="495">
        <v>0.86066641308358205</v>
      </c>
      <c r="G21" s="495">
        <v>0.757692307692308</v>
      </c>
      <c r="H21" s="495">
        <v>0.32478731744142098</v>
      </c>
      <c r="I21" s="493">
        <v>896.20108695652198</v>
      </c>
      <c r="J21" s="493">
        <v>294.73716860951401</v>
      </c>
      <c r="K21" s="493">
        <f t="shared" si="2"/>
        <v>350.22403562090767</v>
      </c>
      <c r="L21" s="476"/>
      <c r="M21" s="493">
        <f t="shared" si="6"/>
        <v>4979.8377088130565</v>
      </c>
      <c r="N21" s="496">
        <f t="shared" si="7"/>
        <v>0.7636616636732183</v>
      </c>
      <c r="O21" s="493">
        <v>710.45448765039896</v>
      </c>
      <c r="P21" s="493">
        <f t="shared" si="3"/>
        <v>280.30768373640893</v>
      </c>
      <c r="Q21" s="493">
        <f t="shared" si="4"/>
        <v>49.785580751350409</v>
      </c>
      <c r="R21" s="493">
        <f t="shared" si="11"/>
        <v>300.21824588724388</v>
      </c>
      <c r="S21" s="493">
        <f t="shared" si="8"/>
        <v>1340.7659980254023</v>
      </c>
      <c r="T21" s="493">
        <f t="shared" si="9"/>
        <v>3639.0717107876544</v>
      </c>
      <c r="U21" s="496">
        <f t="shared" si="10"/>
        <v>0.5580542418015112</v>
      </c>
    </row>
    <row r="22" spans="1:21" ht="15.5">
      <c r="A22" s="492" t="s">
        <v>926</v>
      </c>
      <c r="B22" s="493">
        <v>0</v>
      </c>
      <c r="C22" s="494">
        <f t="shared" si="0"/>
        <v>0</v>
      </c>
      <c r="D22" s="495">
        <f t="shared" si="1"/>
        <v>1</v>
      </c>
      <c r="E22" s="495">
        <v>1</v>
      </c>
      <c r="F22" s="495">
        <v>0</v>
      </c>
      <c r="G22" s="495">
        <v>0</v>
      </c>
      <c r="H22" s="495">
        <v>0</v>
      </c>
      <c r="I22" s="493">
        <v>239.40217391304299</v>
      </c>
      <c r="J22" s="493">
        <v>0</v>
      </c>
      <c r="K22" s="493">
        <f t="shared" si="2"/>
        <v>83.522975929978131</v>
      </c>
      <c r="L22" s="476"/>
      <c r="M22" s="493">
        <f t="shared" si="6"/>
        <v>-322.92514984302113</v>
      </c>
      <c r="N22" s="496">
        <f t="shared" si="7"/>
        <v>0</v>
      </c>
      <c r="O22" s="493">
        <v>0</v>
      </c>
      <c r="P22" s="493">
        <f t="shared" si="3"/>
        <v>66.849015317286657</v>
      </c>
      <c r="Q22" s="493">
        <f t="shared" si="4"/>
        <v>11.873085339168492</v>
      </c>
      <c r="R22" s="493">
        <f t="shared" si="11"/>
        <v>71.597374179431085</v>
      </c>
      <c r="S22" s="493">
        <f t="shared" si="8"/>
        <v>150.31947483588624</v>
      </c>
      <c r="T22" s="493">
        <f t="shared" si="9"/>
        <v>-473.24462467890737</v>
      </c>
      <c r="U22" s="496">
        <f t="shared" si="10"/>
        <v>0</v>
      </c>
    </row>
    <row r="23" spans="1:21" ht="15.5">
      <c r="A23" s="492" t="s">
        <v>925</v>
      </c>
      <c r="B23" s="493">
        <v>0</v>
      </c>
      <c r="C23" s="494">
        <f t="shared" si="0"/>
        <v>0</v>
      </c>
      <c r="D23" s="495">
        <f t="shared" si="1"/>
        <v>0</v>
      </c>
      <c r="E23" s="495">
        <v>0</v>
      </c>
      <c r="F23" s="495">
        <v>0</v>
      </c>
      <c r="G23" s="495">
        <v>0</v>
      </c>
      <c r="H23" s="495">
        <v>0</v>
      </c>
      <c r="I23" s="493">
        <v>0</v>
      </c>
      <c r="J23" s="493">
        <v>0</v>
      </c>
      <c r="K23" s="493">
        <f t="shared" si="2"/>
        <v>0</v>
      </c>
      <c r="L23" s="476"/>
      <c r="M23" s="493">
        <f t="shared" si="6"/>
        <v>0</v>
      </c>
      <c r="N23" s="496">
        <f t="shared" si="7"/>
        <v>0</v>
      </c>
      <c r="O23" s="493">
        <v>0</v>
      </c>
      <c r="P23" s="493">
        <f t="shared" si="3"/>
        <v>0</v>
      </c>
      <c r="Q23" s="493">
        <f t="shared" si="4"/>
        <v>0</v>
      </c>
      <c r="R23" s="493">
        <f t="shared" si="11"/>
        <v>0</v>
      </c>
      <c r="S23" s="493">
        <f t="shared" si="8"/>
        <v>0</v>
      </c>
      <c r="T23" s="493">
        <f t="shared" si="9"/>
        <v>0</v>
      </c>
      <c r="U23" s="496">
        <f t="shared" si="10"/>
        <v>0</v>
      </c>
    </row>
    <row r="24" spans="1:21" ht="15.5">
      <c r="A24" s="492" t="s">
        <v>930</v>
      </c>
      <c r="B24" s="493">
        <v>3544</v>
      </c>
      <c r="C24" s="494">
        <f t="shared" si="0"/>
        <v>1.570455582783482E-2</v>
      </c>
      <c r="D24" s="495">
        <f t="shared" si="1"/>
        <v>5.5682476086227624</v>
      </c>
      <c r="E24" s="495">
        <v>4.75</v>
      </c>
      <c r="F24" s="495">
        <v>0.30265621077330002</v>
      </c>
      <c r="G24" s="495">
        <v>3.3333333333333298E-2</v>
      </c>
      <c r="H24" s="495">
        <v>0.48225806451612901</v>
      </c>
      <c r="I24" s="493">
        <v>844.58152173913004</v>
      </c>
      <c r="J24" s="493">
        <v>261.06118513323997</v>
      </c>
      <c r="K24" s="493">
        <f t="shared" si="2"/>
        <v>465.07661098715727</v>
      </c>
      <c r="L24" s="476"/>
      <c r="M24" s="493">
        <f t="shared" si="6"/>
        <v>1973.2806821404724</v>
      </c>
      <c r="N24" s="496">
        <f t="shared" si="7"/>
        <v>0.55679477487033646</v>
      </c>
      <c r="O24" s="493">
        <v>304.02587679380298</v>
      </c>
      <c r="P24" s="493">
        <f t="shared" si="3"/>
        <v>372.23186967926785</v>
      </c>
      <c r="Q24" s="493">
        <f t="shared" si="4"/>
        <v>66.112279046798932</v>
      </c>
      <c r="R24" s="493">
        <f t="shared" si="11"/>
        <v>398.67190755828625</v>
      </c>
      <c r="S24" s="493">
        <f t="shared" si="8"/>
        <v>1141.041933078156</v>
      </c>
      <c r="T24" s="493">
        <f t="shared" si="9"/>
        <v>832.2387490623164</v>
      </c>
      <c r="U24" s="496">
        <f t="shared" si="10"/>
        <v>0.23483034680087936</v>
      </c>
    </row>
    <row r="25" spans="1:21" ht="15.5">
      <c r="A25" s="492" t="s">
        <v>957</v>
      </c>
      <c r="B25" s="493">
        <v>2680</v>
      </c>
      <c r="C25" s="494">
        <f t="shared" si="0"/>
        <v>1.1875905648588406E-2</v>
      </c>
      <c r="D25" s="495">
        <f t="shared" si="1"/>
        <v>4.4661124885320032</v>
      </c>
      <c r="E25" s="495">
        <v>2.6</v>
      </c>
      <c r="F25" s="495">
        <v>0.97876446421589403</v>
      </c>
      <c r="G25" s="495">
        <v>0.4375</v>
      </c>
      <c r="H25" s="495">
        <v>0.44984802431610899</v>
      </c>
      <c r="I25" s="493">
        <v>633.88097826087005</v>
      </c>
      <c r="J25" s="493">
        <v>366.09142080745301</v>
      </c>
      <c r="K25" s="493">
        <f t="shared" si="2"/>
        <v>373.02300588023326</v>
      </c>
      <c r="L25" s="476">
        <f>1*L35</f>
        <v>169.41176470588235</v>
      </c>
      <c r="M25" s="493">
        <f t="shared" si="6"/>
        <v>1137.5928303455612</v>
      </c>
      <c r="N25" s="496">
        <f t="shared" si="7"/>
        <v>0.42447493669610492</v>
      </c>
      <c r="O25" s="493">
        <v>710.19700650691505</v>
      </c>
      <c r="P25" s="493">
        <f t="shared" si="3"/>
        <v>298.5552221546011</v>
      </c>
      <c r="Q25" s="493">
        <f t="shared" si="4"/>
        <v>53.026534710666638</v>
      </c>
      <c r="R25" s="493">
        <f t="shared" si="11"/>
        <v>319.76192696885596</v>
      </c>
      <c r="S25" s="493">
        <f t="shared" si="8"/>
        <v>1381.5406903410387</v>
      </c>
      <c r="T25" s="493">
        <f t="shared" si="9"/>
        <v>-243.94785999547753</v>
      </c>
      <c r="U25" s="496">
        <f t="shared" si="10"/>
        <v>-9.1025320893834902E-2</v>
      </c>
    </row>
    <row r="26" spans="1:21" ht="15.5">
      <c r="A26" s="492" t="s">
        <v>931</v>
      </c>
      <c r="B26" s="493">
        <v>700</v>
      </c>
      <c r="C26" s="494">
        <f t="shared" si="0"/>
        <v>3.1019156544820465E-3</v>
      </c>
      <c r="D26" s="495">
        <f t="shared" si="1"/>
        <v>0</v>
      </c>
      <c r="E26" s="495">
        <v>0</v>
      </c>
      <c r="F26" s="495">
        <v>0</v>
      </c>
      <c r="G26" s="495">
        <v>0</v>
      </c>
      <c r="H26" s="495">
        <v>0</v>
      </c>
      <c r="I26" s="493">
        <v>0</v>
      </c>
      <c r="J26" s="493">
        <v>0</v>
      </c>
      <c r="K26" s="493">
        <f t="shared" si="2"/>
        <v>0</v>
      </c>
      <c r="L26" s="476"/>
      <c r="M26" s="493">
        <f t="shared" si="6"/>
        <v>700</v>
      </c>
      <c r="N26" s="496">
        <f t="shared" si="7"/>
        <v>1</v>
      </c>
      <c r="O26" s="493">
        <v>0</v>
      </c>
      <c r="P26" s="493">
        <f t="shared" si="3"/>
        <v>0</v>
      </c>
      <c r="Q26" s="493">
        <f t="shared" si="4"/>
        <v>0</v>
      </c>
      <c r="R26" s="493">
        <f t="shared" si="11"/>
        <v>0</v>
      </c>
      <c r="S26" s="493">
        <f t="shared" si="8"/>
        <v>0</v>
      </c>
      <c r="T26" s="493">
        <f t="shared" si="9"/>
        <v>700</v>
      </c>
      <c r="U26" s="496">
        <f t="shared" si="10"/>
        <v>1</v>
      </c>
    </row>
    <row r="27" spans="1:21" ht="15.5">
      <c r="A27" s="492" t="s">
        <v>921</v>
      </c>
      <c r="B27" s="493">
        <v>2720</v>
      </c>
      <c r="C27" s="494">
        <f t="shared" si="0"/>
        <v>1.2053157971701667E-2</v>
      </c>
      <c r="D27" s="495">
        <f t="shared" si="1"/>
        <v>5.8200064405581511</v>
      </c>
      <c r="E27" s="495">
        <v>4.8</v>
      </c>
      <c r="F27" s="495">
        <v>0.39293138795118399</v>
      </c>
      <c r="G27" s="495">
        <v>7.69230769230769E-2</v>
      </c>
      <c r="H27" s="495">
        <v>0.55015197568389096</v>
      </c>
      <c r="I27" s="493">
        <v>1102.04510869565</v>
      </c>
      <c r="J27" s="493">
        <v>280.77448638318202</v>
      </c>
      <c r="K27" s="493">
        <f t="shared" si="2"/>
        <v>486.10425784705615</v>
      </c>
      <c r="L27" s="476"/>
      <c r="M27" s="493">
        <f t="shared" si="6"/>
        <v>851.07614707411199</v>
      </c>
      <c r="N27" s="496">
        <f t="shared" si="7"/>
        <v>0.31289564230665884</v>
      </c>
      <c r="O27" s="493">
        <v>292.93670652510201</v>
      </c>
      <c r="P27" s="493">
        <f t="shared" si="3"/>
        <v>389.06169969157884</v>
      </c>
      <c r="Q27" s="493">
        <f t="shared" si="4"/>
        <v>69.101433143257182</v>
      </c>
      <c r="R27" s="493">
        <f t="shared" si="11"/>
        <v>416.69717885134077</v>
      </c>
      <c r="S27" s="493">
        <f t="shared" si="8"/>
        <v>1167.7970182112788</v>
      </c>
      <c r="T27" s="493">
        <f t="shared" si="9"/>
        <v>-316.7208711371668</v>
      </c>
      <c r="U27" s="496">
        <f t="shared" si="10"/>
        <v>-0.11644149674160544</v>
      </c>
    </row>
    <row r="28" spans="1:21" ht="15.5">
      <c r="A28" s="492" t="s">
        <v>919</v>
      </c>
      <c r="B28" s="493">
        <v>1325</v>
      </c>
      <c r="C28" s="494">
        <f t="shared" si="0"/>
        <v>5.871483203126731E-3</v>
      </c>
      <c r="D28" s="495">
        <f t="shared" si="1"/>
        <v>0</v>
      </c>
      <c r="E28" s="495">
        <v>0</v>
      </c>
      <c r="F28" s="495">
        <v>0</v>
      </c>
      <c r="G28" s="495">
        <v>0</v>
      </c>
      <c r="H28" s="495">
        <v>0</v>
      </c>
      <c r="I28" s="493">
        <v>0</v>
      </c>
      <c r="J28" s="493">
        <v>0</v>
      </c>
      <c r="K28" s="493">
        <f t="shared" si="2"/>
        <v>0</v>
      </c>
      <c r="L28" s="476"/>
      <c r="M28" s="493">
        <f t="shared" si="6"/>
        <v>1325</v>
      </c>
      <c r="N28" s="496">
        <f t="shared" si="7"/>
        <v>1</v>
      </c>
      <c r="O28" s="493">
        <v>0</v>
      </c>
      <c r="P28" s="493">
        <f t="shared" si="3"/>
        <v>0</v>
      </c>
      <c r="Q28" s="493">
        <f t="shared" si="4"/>
        <v>0</v>
      </c>
      <c r="R28" s="493">
        <f t="shared" si="11"/>
        <v>0</v>
      </c>
      <c r="S28" s="493">
        <f t="shared" si="8"/>
        <v>0</v>
      </c>
      <c r="T28" s="493">
        <f t="shared" si="9"/>
        <v>1325</v>
      </c>
      <c r="U28" s="496">
        <f t="shared" si="10"/>
        <v>1</v>
      </c>
    </row>
    <row r="29" spans="1:21" ht="15.5">
      <c r="A29" s="492" t="s">
        <v>909</v>
      </c>
      <c r="B29" s="493">
        <v>8428</v>
      </c>
      <c r="C29" s="494">
        <f t="shared" si="0"/>
        <v>3.7347064479963839E-2</v>
      </c>
      <c r="D29" s="495">
        <f t="shared" si="1"/>
        <v>9.7239572462467141</v>
      </c>
      <c r="E29" s="495">
        <v>8</v>
      </c>
      <c r="F29" s="495">
        <v>0.71974789627465297</v>
      </c>
      <c r="G29" s="495">
        <v>0.55384615384615399</v>
      </c>
      <c r="H29" s="495">
        <v>0.45036319612590803</v>
      </c>
      <c r="I29" s="493">
        <v>2779.70652173913</v>
      </c>
      <c r="J29" s="493">
        <v>443.58488180942101</v>
      </c>
      <c r="K29" s="493">
        <f t="shared" si="2"/>
        <v>812.17384702240076</v>
      </c>
      <c r="L29" s="476">
        <f>1*L35</f>
        <v>169.41176470588235</v>
      </c>
      <c r="M29" s="493">
        <f t="shared" si="6"/>
        <v>4223.1229847231662</v>
      </c>
      <c r="N29" s="496">
        <f t="shared" si="7"/>
        <v>0.50108246140521673</v>
      </c>
      <c r="O29" s="493">
        <v>723.00510429406597</v>
      </c>
      <c r="P29" s="493">
        <f t="shared" si="3"/>
        <v>650.0369668989872</v>
      </c>
      <c r="Q29" s="493">
        <f t="shared" si="4"/>
        <v>115.45337421911309</v>
      </c>
      <c r="R29" s="493">
        <f t="shared" si="11"/>
        <v>696.20980546431633</v>
      </c>
      <c r="S29" s="493">
        <f t="shared" si="8"/>
        <v>2184.7052508764828</v>
      </c>
      <c r="T29" s="493">
        <f t="shared" si="9"/>
        <v>2038.4177338466834</v>
      </c>
      <c r="U29" s="496">
        <f t="shared" si="10"/>
        <v>0.24186256927464209</v>
      </c>
    </row>
    <row r="30" spans="1:21" ht="15.5">
      <c r="A30" s="492" t="s">
        <v>963</v>
      </c>
      <c r="B30" s="493"/>
      <c r="C30" s="494">
        <f t="shared" si="0"/>
        <v>0</v>
      </c>
      <c r="D30" s="495">
        <f t="shared" si="1"/>
        <v>1</v>
      </c>
      <c r="E30" s="495">
        <v>1</v>
      </c>
      <c r="F30" s="495">
        <v>0</v>
      </c>
      <c r="G30" s="495">
        <v>0</v>
      </c>
      <c r="H30" s="495">
        <v>0</v>
      </c>
      <c r="I30" s="493">
        <v>356.07608695652198</v>
      </c>
      <c r="J30" s="493">
        <v>0</v>
      </c>
      <c r="K30" s="493">
        <f t="shared" si="2"/>
        <v>83.522975929978131</v>
      </c>
      <c r="L30" s="476"/>
      <c r="M30" s="493">
        <f t="shared" si="6"/>
        <v>-439.59906288650012</v>
      </c>
      <c r="N30" s="496">
        <f t="shared" si="7"/>
        <v>0</v>
      </c>
      <c r="O30" s="493">
        <v>0</v>
      </c>
      <c r="P30" s="493">
        <f t="shared" si="3"/>
        <v>66.849015317286657</v>
      </c>
      <c r="Q30" s="493">
        <f t="shared" si="4"/>
        <v>11.873085339168492</v>
      </c>
      <c r="R30" s="493">
        <f t="shared" si="11"/>
        <v>71.597374179431085</v>
      </c>
      <c r="S30" s="493">
        <f t="shared" si="8"/>
        <v>150.31947483588624</v>
      </c>
      <c r="T30" s="493">
        <f t="shared" si="9"/>
        <v>-589.91853772238642</v>
      </c>
      <c r="U30" s="496">
        <f t="shared" si="10"/>
        <v>0</v>
      </c>
    </row>
    <row r="31" spans="1:21" ht="15.5">
      <c r="A31" s="498" t="s">
        <v>19</v>
      </c>
      <c r="B31" s="499">
        <f>SUM(B2:B30)</f>
        <v>225667</v>
      </c>
      <c r="C31" s="500">
        <f>IFERROR(B31/B31,0)</f>
        <v>1</v>
      </c>
      <c r="D31" s="499">
        <f t="shared" ref="D31:M31" si="12">SUM(D2:D30)</f>
        <v>228.49999999999997</v>
      </c>
      <c r="E31" s="499">
        <f t="shared" si="12"/>
        <v>183</v>
      </c>
      <c r="F31" s="499">
        <f t="shared" si="12"/>
        <v>20.999999999999989</v>
      </c>
      <c r="G31" s="499">
        <f t="shared" si="12"/>
        <v>8.4999999999999982</v>
      </c>
      <c r="H31" s="499">
        <f t="shared" si="12"/>
        <v>15.999999999999998</v>
      </c>
      <c r="I31" s="499">
        <f t="shared" si="12"/>
        <v>60121.760869565245</v>
      </c>
      <c r="J31" s="499">
        <f t="shared" si="12"/>
        <v>9244.2500000000018</v>
      </c>
      <c r="K31" s="499">
        <f t="shared" si="12"/>
        <v>19085</v>
      </c>
      <c r="L31" s="499">
        <f t="shared" si="12"/>
        <v>5759.9999999999973</v>
      </c>
      <c r="M31" s="499">
        <f t="shared" si="12"/>
        <v>130780.98913043473</v>
      </c>
      <c r="N31" s="500">
        <f t="shared" si="7"/>
        <v>0.57953085356048839</v>
      </c>
      <c r="O31" s="499">
        <f>SUM(O2:O30)</f>
        <v>16584.619565217392</v>
      </c>
      <c r="P31" s="499">
        <f>SUM(P2:P30)</f>
        <v>15275.000000000004</v>
      </c>
      <c r="Q31" s="499">
        <f>SUM(Q2:Q30)</f>
        <v>2713.0000000000009</v>
      </c>
      <c r="R31" s="499">
        <f>SUM(R2:R30)</f>
        <v>18529</v>
      </c>
      <c r="S31" s="499">
        <f>SUM(S2:S30)</f>
        <v>53101.619565217399</v>
      </c>
      <c r="T31" s="501">
        <f t="shared" si="9"/>
        <v>77679.369565217319</v>
      </c>
      <c r="U31" s="500">
        <f t="shared" si="10"/>
        <v>0.34422121783520548</v>
      </c>
    </row>
    <row r="32" spans="1:21" ht="15.5">
      <c r="L32" s="502"/>
      <c r="T32" s="121">
        <v>83983</v>
      </c>
    </row>
    <row r="33" spans="11:20" ht="15.5">
      <c r="L33" s="502"/>
      <c r="T33" s="503">
        <f>T31-T32</f>
        <v>-6303.6304347826808</v>
      </c>
    </row>
    <row r="34" spans="11:20">
      <c r="K34" s="121">
        <f>12781+6304</f>
        <v>19085</v>
      </c>
      <c r="L34" s="121">
        <v>5760</v>
      </c>
      <c r="P34" s="121">
        <v>15275</v>
      </c>
      <c r="Q34" s="121">
        <f>2713</f>
        <v>2713</v>
      </c>
      <c r="R34" s="488">
        <f>18529-R36</f>
        <v>16360</v>
      </c>
    </row>
    <row r="35" spans="11:20">
      <c r="K35" s="121">
        <f>K34/D31</f>
        <v>83.522975929978131</v>
      </c>
      <c r="L35" s="121">
        <f>L34/34</f>
        <v>169.41176470588235</v>
      </c>
      <c r="P35" s="121">
        <f>P34/D31</f>
        <v>66.849015317286657</v>
      </c>
      <c r="Q35" s="121">
        <f>Q34/D31</f>
        <v>11.873085339168492</v>
      </c>
      <c r="R35" s="121">
        <f>R34/D31</f>
        <v>71.597374179431085</v>
      </c>
    </row>
    <row r="36" spans="11:20" ht="15.5">
      <c r="L36" s="502"/>
      <c r="R36" s="488">
        <v>2169</v>
      </c>
    </row>
  </sheetData>
  <autoFilter ref="A4:U31" xr:uid="{C398BA2F-A96F-4402-8667-8B6C1ED353B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051C-D758-49FD-8D90-D5E67F6136CC}">
  <dimension ref="A1:E31"/>
  <sheetViews>
    <sheetView showGridLines="0" zoomScale="58" zoomScaleNormal="70" workbookViewId="0">
      <pane xSplit="1" topLeftCell="B1" activePane="topRight" state="frozen"/>
      <selection pane="topRight" activeCell="J27" sqref="J27"/>
    </sheetView>
  </sheetViews>
  <sheetFormatPr defaultRowHeight="14.5"/>
  <cols>
    <col min="1" max="1" width="30.25" style="121" bestFit="1" customWidth="1"/>
    <col min="2" max="2" width="17" style="121" customWidth="1"/>
    <col min="3" max="3" width="16" style="121" customWidth="1"/>
    <col min="4" max="4" width="16.83203125" style="121" customWidth="1"/>
    <col min="5" max="5" width="11" style="121" bestFit="1" customWidth="1"/>
    <col min="6" max="6" width="0" style="121" hidden="1" customWidth="1"/>
    <col min="7" max="16384" width="8.6640625" style="121"/>
  </cols>
  <sheetData>
    <row r="1" spans="1:5" ht="18.5">
      <c r="A1" s="449" t="s">
        <v>940</v>
      </c>
    </row>
    <row r="2" spans="1:5">
      <c r="A2" s="490" t="s">
        <v>155</v>
      </c>
      <c r="B2" s="490" t="s">
        <v>960</v>
      </c>
    </row>
    <row r="4" spans="1:5" ht="29">
      <c r="A4" s="407" t="s">
        <v>887</v>
      </c>
      <c r="B4" s="407" t="s">
        <v>941</v>
      </c>
      <c r="C4" s="407" t="s">
        <v>942</v>
      </c>
      <c r="D4" s="407" t="s">
        <v>943</v>
      </c>
      <c r="E4" s="407" t="s">
        <v>944</v>
      </c>
    </row>
    <row r="5" spans="1:5">
      <c r="A5" s="121" t="s">
        <v>956</v>
      </c>
      <c r="B5" s="450">
        <v>0.89831262181571603</v>
      </c>
      <c r="C5" s="450">
        <v>0</v>
      </c>
      <c r="D5" s="450">
        <f t="shared" ref="D5:D31" si="0">C5-B5</f>
        <v>-0.89831262181571603</v>
      </c>
    </row>
    <row r="6" spans="1:5">
      <c r="A6" s="121" t="s">
        <v>927</v>
      </c>
      <c r="B6" s="450">
        <v>0.15702322584237899</v>
      </c>
      <c r="C6" s="450">
        <v>-0.366294816913737</v>
      </c>
      <c r="D6" s="450">
        <f t="shared" si="0"/>
        <v>-0.52331804275611593</v>
      </c>
      <c r="E6" s="121" t="s">
        <v>1068</v>
      </c>
    </row>
    <row r="7" spans="1:5">
      <c r="A7" s="121" t="s">
        <v>957</v>
      </c>
      <c r="B7" s="450">
        <v>0.25056591925849803</v>
      </c>
      <c r="C7" s="450">
        <v>-9.1025320893834694E-2</v>
      </c>
      <c r="D7" s="450">
        <f t="shared" si="0"/>
        <v>-0.34159124015233272</v>
      </c>
      <c r="E7" s="121" t="s">
        <v>1068</v>
      </c>
    </row>
    <row r="8" spans="1:5">
      <c r="A8" s="121" t="s">
        <v>930</v>
      </c>
      <c r="B8" s="450">
        <v>0.51288354926374502</v>
      </c>
      <c r="C8" s="450">
        <v>0.23483034680088</v>
      </c>
      <c r="D8" s="450">
        <f t="shared" si="0"/>
        <v>-0.27805320246286502</v>
      </c>
      <c r="E8" s="121" t="s">
        <v>1068</v>
      </c>
    </row>
    <row r="9" spans="1:5">
      <c r="A9" s="121" t="s">
        <v>908</v>
      </c>
      <c r="B9" s="450">
        <v>0.430899936520662</v>
      </c>
      <c r="C9" s="450">
        <v>0.21786648623416</v>
      </c>
      <c r="D9" s="450">
        <f t="shared" si="0"/>
        <v>-0.213033450286502</v>
      </c>
      <c r="E9" s="121" t="s">
        <v>946</v>
      </c>
    </row>
    <row r="10" spans="1:5">
      <c r="A10" s="121" t="s">
        <v>914</v>
      </c>
      <c r="B10" s="450">
        <v>-0.14574152484931299</v>
      </c>
      <c r="C10" s="450">
        <v>-0.32283602903730602</v>
      </c>
      <c r="D10" s="450">
        <f t="shared" si="0"/>
        <v>-0.17709450418799302</v>
      </c>
      <c r="E10" s="121" t="s">
        <v>946</v>
      </c>
    </row>
    <row r="11" spans="1:5">
      <c r="A11" s="121" t="s">
        <v>917</v>
      </c>
      <c r="B11" s="450">
        <v>0.43055924174813498</v>
      </c>
      <c r="C11" s="450">
        <v>0.32602909658575302</v>
      </c>
      <c r="D11" s="450">
        <f t="shared" si="0"/>
        <v>-0.10453014516238196</v>
      </c>
      <c r="E11" s="121" t="s">
        <v>1068</v>
      </c>
    </row>
    <row r="12" spans="1:5">
      <c r="A12" s="121" t="s">
        <v>910</v>
      </c>
      <c r="B12" s="450">
        <v>0.37731364999502098</v>
      </c>
      <c r="C12" s="450">
        <v>0.312284173999134</v>
      </c>
      <c r="D12" s="450">
        <f t="shared" si="0"/>
        <v>-6.5029475995886987E-2</v>
      </c>
      <c r="E12" s="121" t="s">
        <v>1068</v>
      </c>
    </row>
    <row r="13" spans="1:5">
      <c r="A13" s="504" t="s">
        <v>962</v>
      </c>
      <c r="B13" s="450">
        <v>0</v>
      </c>
      <c r="C13" s="450">
        <v>0</v>
      </c>
      <c r="D13" s="450">
        <f t="shared" si="0"/>
        <v>0</v>
      </c>
    </row>
    <row r="14" spans="1:5">
      <c r="A14" s="121" t="s">
        <v>924</v>
      </c>
      <c r="B14" s="450">
        <v>0</v>
      </c>
      <c r="C14" s="450">
        <v>0</v>
      </c>
      <c r="D14" s="450">
        <f t="shared" si="0"/>
        <v>0</v>
      </c>
      <c r="E14" s="121" t="s">
        <v>946</v>
      </c>
    </row>
    <row r="15" spans="1:5">
      <c r="A15" s="121" t="s">
        <v>926</v>
      </c>
      <c r="B15" s="450">
        <v>0</v>
      </c>
      <c r="C15" s="450">
        <v>0</v>
      </c>
      <c r="D15" s="450">
        <f t="shared" si="0"/>
        <v>0</v>
      </c>
      <c r="E15" s="121" t="s">
        <v>946</v>
      </c>
    </row>
    <row r="16" spans="1:5">
      <c r="A16" s="121" t="s">
        <v>925</v>
      </c>
      <c r="B16" s="450">
        <v>0</v>
      </c>
      <c r="C16" s="450">
        <v>0</v>
      </c>
      <c r="D16" s="450">
        <f t="shared" si="0"/>
        <v>0</v>
      </c>
      <c r="E16" s="121" t="s">
        <v>946</v>
      </c>
    </row>
    <row r="17" spans="1:5">
      <c r="A17" s="121" t="s">
        <v>963</v>
      </c>
      <c r="B17" s="450">
        <v>0</v>
      </c>
      <c r="C17" s="450">
        <v>0</v>
      </c>
      <c r="D17" s="438">
        <f t="shared" si="0"/>
        <v>0</v>
      </c>
    </row>
    <row r="18" spans="1:5">
      <c r="A18" s="121" t="s">
        <v>913</v>
      </c>
      <c r="B18" s="450">
        <v>0.57547817144541202</v>
      </c>
      <c r="C18" s="450">
        <v>0.56605234188618903</v>
      </c>
      <c r="D18" s="450">
        <f t="shared" si="0"/>
        <v>-9.4258295592229979E-3</v>
      </c>
      <c r="E18" s="121" t="s">
        <v>946</v>
      </c>
    </row>
    <row r="19" spans="1:5">
      <c r="A19" s="121" t="s">
        <v>916</v>
      </c>
      <c r="B19" s="450">
        <v>0.15366488628099201</v>
      </c>
      <c r="C19" s="450">
        <v>0.20945869023490499</v>
      </c>
      <c r="D19" s="450">
        <f t="shared" si="0"/>
        <v>5.5793803953912979E-2</v>
      </c>
      <c r="E19" s="121" t="s">
        <v>1068</v>
      </c>
    </row>
    <row r="20" spans="1:5">
      <c r="A20" s="121" t="s">
        <v>912</v>
      </c>
      <c r="B20" s="450">
        <v>0.70301568248616797</v>
      </c>
      <c r="C20" s="450">
        <v>0.78034116356025296</v>
      </c>
      <c r="D20" s="450">
        <f t="shared" si="0"/>
        <v>7.732548107408499E-2</v>
      </c>
      <c r="E20" s="121" t="s">
        <v>1068</v>
      </c>
    </row>
    <row r="21" spans="1:5">
      <c r="A21" s="121" t="s">
        <v>918</v>
      </c>
      <c r="B21" s="450">
        <v>0.49014246069992101</v>
      </c>
      <c r="C21" s="450">
        <v>0.55805424180151098</v>
      </c>
      <c r="D21" s="450">
        <f t="shared" si="0"/>
        <v>6.7911781101589963E-2</v>
      </c>
      <c r="E21" s="121" t="s">
        <v>1068</v>
      </c>
    </row>
    <row r="22" spans="1:5">
      <c r="A22" s="121" t="s">
        <v>919</v>
      </c>
      <c r="B22" s="450">
        <v>0.89831262181571603</v>
      </c>
      <c r="C22" s="450">
        <v>1</v>
      </c>
      <c r="D22" s="450">
        <f t="shared" si="0"/>
        <v>0.10168737818428397</v>
      </c>
      <c r="E22" s="121" t="s">
        <v>946</v>
      </c>
    </row>
    <row r="23" spans="1:5">
      <c r="A23" s="121" t="s">
        <v>921</v>
      </c>
      <c r="B23" s="450">
        <v>-9.1458326592970596E-2</v>
      </c>
      <c r="C23" s="450">
        <v>-0.116441496741606</v>
      </c>
      <c r="D23" s="450">
        <f t="shared" si="0"/>
        <v>-2.4983170148635409E-2</v>
      </c>
      <c r="E23" s="121" t="s">
        <v>1068</v>
      </c>
    </row>
    <row r="24" spans="1:5">
      <c r="A24" s="121" t="s">
        <v>928</v>
      </c>
      <c r="B24" s="450">
        <v>0.524712552207793</v>
      </c>
      <c r="C24" s="450">
        <v>0.61949781780245305</v>
      </c>
      <c r="D24" s="450">
        <f t="shared" si="0"/>
        <v>9.4785265594660051E-2</v>
      </c>
      <c r="E24" s="121" t="s">
        <v>946</v>
      </c>
    </row>
    <row r="25" spans="1:5">
      <c r="A25" s="121" t="s">
        <v>923</v>
      </c>
      <c r="B25" s="450">
        <v>0.54812674300581399</v>
      </c>
      <c r="C25" s="450">
        <v>0.64708476663572001</v>
      </c>
      <c r="D25" s="450">
        <f t="shared" si="0"/>
        <v>9.8958023629906022E-2</v>
      </c>
      <c r="E25" s="121" t="s">
        <v>946</v>
      </c>
    </row>
    <row r="26" spans="1:5">
      <c r="A26" s="121" t="s">
        <v>909</v>
      </c>
      <c r="B26" s="450">
        <v>0.15384472441432701</v>
      </c>
      <c r="C26" s="450">
        <v>0.241862569274642</v>
      </c>
      <c r="D26" s="438">
        <f t="shared" si="0"/>
        <v>8.8017844860314998E-2</v>
      </c>
      <c r="E26" s="121" t="s">
        <v>1068</v>
      </c>
    </row>
    <row r="27" spans="1:5">
      <c r="A27" s="121" t="s">
        <v>929</v>
      </c>
      <c r="B27" s="450">
        <v>0.10657385487851399</v>
      </c>
      <c r="C27" s="450">
        <v>0.22681286687135299</v>
      </c>
      <c r="D27" s="450">
        <f t="shared" si="0"/>
        <v>0.120239011992839</v>
      </c>
      <c r="E27" s="121" t="s">
        <v>946</v>
      </c>
    </row>
    <row r="28" spans="1:5">
      <c r="A28" s="121" t="s">
        <v>911</v>
      </c>
      <c r="B28" s="450">
        <v>0.249207604651278</v>
      </c>
      <c r="C28" s="450">
        <v>0.41863010374957799</v>
      </c>
      <c r="D28" s="450">
        <f t="shared" si="0"/>
        <v>0.16942249909829998</v>
      </c>
      <c r="E28" s="121" t="s">
        <v>946</v>
      </c>
    </row>
    <row r="29" spans="1:5">
      <c r="A29" s="121" t="s">
        <v>931</v>
      </c>
      <c r="B29" s="450">
        <v>0</v>
      </c>
      <c r="C29" s="450">
        <v>1</v>
      </c>
      <c r="D29" s="450">
        <f t="shared" si="0"/>
        <v>1</v>
      </c>
      <c r="E29" s="121" t="s">
        <v>946</v>
      </c>
    </row>
    <row r="30" spans="1:5">
      <c r="A30" s="121" t="s">
        <v>915</v>
      </c>
      <c r="B30" s="450">
        <v>-3.7831594333967602</v>
      </c>
      <c r="C30" s="450">
        <v>-2.4648962834744301</v>
      </c>
      <c r="D30" s="450">
        <f t="shared" si="0"/>
        <v>1.3182631499223301</v>
      </c>
      <c r="E30" s="121" t="s">
        <v>1068</v>
      </c>
    </row>
    <row r="31" spans="1:5">
      <c r="A31" s="490" t="s">
        <v>19</v>
      </c>
      <c r="B31" s="505">
        <v>0.347016147657498</v>
      </c>
      <c r="C31" s="505">
        <v>0.34422121783520598</v>
      </c>
      <c r="D31" s="506">
        <f t="shared" si="0"/>
        <v>-2.7949298222920138E-3</v>
      </c>
    </row>
  </sheetData>
  <autoFilter ref="A4:E31" xr:uid="{A02152B8-971D-4FDC-8666-BF3B6D86349C}"/>
  <conditionalFormatting sqref="B5:D31">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MIS-Actuals</vt:lpstr>
      <vt:lpstr>MIS Actuals Jan-Jun</vt:lpstr>
      <vt:lpstr>Jul'26</vt:lpstr>
      <vt:lpstr>Jun'26</vt:lpstr>
      <vt:lpstr>May-April</vt:lpstr>
      <vt:lpstr>April-March</vt:lpstr>
      <vt:lpstr>March-Feb</vt:lpstr>
      <vt:lpstr>Jan</vt:lpstr>
      <vt:lpstr>Holding Detailed Exp summary</vt:lpstr>
      <vt:lpstr>Subs Detailed Exp Summary</vt:lpstr>
      <vt:lpstr>Budgeted</vt:lpstr>
      <vt:lpstr>Proforma-May</vt:lpstr>
      <vt:lpstr>Proforma-June</vt:lpstr>
      <vt:lpstr>Proforma- July</vt:lpstr>
      <vt:lpstr>P&amp;L - Bud.</vt:lpstr>
      <vt:lpstr>US Bud-Exp</vt:lpstr>
      <vt:lpstr>Ind Bud-Exp</vt:lpstr>
      <vt:lpstr>Bud vs Act - May &amp; Jun</vt:lpstr>
      <vt:lpstr>Sheet16</vt:lpstr>
      <vt:lpstr>May-Actual</vt:lpstr>
      <vt:lpstr>May-Forecast</vt:lpstr>
      <vt:lpstr>May-Variance</vt:lpstr>
      <vt:lpstr>June-Fore.</vt:lpstr>
      <vt:lpstr>June-Actual</vt:lpstr>
      <vt:lpstr>June-Variance</vt:lpstr>
      <vt:lpstr>'Subs Detailed Exp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SRF</dc:creator>
  <cp:lastModifiedBy>Bollapragada Bhavana</cp:lastModifiedBy>
  <dcterms:created xsi:type="dcterms:W3CDTF">2026-07-13T07:17:58Z</dcterms:created>
  <dcterms:modified xsi:type="dcterms:W3CDTF">2026-08-19T14:54:45Z</dcterms:modified>
</cp:coreProperties>
</file>